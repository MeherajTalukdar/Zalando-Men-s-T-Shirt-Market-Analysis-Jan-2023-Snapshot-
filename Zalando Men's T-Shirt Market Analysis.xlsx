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ikuk\Downloads\"/>
    </mc:Choice>
  </mc:AlternateContent>
  <xr:revisionPtr revIDLastSave="0" documentId="13_ncr:1_{90A9EB60-1B79-46D0-9613-73B4EF655806}" xr6:coauthVersionLast="47" xr6:coauthVersionMax="47" xr10:uidLastSave="{00000000-0000-0000-0000-000000000000}"/>
  <bookViews>
    <workbookView xWindow="-110" yWindow="-110" windowWidth="23260" windowHeight="14860" tabRatio="644" activeTab="4" xr2:uid="{00000000-000D-0000-FFFF-FFFF00000000}"/>
  </bookViews>
  <sheets>
    <sheet name="Pivot Tables &amp; Dashboards" sheetId="9" r:id="rId1"/>
    <sheet name="Product Lookup &amp; Search" sheetId="7" r:id="rId2"/>
    <sheet name="Pricing &amp; Discount Analysis" sheetId="5" r:id="rId3"/>
    <sheet name="Brand" sheetId="6" r:id="rId4"/>
    <sheet name="Real Sale" sheetId="4" r:id="rId5"/>
    <sheet name="Row" sheetId="2" state="hidden" r:id="rId6"/>
  </sheets>
  <definedNames>
    <definedName name="_xlchart.v1.0" hidden="1">'Pivot Tables &amp; Dashboards'!$E$24:$E$27</definedName>
    <definedName name="_xlchart.v1.1" hidden="1">'Pivot Tables &amp; Dashboards'!$F$23</definedName>
    <definedName name="_xlchart.v1.2" hidden="1">'Pivot Tables &amp; Dashboards'!$F$24:$F$27</definedName>
    <definedName name="_xlchart.v1.3" hidden="1">'Pivot Tables &amp; Dashboards'!$G$10:$G$13</definedName>
    <definedName name="_xlchart.v1.4" hidden="1">'Pivot Tables &amp; Dashboards'!$H$10:$H$13</definedName>
    <definedName name="_xlchart.v1.5" hidden="1">'Pivot Tables &amp; Dashboards'!$H$9</definedName>
    <definedName name="_xlcn.WorksheetConnection_zalando_de_tshirts_practice.xlsxSales__31" hidden="1">Real_Sales[]</definedName>
    <definedName name="ExternalData_1" localSheetId="5" hidden="1">Row!$A$1:$U$997</definedName>
    <definedName name="ExternalData_2" localSheetId="4" hidden="1">'Real Sale'!$A$1:$U$985</definedName>
  </definedNames>
  <calcPr calcId="191029" iterateDelta="1E-4"/>
  <pivotCaches>
    <pivotCache cacheId="115" r:id="rId7"/>
    <pivotCache cacheId="125" r:id="rId8"/>
  </pivotCaches>
  <extLst>
    <ext xmlns:x15="http://schemas.microsoft.com/office/spreadsheetml/2010/11/main" uri="{FCE2AD5D-F65C-4FA6-A056-5C36A1767C68}">
      <x15:dataModel>
        <x15:modelTables>
          <x15:modelTable id="Sales__3" name="Sales__3" connection="WorksheetConnection_zalando_de_tshirts_practice.xlsx!Sales__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7" l="1" a="1"/>
  <c r="E12" i="7" s="1"/>
  <c r="E13" i="7" a="1"/>
  <c r="E13" i="7"/>
  <c r="E14" i="7" a="1"/>
  <c r="E14" i="7" s="1"/>
  <c r="D12" i="7" a="1"/>
  <c r="D12" i="7"/>
  <c r="D13" i="7" a="1"/>
  <c r="D13" i="7"/>
  <c r="D14" i="7" a="1"/>
  <c r="D14" i="7" s="1"/>
  <c r="D11" i="7" a="1"/>
  <c r="D11" i="7"/>
  <c r="C12" i="7" a="1"/>
  <c r="C12" i="7" s="1"/>
  <c r="C13" i="7" a="1"/>
  <c r="C13" i="7"/>
  <c r="C14" i="7" a="1"/>
  <c r="C14" i="7"/>
  <c r="E6" i="7" a="1"/>
  <c r="E6" i="7" s="1"/>
  <c r="E7" i="7" a="1"/>
  <c r="E7" i="7"/>
  <c r="E8" i="7" a="1"/>
  <c r="E8" i="7"/>
  <c r="E9" i="7" a="1"/>
  <c r="E9" i="7" s="1"/>
  <c r="E10" i="7" a="1"/>
  <c r="E10" i="7"/>
  <c r="E11" i="7" a="1"/>
  <c r="E11" i="7"/>
  <c r="D6" i="7" a="1"/>
  <c r="D6" i="7" s="1"/>
  <c r="D7" i="7" a="1"/>
  <c r="D7" i="7"/>
  <c r="D8" i="7" a="1"/>
  <c r="D8" i="7"/>
  <c r="D9" i="7" a="1"/>
  <c r="D9" i="7"/>
  <c r="D10" i="7" a="1"/>
  <c r="D10" i="7" s="1"/>
  <c r="C6" i="7" a="1"/>
  <c r="C6" i="7" s="1"/>
  <c r="C7" i="7" a="1"/>
  <c r="C7" i="7"/>
  <c r="C8" i="7" a="1"/>
  <c r="C8" i="7"/>
  <c r="C9" i="7" a="1"/>
  <c r="C9" i="7"/>
  <c r="C10" i="7" a="1"/>
  <c r="C10" i="7"/>
  <c r="C11" i="7" a="1"/>
  <c r="C11" i="7" s="1"/>
  <c r="Z604" i="4" a="1"/>
  <c r="Z604" i="4" s="1"/>
  <c r="Z965" i="4" a="1"/>
  <c r="Z965" i="4" s="1"/>
  <c r="Z561" i="4" a="1"/>
  <c r="Z561" i="4" s="1"/>
  <c r="Z720" i="4" a="1"/>
  <c r="Z720" i="4" s="1"/>
  <c r="Z896" i="4" a="1"/>
  <c r="Z896" i="4" s="1"/>
  <c r="Z828" i="4" a="1"/>
  <c r="Z828" i="4" s="1"/>
  <c r="Z583" i="4" a="1"/>
  <c r="Z583" i="4" s="1"/>
  <c r="Z441" i="4" a="1"/>
  <c r="Z441" i="4" s="1"/>
  <c r="Z985" i="4" a="1"/>
  <c r="Z985" i="4" s="1"/>
  <c r="Z766" i="4" a="1"/>
  <c r="Z766" i="4" s="1"/>
  <c r="Z413" i="4" a="1"/>
  <c r="Z413" i="4" s="1"/>
  <c r="Z888" i="4" a="1"/>
  <c r="Z888" i="4" s="1"/>
  <c r="Z951" i="4" a="1"/>
  <c r="Z951" i="4" s="1"/>
  <c r="Z963" i="4" a="1"/>
  <c r="Z963" i="4" s="1"/>
  <c r="Z3" i="4" a="1"/>
  <c r="Z3" i="4" s="1"/>
  <c r="Z4" i="4" a="1"/>
  <c r="Z4" i="4" s="1"/>
  <c r="Z5" i="4" a="1"/>
  <c r="Z5" i="4" s="1"/>
  <c r="Z6" i="4" a="1"/>
  <c r="Z6" i="4" s="1"/>
  <c r="Z771" i="4" a="1"/>
  <c r="Z771" i="4" s="1"/>
  <c r="Z7" i="4" a="1"/>
  <c r="Z7" i="4" s="1"/>
  <c r="Z440" i="4" a="1"/>
  <c r="Z440" i="4" s="1"/>
  <c r="Z396" i="4" a="1"/>
  <c r="Z396" i="4" s="1"/>
  <c r="Z310" i="4" a="1"/>
  <c r="Z310" i="4" s="1"/>
  <c r="Z764" i="4" a="1"/>
  <c r="Z764" i="4" s="1"/>
  <c r="Z421" i="4" a="1"/>
  <c r="Z421" i="4" s="1"/>
  <c r="Z387" i="4" a="1"/>
  <c r="Z387" i="4" s="1"/>
  <c r="Z470" i="4" a="1"/>
  <c r="Z470" i="4" s="1"/>
  <c r="Z8" i="4" a="1"/>
  <c r="Z8" i="4" s="1"/>
  <c r="Z843" i="4" a="1"/>
  <c r="Z843" i="4" s="1"/>
  <c r="Z9" i="4" a="1"/>
  <c r="Z9" i="4" s="1"/>
  <c r="Z464" i="4" a="1"/>
  <c r="Z464" i="4" s="1"/>
  <c r="Z449" i="4" a="1"/>
  <c r="Z449" i="4" s="1"/>
  <c r="Z314" i="4" a="1"/>
  <c r="Z314" i="4" s="1"/>
  <c r="Z781" i="4" a="1"/>
  <c r="Z781" i="4" s="1"/>
  <c r="Z823" i="4" a="1"/>
  <c r="Z823" i="4" s="1"/>
  <c r="Z287" i="4" a="1"/>
  <c r="Z287" i="4" s="1"/>
  <c r="Z775" i="4" a="1"/>
  <c r="Z775" i="4" s="1"/>
  <c r="Z900" i="4" a="1"/>
  <c r="Z900" i="4"/>
  <c r="Z10" i="4" a="1"/>
  <c r="Z10" i="4" s="1"/>
  <c r="Z863" i="4" a="1"/>
  <c r="Z863" i="4" s="1"/>
  <c r="Z436" i="4" a="1"/>
  <c r="Z436" i="4" s="1"/>
  <c r="Z887" i="4" a="1"/>
  <c r="Z887" i="4" s="1"/>
  <c r="Z651" i="4" a="1"/>
  <c r="Z651" i="4" s="1"/>
  <c r="Z183" i="4" a="1"/>
  <c r="Z183" i="4" s="1"/>
  <c r="Z656" i="4" a="1"/>
  <c r="Z656" i="4" s="1"/>
  <c r="Z11" i="4" a="1"/>
  <c r="Z11" i="4" s="1"/>
  <c r="Z12" i="4" a="1"/>
  <c r="Z12" i="4" s="1"/>
  <c r="Z339" i="4" a="1"/>
  <c r="Z339" i="4"/>
  <c r="Z274" i="4" a="1"/>
  <c r="Z274" i="4" s="1"/>
  <c r="Z13" i="4" a="1"/>
  <c r="Z13" i="4" s="1"/>
  <c r="Z797" i="4" a="1"/>
  <c r="Z797" i="4" s="1"/>
  <c r="Z705" i="4" a="1"/>
  <c r="Z705" i="4" s="1"/>
  <c r="Z14" i="4" a="1"/>
  <c r="Z14" i="4"/>
  <c r="Z196" i="4" a="1"/>
  <c r="Z196" i="4" s="1"/>
  <c r="Z395" i="4" a="1"/>
  <c r="Z395" i="4" s="1"/>
  <c r="Z709" i="4" a="1"/>
  <c r="Z709" i="4" s="1"/>
  <c r="Z15" i="4" a="1"/>
  <c r="Z15" i="4" s="1"/>
  <c r="Z481" i="4" a="1"/>
  <c r="Z481" i="4"/>
  <c r="Z483" i="4" a="1"/>
  <c r="Z483" i="4"/>
  <c r="Z740" i="4" a="1"/>
  <c r="Z740" i="4" s="1"/>
  <c r="Z275" i="4" a="1"/>
  <c r="Z275" i="4" s="1"/>
  <c r="Z758" i="4" a="1"/>
  <c r="Z758" i="4" s="1"/>
  <c r="Z16" i="4" a="1"/>
  <c r="Z16" i="4" s="1"/>
  <c r="Z776" i="4" a="1"/>
  <c r="Z776" i="4" s="1"/>
  <c r="Z444" i="4" a="1"/>
  <c r="Z444" i="4" s="1"/>
  <c r="Z955" i="4" a="1"/>
  <c r="Z955" i="4" s="1"/>
  <c r="Z216" i="4" a="1"/>
  <c r="Z216" i="4" s="1"/>
  <c r="Z746" i="4" a="1"/>
  <c r="Z746" i="4" s="1"/>
  <c r="Z946" i="4" a="1"/>
  <c r="Z946" i="4" s="1"/>
  <c r="Z737" i="4" a="1"/>
  <c r="Z737" i="4" s="1"/>
  <c r="Z670" i="4" a="1"/>
  <c r="Z670" i="4" s="1"/>
  <c r="Z17" i="4" a="1"/>
  <c r="Z17" i="4" s="1"/>
  <c r="Z161" i="4" a="1"/>
  <c r="Z161" i="4" s="1"/>
  <c r="Z373" i="4" a="1"/>
  <c r="Z373" i="4" s="1"/>
  <c r="Z284" i="4" a="1"/>
  <c r="Z284" i="4" s="1"/>
  <c r="Z237" i="4" a="1"/>
  <c r="Z237" i="4" s="1"/>
  <c r="Z249" i="4" a="1"/>
  <c r="Z249" i="4" s="1"/>
  <c r="Z632" i="4" a="1"/>
  <c r="Z632" i="4" s="1"/>
  <c r="Z820" i="4" a="1"/>
  <c r="Z820" i="4" s="1"/>
  <c r="Z848" i="4" a="1"/>
  <c r="Z848" i="4" s="1"/>
  <c r="Z425" i="4" a="1"/>
  <c r="Z425" i="4" s="1"/>
  <c r="Z204" i="4" a="1"/>
  <c r="Z204" i="4" s="1"/>
  <c r="Z18" i="4" a="1"/>
  <c r="Z18" i="4" s="1"/>
  <c r="Z939" i="4" a="1"/>
  <c r="Z939" i="4" s="1"/>
  <c r="Z570" i="4" a="1"/>
  <c r="Z570" i="4" s="1"/>
  <c r="Z207" i="4" a="1"/>
  <c r="Z207" i="4" s="1"/>
  <c r="Z19" i="4" a="1"/>
  <c r="Z19" i="4" s="1"/>
  <c r="Z905" i="4" a="1"/>
  <c r="Z905" i="4" s="1"/>
  <c r="Z302" i="4" a="1"/>
  <c r="Z302" i="4" s="1"/>
  <c r="Z516" i="4" a="1"/>
  <c r="Z516" i="4" s="1"/>
  <c r="Z250" i="4" a="1"/>
  <c r="Z250" i="4" s="1"/>
  <c r="Z20" i="4" a="1"/>
  <c r="Z20" i="4" s="1"/>
  <c r="Z414" i="4" a="1"/>
  <c r="Z414" i="4" s="1"/>
  <c r="Z806" i="4" a="1"/>
  <c r="Z806" i="4"/>
  <c r="Z700" i="4" a="1"/>
  <c r="Z700" i="4" s="1"/>
  <c r="Z410" i="4" a="1"/>
  <c r="Z410" i="4" s="1"/>
  <c r="Z21" i="4" a="1"/>
  <c r="Z21" i="4" s="1"/>
  <c r="Z22" i="4" a="1"/>
  <c r="Z22" i="4" s="1"/>
  <c r="Z745" i="4" a="1"/>
  <c r="Z745" i="4" s="1"/>
  <c r="Z827" i="4" a="1"/>
  <c r="Z827" i="4" s="1"/>
  <c r="Z970" i="4" a="1"/>
  <c r="Z970" i="4" s="1"/>
  <c r="Z885" i="4" a="1"/>
  <c r="Z885" i="4" s="1"/>
  <c r="Z650" i="4" a="1"/>
  <c r="Z650" i="4" s="1"/>
  <c r="Z958" i="4" a="1"/>
  <c r="Z958" i="4" s="1"/>
  <c r="Z253" i="4" a="1"/>
  <c r="Z253" i="4" s="1"/>
  <c r="Z807" i="4" a="1"/>
  <c r="Z807" i="4" s="1"/>
  <c r="Z221" i="4" a="1"/>
  <c r="Z221" i="4" s="1"/>
  <c r="Z563" i="4" a="1"/>
  <c r="Z563" i="4" s="1"/>
  <c r="Z23" i="4" a="1"/>
  <c r="Z23" i="4" s="1"/>
  <c r="Z378" i="4" a="1"/>
  <c r="Z378" i="4" s="1"/>
  <c r="Z266" i="4" a="1"/>
  <c r="Z266" i="4" s="1"/>
  <c r="Z873" i="4" a="1"/>
  <c r="Z873" i="4" s="1"/>
  <c r="Z24" i="4" a="1"/>
  <c r="Z24" i="4" s="1"/>
  <c r="Z941" i="4" a="1"/>
  <c r="Z941" i="4" s="1"/>
  <c r="Z510" i="4" a="1"/>
  <c r="Z510" i="4" s="1"/>
  <c r="Z935" i="4" a="1"/>
  <c r="Z935" i="4"/>
  <c r="Z433" i="4" a="1"/>
  <c r="Z433" i="4" s="1"/>
  <c r="Z25" i="4" a="1"/>
  <c r="Z25" i="4"/>
  <c r="Z815" i="4" a="1"/>
  <c r="Z815" i="4" s="1"/>
  <c r="Z557" i="4" a="1"/>
  <c r="Z557" i="4" s="1"/>
  <c r="Z918" i="4" a="1"/>
  <c r="Z918" i="4" s="1"/>
  <c r="Z259" i="4" a="1"/>
  <c r="Z259" i="4" s="1"/>
  <c r="Z190" i="4" a="1"/>
  <c r="Z190" i="4" s="1"/>
  <c r="Z308" i="4" a="1"/>
  <c r="Z308" i="4" s="1"/>
  <c r="Z791" i="4" a="1"/>
  <c r="Z791" i="4"/>
  <c r="Z960" i="4" a="1"/>
  <c r="Z960" i="4" s="1"/>
  <c r="Z898" i="4" a="1"/>
  <c r="Z898" i="4" s="1"/>
  <c r="Z847" i="4" a="1"/>
  <c r="Z847" i="4" s="1"/>
  <c r="Z659" i="4" a="1"/>
  <c r="Z659" i="4" s="1"/>
  <c r="Z811" i="4" a="1"/>
  <c r="Z811" i="4" s="1"/>
  <c r="Z230" i="4" a="1"/>
  <c r="Z230" i="4" s="1"/>
  <c r="Z388" i="4" a="1"/>
  <c r="Z388" i="4" s="1"/>
  <c r="Z245" i="4" a="1"/>
  <c r="Z245" i="4" s="1"/>
  <c r="Z325" i="4" a="1"/>
  <c r="Z325" i="4" s="1"/>
  <c r="Z615" i="4" a="1"/>
  <c r="Z615" i="4" s="1"/>
  <c r="Z328" i="4" a="1"/>
  <c r="Z328" i="4"/>
  <c r="Z255" i="4" a="1"/>
  <c r="Z255" i="4" s="1"/>
  <c r="Z825" i="4" a="1"/>
  <c r="Z825" i="4" s="1"/>
  <c r="Z195" i="4" a="1"/>
  <c r="Z195" i="4" s="1"/>
  <c r="Z654" i="4" a="1"/>
  <c r="Z654" i="4" s="1"/>
  <c r="Z389" i="4" a="1"/>
  <c r="Z389" i="4" s="1"/>
  <c r="Z747" i="4" a="1"/>
  <c r="Z747" i="4" s="1"/>
  <c r="Z502" i="4" a="1"/>
  <c r="Z502" i="4"/>
  <c r="Z437" i="4" a="1"/>
  <c r="Z437" i="4"/>
  <c r="Z375" i="4" a="1"/>
  <c r="Z375" i="4" s="1"/>
  <c r="Z352" i="4" a="1"/>
  <c r="Z352" i="4" s="1"/>
  <c r="Z426" i="4" a="1"/>
  <c r="Z426" i="4" s="1"/>
  <c r="Z858" i="4" a="1"/>
  <c r="Z858" i="4" s="1"/>
  <c r="Z26" i="4" a="1"/>
  <c r="Z26" i="4" s="1"/>
  <c r="Z210" i="4" a="1"/>
  <c r="Z210" i="4" s="1"/>
  <c r="Z540" i="4" a="1"/>
  <c r="Z540" i="4" s="1"/>
  <c r="Z505" i="4" a="1"/>
  <c r="Z505" i="4" s="1"/>
  <c r="Z341" i="4" a="1"/>
  <c r="Z341" i="4"/>
  <c r="Z324" i="4" a="1"/>
  <c r="Z324" i="4" s="1"/>
  <c r="Z769" i="4" a="1"/>
  <c r="Z769" i="4" s="1"/>
  <c r="Z445" i="4" a="1"/>
  <c r="Z445" i="4" s="1"/>
  <c r="Z304" i="4" a="1"/>
  <c r="Z304" i="4" s="1"/>
  <c r="Z158" i="4" a="1"/>
  <c r="Z158" i="4" s="1"/>
  <c r="Z466" i="4" a="1"/>
  <c r="Z466" i="4" s="1"/>
  <c r="Z628" i="4" a="1"/>
  <c r="Z628" i="4" s="1"/>
  <c r="Z836" i="4" a="1"/>
  <c r="Z836" i="4" s="1"/>
  <c r="Z181" i="4" a="1"/>
  <c r="Z181" i="4" s="1"/>
  <c r="Z696" i="4" a="1"/>
  <c r="Z696" i="4" s="1"/>
  <c r="Z243" i="4" a="1"/>
  <c r="Z243" i="4" s="1"/>
  <c r="Z27" i="4" a="1"/>
  <c r="Z27" i="4" s="1"/>
  <c r="Z28" i="4" a="1"/>
  <c r="Z28" i="4" s="1"/>
  <c r="Z663" i="4" a="1"/>
  <c r="Z663" i="4" s="1"/>
  <c r="Z184" i="4" a="1"/>
  <c r="Z184" i="4" s="1"/>
  <c r="Z837" i="4" a="1"/>
  <c r="Z837" i="4" s="1"/>
  <c r="Z865" i="4" a="1"/>
  <c r="Z865" i="4" s="1"/>
  <c r="Z189" i="4" a="1"/>
  <c r="Z189" i="4" s="1"/>
  <c r="Z215" i="4" a="1"/>
  <c r="Z215" i="4" s="1"/>
  <c r="Z29" i="4" a="1"/>
  <c r="Z29" i="4" s="1"/>
  <c r="Z954" i="4" a="1"/>
  <c r="Z954" i="4" s="1"/>
  <c r="Z448" i="4" a="1"/>
  <c r="Z448" i="4" s="1"/>
  <c r="Z454" i="4" a="1"/>
  <c r="Z454" i="4"/>
  <c r="Z166" i="4" a="1"/>
  <c r="Z166" i="4" s="1"/>
  <c r="Z772" i="4" a="1"/>
  <c r="Z772" i="4" s="1"/>
  <c r="Z587" i="4" a="1"/>
  <c r="Z587" i="4" s="1"/>
  <c r="Z218" i="4" a="1"/>
  <c r="Z218" i="4" s="1"/>
  <c r="Z356" i="4" a="1"/>
  <c r="Z356" i="4" s="1"/>
  <c r="Z915" i="4" a="1"/>
  <c r="Z915" i="4" s="1"/>
  <c r="Z30" i="4" a="1"/>
  <c r="Z30" i="4"/>
  <c r="Z224" i="4" a="1"/>
  <c r="Z224" i="4" s="1"/>
  <c r="Z495" i="4" a="1"/>
  <c r="Z495" i="4" s="1"/>
  <c r="Z173" i="4" a="1"/>
  <c r="Z173" i="4" s="1"/>
  <c r="Z254" i="4" a="1"/>
  <c r="Z254" i="4" s="1"/>
  <c r="Z31" i="4" a="1"/>
  <c r="Z31" i="4" s="1"/>
  <c r="Z32" i="4" a="1"/>
  <c r="Z32" i="4" s="1"/>
  <c r="Z664" i="4" a="1"/>
  <c r="Z664" i="4" s="1"/>
  <c r="Z635" i="4" a="1"/>
  <c r="Z635" i="4" s="1"/>
  <c r="Z353" i="4" a="1"/>
  <c r="Z353" i="4"/>
  <c r="Z276" i="4" a="1"/>
  <c r="Z276" i="4" s="1"/>
  <c r="Z377" i="4" a="1"/>
  <c r="Z377" i="4" s="1"/>
  <c r="Z33" i="4" a="1"/>
  <c r="Z33" i="4"/>
  <c r="Z34" i="4" a="1"/>
  <c r="Z34" i="4" s="1"/>
  <c r="Z459" i="4" a="1"/>
  <c r="Z459" i="4" s="1"/>
  <c r="Z370" i="4" a="1"/>
  <c r="Z370" i="4" s="1"/>
  <c r="Z432" i="4" a="1"/>
  <c r="Z432" i="4" s="1"/>
  <c r="Z35" i="4" a="1"/>
  <c r="Z35" i="4" s="1"/>
  <c r="Z369" i="4" a="1"/>
  <c r="Z369" i="4" s="1"/>
  <c r="Z326" i="4" a="1"/>
  <c r="Z326" i="4" s="1"/>
  <c r="Z503" i="4" a="1"/>
  <c r="Z503" i="4" s="1"/>
  <c r="Z443" i="4" a="1"/>
  <c r="Z443" i="4" s="1"/>
  <c r="Z412" i="4" a="1"/>
  <c r="Z412" i="4" s="1"/>
  <c r="Z273" i="4" a="1"/>
  <c r="Z273" i="4" s="1"/>
  <c r="Z424" i="4" a="1"/>
  <c r="Z424" i="4" s="1"/>
  <c r="Z36" i="4" a="1"/>
  <c r="Z36" i="4" s="1"/>
  <c r="Z447" i="4" a="1"/>
  <c r="Z447" i="4" s="1"/>
  <c r="Z580" i="4" a="1"/>
  <c r="Z580" i="4" s="1"/>
  <c r="Z525" i="4" a="1"/>
  <c r="Z525" i="4" s="1"/>
  <c r="Z475" i="4" a="1"/>
  <c r="Z475" i="4" s="1"/>
  <c r="Z578" i="4" a="1"/>
  <c r="Z578" i="4" s="1"/>
  <c r="Z982" i="4" a="1"/>
  <c r="Z982" i="4" s="1"/>
  <c r="Z37" i="4" a="1"/>
  <c r="Z37" i="4" s="1"/>
  <c r="Z293" i="4" a="1"/>
  <c r="Z293" i="4" s="1"/>
  <c r="Z38" i="4" a="1"/>
  <c r="Z38" i="4" s="1"/>
  <c r="Z619" i="4" a="1"/>
  <c r="Z619" i="4" s="1"/>
  <c r="Z244" i="4" a="1"/>
  <c r="Z244" i="4" s="1"/>
  <c r="Z566" i="4" a="1"/>
  <c r="Z566" i="4" s="1"/>
  <c r="Z908" i="4" a="1"/>
  <c r="Z908" i="4" s="1"/>
  <c r="Z358" i="4" a="1"/>
  <c r="Z358" i="4" s="1"/>
  <c r="Z319" i="4" a="1"/>
  <c r="Z319" i="4" s="1"/>
  <c r="Z295" i="4" a="1"/>
  <c r="Z295" i="4" s="1"/>
  <c r="Z757" i="4" a="1"/>
  <c r="Z757" i="4" s="1"/>
  <c r="Z329" i="4" a="1"/>
  <c r="Z329" i="4" s="1"/>
  <c r="Z238" i="4" a="1"/>
  <c r="Z238" i="4" s="1"/>
  <c r="Z881" i="4" a="1"/>
  <c r="Z881" i="4"/>
  <c r="Z598" i="4" a="1"/>
  <c r="Z598" i="4" s="1"/>
  <c r="Z721" i="4" a="1"/>
  <c r="Z721" i="4"/>
  <c r="Z894" i="4" a="1"/>
  <c r="Z894" i="4" s="1"/>
  <c r="Z427" i="4" a="1"/>
  <c r="Z427" i="4" s="1"/>
  <c r="Z532" i="4" a="1"/>
  <c r="Z532" i="4" s="1"/>
  <c r="Z779" i="4" a="1"/>
  <c r="Z779" i="4" s="1"/>
  <c r="Z430" i="4" a="1"/>
  <c r="Z430" i="4" s="1"/>
  <c r="Z354" i="4" a="1"/>
  <c r="Z354" i="4" s="1"/>
  <c r="Z383" i="4" a="1"/>
  <c r="Z383" i="4" s="1"/>
  <c r="Z948" i="4" a="1"/>
  <c r="Z948" i="4"/>
  <c r="Z468" i="4" a="1"/>
  <c r="Z468" i="4" s="1"/>
  <c r="Z790" i="4" a="1"/>
  <c r="Z790" i="4" s="1"/>
  <c r="Z805" i="4" a="1"/>
  <c r="Z805" i="4" s="1"/>
  <c r="Z527" i="4" a="1"/>
  <c r="Z527" i="4" s="1"/>
  <c r="Z434" i="4" a="1"/>
  <c r="Z434" i="4" s="1"/>
  <c r="Z455" i="4" a="1"/>
  <c r="Z455" i="4" s="1"/>
  <c r="Z681" i="4" a="1"/>
  <c r="Z681" i="4" s="1"/>
  <c r="Z617" i="4" a="1"/>
  <c r="Z617" i="4" s="1"/>
  <c r="Z201" i="4" a="1"/>
  <c r="Z201" i="4" s="1"/>
  <c r="Z403" i="4" a="1"/>
  <c r="Z403" i="4"/>
  <c r="Z461" i="4" a="1"/>
  <c r="Z461" i="4" s="1"/>
  <c r="Z170" i="4" a="1"/>
  <c r="Z170" i="4" s="1"/>
  <c r="Z213" i="4" a="1"/>
  <c r="Z213" i="4" s="1"/>
  <c r="Z897" i="4" a="1"/>
  <c r="Z897" i="4" s="1"/>
  <c r="Z716" i="4" a="1"/>
  <c r="Z716" i="4" s="1"/>
  <c r="Z582" i="4" a="1"/>
  <c r="Z582" i="4"/>
  <c r="Z759" i="4" a="1"/>
  <c r="Z759" i="4" s="1"/>
  <c r="Z380" i="4" a="1"/>
  <c r="Z380" i="4"/>
  <c r="Z713" i="4" a="1"/>
  <c r="Z713" i="4" s="1"/>
  <c r="Z164" i="4" a="1"/>
  <c r="Z164" i="4" s="1"/>
  <c r="Z462" i="4" a="1"/>
  <c r="Z462" i="4" s="1"/>
  <c r="Z220" i="4" a="1"/>
  <c r="Z220" i="4"/>
  <c r="Z697" i="4" a="1"/>
  <c r="Z697" i="4" s="1"/>
  <c r="Z422" i="4" a="1"/>
  <c r="Z422" i="4" s="1"/>
  <c r="Z397" i="4" a="1"/>
  <c r="Z397" i="4" s="1"/>
  <c r="Z953" i="4" a="1"/>
  <c r="Z953" i="4" s="1"/>
  <c r="Z296" i="4" a="1"/>
  <c r="Z296" i="4" s="1"/>
  <c r="Z39" i="4" a="1"/>
  <c r="Z39" i="4" s="1"/>
  <c r="Z40" i="4" a="1"/>
  <c r="Z40" i="4" s="1"/>
  <c r="Z41" i="4" a="1"/>
  <c r="Z41" i="4"/>
  <c r="Z206" i="4" a="1"/>
  <c r="Z206" i="4" s="1"/>
  <c r="Z280" i="4" a="1"/>
  <c r="Z280" i="4" s="1"/>
  <c r="Z264" i="4" a="1"/>
  <c r="Z264" i="4" s="1"/>
  <c r="Z605" i="4" a="1"/>
  <c r="Z605" i="4" s="1"/>
  <c r="Z42" i="4" a="1"/>
  <c r="Z42" i="4" s="1"/>
  <c r="Z43" i="4" a="1"/>
  <c r="Z43" i="4" s="1"/>
  <c r="Z226" i="4" a="1"/>
  <c r="Z226" i="4" s="1"/>
  <c r="Z971" i="4" a="1"/>
  <c r="Z971" i="4" s="1"/>
  <c r="Z376" i="4" a="1"/>
  <c r="Z376" i="4" s="1"/>
  <c r="Z44" i="4" a="1"/>
  <c r="Z44" i="4" s="1"/>
  <c r="Z363" i="4" a="1"/>
  <c r="Z363" i="4"/>
  <c r="Z555" i="4" a="1"/>
  <c r="Z555" i="4" s="1"/>
  <c r="Z45" i="4" a="1"/>
  <c r="Z45" i="4" s="1"/>
  <c r="Z423" i="4" a="1"/>
  <c r="Z423" i="4" s="1"/>
  <c r="Z159" i="4" a="1"/>
  <c r="Z159" i="4" s="1"/>
  <c r="Z950" i="4" a="1"/>
  <c r="Z950" i="4" s="1"/>
  <c r="Z306" i="4" a="1"/>
  <c r="Z306" i="4"/>
  <c r="Z46" i="4" a="1"/>
  <c r="Z46" i="4" s="1"/>
  <c r="Z932" i="4" a="1"/>
  <c r="Z932" i="4" s="1"/>
  <c r="Z47" i="4" a="1"/>
  <c r="Z47" i="4" s="1"/>
  <c r="Z48" i="4" a="1"/>
  <c r="Z48" i="4" s="1"/>
  <c r="Z49" i="4" a="1"/>
  <c r="Z49" i="4" s="1"/>
  <c r="Z642" i="4" a="1"/>
  <c r="Z642" i="4" s="1"/>
  <c r="Z684" i="4" a="1"/>
  <c r="Z684" i="4" s="1"/>
  <c r="Z50" i="4" a="1"/>
  <c r="Z50" i="4" s="1"/>
  <c r="Z676" i="4" a="1"/>
  <c r="Z676" i="4" s="1"/>
  <c r="Z272" i="4" a="1"/>
  <c r="Z272" i="4" s="1"/>
  <c r="Z497" i="4" a="1"/>
  <c r="Z497" i="4" s="1"/>
  <c r="Z851" i="4" a="1"/>
  <c r="Z851" i="4" s="1"/>
  <c r="Z205" i="4" a="1"/>
  <c r="Z205" i="4" s="1"/>
  <c r="Z981" i="4" a="1"/>
  <c r="Z981" i="4"/>
  <c r="Z438" i="4" a="1"/>
  <c r="Z438" i="4" s="1"/>
  <c r="Z211" i="4" a="1"/>
  <c r="Z211" i="4" s="1"/>
  <c r="Z337" i="4" a="1"/>
  <c r="Z337" i="4" s="1"/>
  <c r="Z478" i="4" a="1"/>
  <c r="Z478" i="4" s="1"/>
  <c r="Z765" i="4" a="1"/>
  <c r="Z765" i="4" s="1"/>
  <c r="Z877" i="4" a="1"/>
  <c r="Z877" i="4" s="1"/>
  <c r="Z51" i="4" a="1"/>
  <c r="Z51" i="4" s="1"/>
  <c r="Z372" i="4" a="1"/>
  <c r="Z372" i="4" s="1"/>
  <c r="Z708" i="4" a="1"/>
  <c r="Z708" i="4"/>
  <c r="Z431" i="4" a="1"/>
  <c r="Z431" i="4" s="1"/>
  <c r="Z52" i="4" a="1"/>
  <c r="Z52" i="4"/>
  <c r="Z222" i="4" a="1"/>
  <c r="Z222" i="4" s="1"/>
  <c r="Z907" i="4" a="1"/>
  <c r="Z907" i="4" s="1"/>
  <c r="Z442" i="4" a="1"/>
  <c r="Z442" i="4" s="1"/>
  <c r="Z53" i="4" a="1"/>
  <c r="Z53" i="4" s="1"/>
  <c r="Z482" i="4" a="1"/>
  <c r="Z482" i="4" s="1"/>
  <c r="Z180" i="4" a="1"/>
  <c r="Z180" i="4" s="1"/>
  <c r="Z517" i="4" a="1"/>
  <c r="Z517" i="4" s="1"/>
  <c r="Z54" i="4" a="1"/>
  <c r="Z54" i="4"/>
  <c r="Z735" i="4" a="1"/>
  <c r="Z735" i="4" s="1"/>
  <c r="Z719" i="4" a="1"/>
  <c r="Z719" i="4" s="1"/>
  <c r="Z551" i="4" a="1"/>
  <c r="Z551" i="4" s="1"/>
  <c r="Z798" i="4" a="1"/>
  <c r="Z798" i="4" s="1"/>
  <c r="Z572" i="4" a="1"/>
  <c r="Z572" i="4"/>
  <c r="Z348" i="4" a="1"/>
  <c r="Z348" i="4"/>
  <c r="Z212" i="4" a="1"/>
  <c r="Z212" i="4" s="1"/>
  <c r="Z55" i="4" a="1"/>
  <c r="Z55" i="4"/>
  <c r="Z890" i="4" a="1"/>
  <c r="Z890" i="4" s="1"/>
  <c r="Z491" i="4" a="1"/>
  <c r="Z491" i="4" s="1"/>
  <c r="Z906" i="4" a="1"/>
  <c r="Z906" i="4" s="1"/>
  <c r="Z637" i="4" a="1"/>
  <c r="Z637" i="4" s="1"/>
  <c r="Z537" i="4" a="1"/>
  <c r="Z537" i="4" s="1"/>
  <c r="Z429" i="4" a="1"/>
  <c r="Z429" i="4" s="1"/>
  <c r="Z160" i="4" a="1"/>
  <c r="Z160" i="4" s="1"/>
  <c r="Z621" i="4" a="1"/>
  <c r="Z621" i="4"/>
  <c r="Z176" i="4" a="1"/>
  <c r="Z176" i="4" s="1"/>
  <c r="Z357" i="4" a="1"/>
  <c r="Z357" i="4"/>
  <c r="Z268" i="4" a="1"/>
  <c r="Z268" i="4" s="1"/>
  <c r="Z812" i="4" a="1"/>
  <c r="Z812" i="4"/>
  <c r="Z889" i="4" a="1"/>
  <c r="Z889" i="4" s="1"/>
  <c r="Z767" i="4" a="1"/>
  <c r="Z767" i="4" s="1"/>
  <c r="Z242" i="4" a="1"/>
  <c r="Z242" i="4" s="1"/>
  <c r="Z913" i="4" a="1"/>
  <c r="Z913" i="4" s="1"/>
  <c r="Z332" i="4" a="1"/>
  <c r="Z332" i="4" s="1"/>
  <c r="Z56" i="4" a="1"/>
  <c r="Z56" i="4"/>
  <c r="Z57" i="4" a="1"/>
  <c r="Z57" i="4"/>
  <c r="Z350" i="4" a="1"/>
  <c r="Z350" i="4" s="1"/>
  <c r="Z519" i="4" a="1"/>
  <c r="Z519" i="4" s="1"/>
  <c r="Z901" i="4" a="1"/>
  <c r="Z901" i="4" s="1"/>
  <c r="Z323" i="4" a="1"/>
  <c r="Z323" i="4" s="1"/>
  <c r="Z949" i="4" a="1"/>
  <c r="Z949" i="4" s="1"/>
  <c r="Z393" i="4" a="1"/>
  <c r="Z393" i="4" s="1"/>
  <c r="Z58" i="4" a="1"/>
  <c r="Z58" i="4" s="1"/>
  <c r="Z59" i="4" a="1"/>
  <c r="Z59" i="4" s="1"/>
  <c r="Z285" i="4" a="1"/>
  <c r="Z285" i="4" s="1"/>
  <c r="Z60" i="4" a="1"/>
  <c r="Z60" i="4" s="1"/>
  <c r="Z686" i="4" a="1"/>
  <c r="Z686" i="4"/>
  <c r="Z493" i="4" a="1"/>
  <c r="Z493" i="4" s="1"/>
  <c r="Z841" i="4" a="1"/>
  <c r="Z841" i="4" s="1"/>
  <c r="Z269" i="4" a="1"/>
  <c r="Z269" i="4" s="1"/>
  <c r="Z315" i="4" a="1"/>
  <c r="Z315" i="4" s="1"/>
  <c r="Z597" i="4" a="1"/>
  <c r="Z597" i="4" s="1"/>
  <c r="Z693" i="4" a="1"/>
  <c r="Z693" i="4" s="1"/>
  <c r="Z726" i="4" a="1"/>
  <c r="Z726" i="4" s="1"/>
  <c r="Z360" i="4" a="1"/>
  <c r="Z360" i="4"/>
  <c r="Z61" i="4" a="1"/>
  <c r="Z61" i="4"/>
  <c r="Z321" i="4" a="1"/>
  <c r="Z321" i="4" s="1"/>
  <c r="Z524" i="4" a="1"/>
  <c r="Z524" i="4" s="1"/>
  <c r="Z305" i="4" a="1"/>
  <c r="Z305" i="4" s="1"/>
  <c r="Z231" i="4" a="1"/>
  <c r="Z231" i="4" s="1"/>
  <c r="Z267" i="4" a="1"/>
  <c r="Z267" i="4" s="1"/>
  <c r="Z479" i="4" a="1"/>
  <c r="Z479" i="4"/>
  <c r="Z316" i="4" a="1"/>
  <c r="Z316" i="4"/>
  <c r="Z816" i="4" a="1"/>
  <c r="Z816" i="4" s="1"/>
  <c r="Z945" i="4" a="1"/>
  <c r="Z945" i="4" s="1"/>
  <c r="Z286" i="4" a="1"/>
  <c r="Z286" i="4" s="1"/>
  <c r="Z62" i="4" a="1"/>
  <c r="Z62" i="4" s="1"/>
  <c r="Z480" i="4" a="1"/>
  <c r="Z480" i="4" s="1"/>
  <c r="Z974" i="4" a="1"/>
  <c r="Z974" i="4" s="1"/>
  <c r="Z177" i="4" a="1"/>
  <c r="Z177" i="4" s="1"/>
  <c r="Z926" i="4" a="1"/>
  <c r="Z926" i="4"/>
  <c r="Z435" i="4" a="1"/>
  <c r="Z435" i="4" s="1"/>
  <c r="Z349" i="4" a="1"/>
  <c r="Z349" i="4"/>
  <c r="Z385" i="4" a="1"/>
  <c r="Z385" i="4" s="1"/>
  <c r="Z867" i="4" a="1"/>
  <c r="Z867" i="4" s="1"/>
  <c r="Z63" i="4" a="1"/>
  <c r="Z63" i="4" s="1"/>
  <c r="Z738" i="4" a="1"/>
  <c r="Z738" i="4"/>
  <c r="Z576" i="4" a="1"/>
  <c r="Z576" i="4" s="1"/>
  <c r="Z64" i="4" a="1"/>
  <c r="Z64" i="4" s="1"/>
  <c r="Z729" i="4" a="1"/>
  <c r="Z729" i="4" s="1"/>
  <c r="Z65" i="4" a="1"/>
  <c r="Z65" i="4" s="1"/>
  <c r="Z629" i="4" a="1"/>
  <c r="Z629" i="4" s="1"/>
  <c r="Z66" i="4" a="1"/>
  <c r="Z66" i="4" s="1"/>
  <c r="Z67" i="4" a="1"/>
  <c r="Z67" i="4" s="1"/>
  <c r="Z625" i="4" a="1"/>
  <c r="Z625" i="4" s="1"/>
  <c r="Z391" i="4" a="1"/>
  <c r="Z391" i="4" s="1"/>
  <c r="Z831" i="4" a="1"/>
  <c r="Z831" i="4" s="1"/>
  <c r="Z819" i="4" a="1"/>
  <c r="Z819" i="4" s="1"/>
  <c r="Z589" i="4" a="1"/>
  <c r="Z589" i="4" s="1"/>
  <c r="Z386" i="4" a="1"/>
  <c r="Z386" i="4" s="1"/>
  <c r="Z688" i="4" a="1"/>
  <c r="Z688" i="4" s="1"/>
  <c r="Z68" i="4" a="1"/>
  <c r="Z68" i="4" s="1"/>
  <c r="Z69" i="4" a="1"/>
  <c r="Z69" i="4" s="1"/>
  <c r="Z334" i="4" a="1"/>
  <c r="Z334" i="4" s="1"/>
  <c r="Z690" i="4" a="1"/>
  <c r="Z690" i="4"/>
  <c r="Z428" i="4" a="1"/>
  <c r="Z428" i="4" s="1"/>
  <c r="Z804" i="4" a="1"/>
  <c r="Z804" i="4" s="1"/>
  <c r="Z687" i="4" a="1"/>
  <c r="Z687" i="4" s="1"/>
  <c r="Z796" i="4" a="1"/>
  <c r="Z796" i="4" s="1"/>
  <c r="Z507" i="4" a="1"/>
  <c r="Z507" i="4" s="1"/>
  <c r="Z465" i="4" a="1"/>
  <c r="Z465" i="4" s="1"/>
  <c r="Z70" i="4" a="1"/>
  <c r="Z70" i="4" s="1"/>
  <c r="Z335" i="4" a="1"/>
  <c r="Z335" i="4" s="1"/>
  <c r="Z248" i="4" a="1"/>
  <c r="Z248" i="4" s="1"/>
  <c r="Z710" i="4" a="1"/>
  <c r="Z710" i="4" s="1"/>
  <c r="Z371" i="4" a="1"/>
  <c r="Z371" i="4" s="1"/>
  <c r="Z336" i="4" a="1"/>
  <c r="Z336" i="4" s="1"/>
  <c r="Z914" i="4" a="1"/>
  <c r="Z914" i="4" s="1"/>
  <c r="Z599" i="4" a="1"/>
  <c r="Z599" i="4" s="1"/>
  <c r="Z762" i="4" a="1"/>
  <c r="Z762" i="4" s="1"/>
  <c r="Z409" i="4" a="1"/>
  <c r="Z409" i="4" s="1"/>
  <c r="Z868" i="4" a="1"/>
  <c r="Z868" i="4" s="1"/>
  <c r="Z542" i="4" a="1"/>
  <c r="Z542" i="4" s="1"/>
  <c r="Z620" i="4" a="1"/>
  <c r="Z620" i="4" s="1"/>
  <c r="Z661" i="4" a="1"/>
  <c r="Z661" i="4" s="1"/>
  <c r="Z653" i="4" a="1"/>
  <c r="Z653" i="4" s="1"/>
  <c r="Z800" i="4" a="1"/>
  <c r="Z800" i="4" s="1"/>
  <c r="Z574" i="4" a="1"/>
  <c r="Z574" i="4" s="1"/>
  <c r="Z567" i="4" a="1"/>
  <c r="Z567" i="4" s="1"/>
  <c r="Z600" i="4" a="1"/>
  <c r="Z600" i="4"/>
  <c r="Z2" i="4" a="1"/>
  <c r="Z2" i="4"/>
  <c r="Z366" i="4" a="1"/>
  <c r="Z366" i="4" s="1"/>
  <c r="Z71" i="4" a="1"/>
  <c r="Z71" i="4" s="1"/>
  <c r="Z200" i="4" a="1"/>
  <c r="Z200" i="4" s="1"/>
  <c r="Z439" i="4" a="1"/>
  <c r="Z439" i="4" s="1"/>
  <c r="Z379" i="4" a="1"/>
  <c r="Z379" i="4" s="1"/>
  <c r="Z698" i="4" a="1"/>
  <c r="Z698" i="4" s="1"/>
  <c r="Z817" i="4" a="1"/>
  <c r="Z817" i="4" s="1"/>
  <c r="Z703" i="4" a="1"/>
  <c r="Z703" i="4" s="1"/>
  <c r="Z902" i="4" a="1"/>
  <c r="Z902" i="4" s="1"/>
  <c r="Z899" i="4" a="1"/>
  <c r="Z899" i="4" s="1"/>
  <c r="Z821" i="4" a="1"/>
  <c r="Z821" i="4"/>
  <c r="Z514" i="4" a="1"/>
  <c r="Z514" i="4" s="1"/>
  <c r="Z500" i="4" a="1"/>
  <c r="Z500" i="4" s="1"/>
  <c r="Z292" i="4" a="1"/>
  <c r="Z292" i="4" s="1"/>
  <c r="Z595" i="4" a="1"/>
  <c r="Z595" i="4" s="1"/>
  <c r="Z420" i="4" a="1"/>
  <c r="Z420" i="4"/>
  <c r="Z72" i="4" a="1"/>
  <c r="Z72" i="4" s="1"/>
  <c r="Z818" i="4" a="1"/>
  <c r="Z818" i="4" s="1"/>
  <c r="Z450" i="4" a="1"/>
  <c r="Z450" i="4" s="1"/>
  <c r="Z528" i="4" a="1"/>
  <c r="Z528" i="4" s="1"/>
  <c r="Z755" i="4" a="1"/>
  <c r="Z755" i="4" s="1"/>
  <c r="Z714" i="4" a="1"/>
  <c r="Z714" i="4" s="1"/>
  <c r="Z850" i="4" a="1"/>
  <c r="Z850" i="4" s="1"/>
  <c r="Z753" i="4" a="1"/>
  <c r="Z753" i="4" s="1"/>
  <c r="Z879" i="4" a="1"/>
  <c r="Z879" i="4" s="1"/>
  <c r="Z281" i="4" a="1"/>
  <c r="Z281" i="4" s="1"/>
  <c r="Z73" i="4" a="1"/>
  <c r="Z73" i="4" s="1"/>
  <c r="Z672" i="4" a="1"/>
  <c r="Z672" i="4" s="1"/>
  <c r="Z198" i="4" a="1"/>
  <c r="Z198" i="4" s="1"/>
  <c r="Z416" i="4" a="1"/>
  <c r="Z416" i="4" s="1"/>
  <c r="Z569" i="4" a="1"/>
  <c r="Z569" i="4" s="1"/>
  <c r="Z74" i="4" a="1"/>
  <c r="Z74" i="4" s="1"/>
  <c r="Z75" i="4" a="1"/>
  <c r="Z75" i="4" s="1"/>
  <c r="Z626" i="4" a="1"/>
  <c r="Z626" i="4" s="1"/>
  <c r="Z401" i="4" a="1"/>
  <c r="Z401" i="4" s="1"/>
  <c r="Z246" i="4" a="1"/>
  <c r="Z246" i="4" s="1"/>
  <c r="Z741" i="4" a="1"/>
  <c r="Z741" i="4" s="1"/>
  <c r="Z547" i="4" a="1"/>
  <c r="Z547" i="4"/>
  <c r="Z784" i="4" a="1"/>
  <c r="Z784" i="4" s="1"/>
  <c r="Z835" i="4" a="1"/>
  <c r="Z835" i="4" s="1"/>
  <c r="Z849" i="4" a="1"/>
  <c r="Z849" i="4"/>
  <c r="Z685" i="4" a="1"/>
  <c r="Z685" i="4" s="1"/>
  <c r="Z338" i="4" a="1"/>
  <c r="Z338" i="4" s="1"/>
  <c r="Z657" i="4" a="1"/>
  <c r="Z657" i="4" s="1"/>
  <c r="Z864" i="4" a="1"/>
  <c r="Z864" i="4" s="1"/>
  <c r="Z496" i="4" a="1"/>
  <c r="Z496" i="4" s="1"/>
  <c r="Z76" i="4" a="1"/>
  <c r="Z76" i="4" s="1"/>
  <c r="Z501" i="4" a="1"/>
  <c r="Z501" i="4" s="1"/>
  <c r="Z882" i="4" a="1"/>
  <c r="Z882" i="4" s="1"/>
  <c r="Z467" i="4" a="1"/>
  <c r="Z467" i="4" s="1"/>
  <c r="Z794" i="4" a="1"/>
  <c r="Z794" i="4" s="1"/>
  <c r="Z702" i="4" a="1"/>
  <c r="Z702" i="4" s="1"/>
  <c r="Z846" i="4" a="1"/>
  <c r="Z846" i="4" s="1"/>
  <c r="Z260" i="4" a="1"/>
  <c r="Z260" i="4"/>
  <c r="Z458" i="4" a="1"/>
  <c r="Z458" i="4" s="1"/>
  <c r="Z645" i="4" a="1"/>
  <c r="Z645" i="4" s="1"/>
  <c r="Z417" i="4" a="1"/>
  <c r="Z417" i="4" s="1"/>
  <c r="Z172" i="4" a="1"/>
  <c r="Z172" i="4" s="1"/>
  <c r="Z404" i="4" a="1"/>
  <c r="Z404" i="4"/>
  <c r="Z499" i="4" a="1"/>
  <c r="Z499" i="4" s="1"/>
  <c r="Z727" i="4" a="1"/>
  <c r="Z727" i="4"/>
  <c r="Z477" i="4" a="1"/>
  <c r="Z477" i="4"/>
  <c r="Z763" i="4" a="1"/>
  <c r="Z763" i="4" s="1"/>
  <c r="Z613" i="4" a="1"/>
  <c r="Z613" i="4" s="1"/>
  <c r="Z691" i="4" a="1"/>
  <c r="Z691" i="4" s="1"/>
  <c r="Z842" i="4" a="1"/>
  <c r="Z842" i="4" s="1"/>
  <c r="Z486" i="4" a="1"/>
  <c r="Z486" i="4" s="1"/>
  <c r="Z320" i="4" a="1"/>
  <c r="Z320" i="4"/>
  <c r="Z162" i="4" a="1"/>
  <c r="Z162" i="4" s="1"/>
  <c r="Z585" i="4" a="1"/>
  <c r="Z585" i="4"/>
  <c r="Z252" i="4" a="1"/>
  <c r="Z252" i="4" s="1"/>
  <c r="Z534" i="4" a="1"/>
  <c r="Z534" i="4" s="1"/>
  <c r="Z814" i="4" a="1"/>
  <c r="Z814" i="4" s="1"/>
  <c r="Z451" i="4" a="1"/>
  <c r="Z451" i="4" s="1"/>
  <c r="Z288" i="4" a="1"/>
  <c r="Z288" i="4" s="1"/>
  <c r="Z692" i="4" a="1"/>
  <c r="Z692" i="4" s="1"/>
  <c r="Z925" i="4" a="1"/>
  <c r="Z925" i="4" s="1"/>
  <c r="Z593" i="4" a="1"/>
  <c r="Z593" i="4" s="1"/>
  <c r="Z203" i="4" a="1"/>
  <c r="Z203" i="4" s="1"/>
  <c r="Z258" i="4" a="1"/>
  <c r="Z258" i="4" s="1"/>
  <c r="Z400" i="4" a="1"/>
  <c r="Z400" i="4" s="1"/>
  <c r="Z265" i="4" a="1"/>
  <c r="Z265" i="4" s="1"/>
  <c r="Z157" i="4" a="1"/>
  <c r="Z157" i="4" s="1"/>
  <c r="Z533" i="4" a="1"/>
  <c r="Z533" i="4" s="1"/>
  <c r="Z862" i="4" a="1"/>
  <c r="Z862" i="4" s="1"/>
  <c r="Z405" i="4" a="1"/>
  <c r="Z405" i="4" s="1"/>
  <c r="Z77" i="4" a="1"/>
  <c r="Z77" i="4" s="1"/>
  <c r="Z344" i="4" a="1"/>
  <c r="Z344" i="4" s="1"/>
  <c r="Z731" i="4" a="1"/>
  <c r="Z731" i="4" s="1"/>
  <c r="Z701" i="4" a="1"/>
  <c r="Z701" i="4" s="1"/>
  <c r="Z652" i="4" a="1"/>
  <c r="Z652" i="4" s="1"/>
  <c r="Z723" i="4" a="1"/>
  <c r="Z723" i="4" s="1"/>
  <c r="Z452" i="4" a="1"/>
  <c r="Z452" i="4" s="1"/>
  <c r="Z639" i="4" a="1"/>
  <c r="Z639" i="4"/>
  <c r="Z492" i="4" a="1"/>
  <c r="Z492" i="4" s="1"/>
  <c r="Z856" i="4" a="1"/>
  <c r="Z856" i="4" s="1"/>
  <c r="Z289" i="4" a="1"/>
  <c r="Z289" i="4" s="1"/>
  <c r="Z631" i="4" a="1"/>
  <c r="Z631" i="4" s="1"/>
  <c r="Z364" i="4" a="1"/>
  <c r="Z364" i="4" s="1"/>
  <c r="Z854" i="4" a="1"/>
  <c r="Z854" i="4" s="1"/>
  <c r="Z612" i="4" a="1"/>
  <c r="Z612" i="4" s="1"/>
  <c r="Z704" i="4" a="1"/>
  <c r="Z704" i="4" s="1"/>
  <c r="Z978" i="4" a="1"/>
  <c r="Z978" i="4" s="1"/>
  <c r="Z78" i="4" a="1"/>
  <c r="Z78" i="4" s="1"/>
  <c r="Z520" i="4" a="1"/>
  <c r="Z520" i="4" s="1"/>
  <c r="Z789" i="4" a="1"/>
  <c r="Z789" i="4" s="1"/>
  <c r="Z79" i="4" a="1"/>
  <c r="Z79" i="4" s="1"/>
  <c r="Z584" i="4" a="1"/>
  <c r="Z584" i="4" s="1"/>
  <c r="Z624" i="4" a="1"/>
  <c r="Z624" i="4" s="1"/>
  <c r="Z156" i="4" a="1"/>
  <c r="Z156" i="4" s="1"/>
  <c r="Z773" i="4" a="1"/>
  <c r="Z773" i="4" s="1"/>
  <c r="Z80" i="4" a="1"/>
  <c r="Z80" i="4" s="1"/>
  <c r="Z934" i="4" a="1"/>
  <c r="Z934" i="4" s="1"/>
  <c r="Z871" i="4" a="1"/>
  <c r="Z871" i="4" s="1"/>
  <c r="Z81" i="4" a="1"/>
  <c r="Z81" i="4" s="1"/>
  <c r="Z861" i="4" a="1"/>
  <c r="Z861" i="4" s="1"/>
  <c r="Z494" i="4" a="1"/>
  <c r="Z494" i="4" s="1"/>
  <c r="Z82" i="4" a="1"/>
  <c r="Z82" i="4" s="1"/>
  <c r="Z83" i="4" a="1"/>
  <c r="Z83" i="4" s="1"/>
  <c r="Z667" i="4" a="1"/>
  <c r="Z667" i="4"/>
  <c r="Z498" i="4" a="1"/>
  <c r="Z498" i="4" s="1"/>
  <c r="Z538" i="4" a="1"/>
  <c r="Z538" i="4" s="1"/>
  <c r="Z916" i="4" a="1"/>
  <c r="Z916" i="4" s="1"/>
  <c r="Z922" i="4" a="1"/>
  <c r="Z922" i="4" s="1"/>
  <c r="Z515" i="4" a="1"/>
  <c r="Z515" i="4" s="1"/>
  <c r="Z655" i="4" a="1"/>
  <c r="Z655" i="4"/>
  <c r="Z891" i="4" a="1"/>
  <c r="Z891" i="4" s="1"/>
  <c r="Z415" i="4" a="1"/>
  <c r="Z415" i="4" s="1"/>
  <c r="Z966" i="4" a="1"/>
  <c r="Z966" i="4" s="1"/>
  <c r="Z824" i="4" a="1"/>
  <c r="Z824" i="4" s="1"/>
  <c r="Z919" i="4" a="1"/>
  <c r="Z919" i="4" s="1"/>
  <c r="Z942" i="4" a="1"/>
  <c r="Z942" i="4" s="1"/>
  <c r="Z833" i="4" a="1"/>
  <c r="Z833" i="4" s="1"/>
  <c r="Z365" i="4" a="1"/>
  <c r="Z365" i="4"/>
  <c r="Z84" i="4" a="1"/>
  <c r="Z84" i="4"/>
  <c r="Z675" i="4" a="1"/>
  <c r="Z675" i="4" s="1"/>
  <c r="Z602" i="4" a="1"/>
  <c r="Z602" i="4" s="1"/>
  <c r="Z279" i="4" a="1"/>
  <c r="Z279" i="4" s="1"/>
  <c r="Z786" i="4" a="1"/>
  <c r="Z786" i="4" s="1"/>
  <c r="Z85" i="4" a="1"/>
  <c r="Z85" i="4" s="1"/>
  <c r="Z311" i="4" a="1"/>
  <c r="Z311" i="4" s="1"/>
  <c r="Z983" i="4" a="1"/>
  <c r="Z983" i="4" s="1"/>
  <c r="Z724" i="4" a="1"/>
  <c r="Z724" i="4" s="1"/>
  <c r="Z634" i="4" a="1"/>
  <c r="Z634" i="4"/>
  <c r="Z874" i="4" a="1"/>
  <c r="Z874" i="4" s="1"/>
  <c r="Z390" i="4" a="1"/>
  <c r="Z390" i="4" s="1"/>
  <c r="Z728" i="4" a="1"/>
  <c r="Z728" i="4" s="1"/>
  <c r="Z473" i="4" a="1"/>
  <c r="Z473" i="4" s="1"/>
  <c r="Z927" i="4" a="1"/>
  <c r="Z927" i="4" s="1"/>
  <c r="Z799" i="4" a="1"/>
  <c r="Z799" i="4" s="1"/>
  <c r="Z677" i="4" a="1"/>
  <c r="Z677" i="4" s="1"/>
  <c r="Z86" i="4" a="1"/>
  <c r="Z86" i="4" s="1"/>
  <c r="Z892" i="4" a="1"/>
  <c r="Z892" i="4" s="1"/>
  <c r="Z622" i="4" a="1"/>
  <c r="Z622" i="4"/>
  <c r="Z87" i="4" a="1"/>
  <c r="Z87" i="4" s="1"/>
  <c r="Z241" i="4" a="1"/>
  <c r="Z241" i="4"/>
  <c r="Z312" i="4" a="1"/>
  <c r="Z312" i="4" s="1"/>
  <c r="Z909" i="4" a="1"/>
  <c r="Z909" i="4" s="1"/>
  <c r="Z938" i="4" a="1"/>
  <c r="Z938" i="4" s="1"/>
  <c r="Z884" i="4" a="1"/>
  <c r="Z884" i="4" s="1"/>
  <c r="Z543" i="4" a="1"/>
  <c r="Z543" i="4" s="1"/>
  <c r="Z88" i="4" a="1"/>
  <c r="Z88" i="4" s="1"/>
  <c r="Z228" i="4" a="1"/>
  <c r="Z228" i="4" s="1"/>
  <c r="Z756" i="4" a="1"/>
  <c r="Z756" i="4" s="1"/>
  <c r="Z174" i="4" a="1"/>
  <c r="Z174" i="4" s="1"/>
  <c r="Z878" i="4" a="1"/>
  <c r="Z878" i="4" s="1"/>
  <c r="Z933" i="4" a="1"/>
  <c r="Z933" i="4" s="1"/>
  <c r="Z89" i="4" a="1"/>
  <c r="Z89" i="4" s="1"/>
  <c r="Z952" i="4" a="1"/>
  <c r="Z952" i="4" s="1"/>
  <c r="Z770" i="4" a="1"/>
  <c r="Z770" i="4" s="1"/>
  <c r="Z559" i="4" a="1"/>
  <c r="Z559" i="4" s="1"/>
  <c r="Z182" i="4" a="1"/>
  <c r="Z182" i="4" s="1"/>
  <c r="Z90" i="4" a="1"/>
  <c r="Z90" i="4" s="1"/>
  <c r="Z923" i="4" a="1"/>
  <c r="Z923" i="4"/>
  <c r="Z91" i="4" a="1"/>
  <c r="Z91" i="4" s="1"/>
  <c r="Z282" i="4" a="1"/>
  <c r="Z282" i="4" s="1"/>
  <c r="Z660" i="4" a="1"/>
  <c r="Z660" i="4" s="1"/>
  <c r="Z956" i="4" a="1"/>
  <c r="Z956" i="4" s="1"/>
  <c r="Z678" i="4" a="1"/>
  <c r="Z678" i="4" s="1"/>
  <c r="Z504" i="4" a="1"/>
  <c r="Z504" i="4" s="1"/>
  <c r="Z910" i="4" a="1"/>
  <c r="Z910" i="4"/>
  <c r="Z92" i="4" a="1"/>
  <c r="Z92" i="4" s="1"/>
  <c r="Z802" i="4" a="1"/>
  <c r="Z802" i="4" s="1"/>
  <c r="Z839" i="4" a="1"/>
  <c r="Z839" i="4" s="1"/>
  <c r="Z671" i="4" a="1"/>
  <c r="Z671" i="4" s="1"/>
  <c r="Z931" i="4" a="1"/>
  <c r="Z931" i="4" s="1"/>
  <c r="Z318" i="4" a="1"/>
  <c r="Z318" i="4"/>
  <c r="Z256" i="4" a="1"/>
  <c r="Z256" i="4" s="1"/>
  <c r="Z732" i="4" a="1"/>
  <c r="Z732" i="4" s="1"/>
  <c r="Z317" i="4" a="1"/>
  <c r="Z317" i="4" s="1"/>
  <c r="Z93" i="4" a="1"/>
  <c r="Z93" i="4" s="1"/>
  <c r="Z94" i="4" a="1"/>
  <c r="Z94" i="4" s="1"/>
  <c r="Z640" i="4" a="1"/>
  <c r="Z640" i="4"/>
  <c r="Z95" i="4" a="1"/>
  <c r="Z95" i="4"/>
  <c r="Z571" i="4" a="1"/>
  <c r="Z571" i="4" s="1"/>
  <c r="Z96" i="4" a="1"/>
  <c r="Z96" i="4" s="1"/>
  <c r="Z487" i="4" a="1"/>
  <c r="Z487" i="4" s="1"/>
  <c r="Z506" i="4" a="1"/>
  <c r="Z506" i="4" s="1"/>
  <c r="Z346" i="4" a="1"/>
  <c r="Z346" i="4" s="1"/>
  <c r="Z333" i="4" a="1"/>
  <c r="Z333" i="4" s="1"/>
  <c r="Z744" i="4" a="1"/>
  <c r="Z744" i="4" s="1"/>
  <c r="Z535" i="4" a="1"/>
  <c r="Z535" i="4" s="1"/>
  <c r="Z531" i="4" a="1"/>
  <c r="Z531" i="4" s="1"/>
  <c r="Z343" i="4" a="1"/>
  <c r="Z343" i="4" s="1"/>
  <c r="Z565" i="4" a="1"/>
  <c r="Z565" i="4" s="1"/>
  <c r="Z512" i="4" a="1"/>
  <c r="Z512" i="4" s="1"/>
  <c r="Z644" i="4" a="1"/>
  <c r="Z644" i="4" s="1"/>
  <c r="Z792" i="4" a="1"/>
  <c r="Z792" i="4" s="1"/>
  <c r="Z591" i="4" a="1"/>
  <c r="Z591" i="4" s="1"/>
  <c r="Z742" i="4" a="1"/>
  <c r="Z742" i="4" s="1"/>
  <c r="Z345" i="4" a="1"/>
  <c r="Z345" i="4" s="1"/>
  <c r="Z579" i="4" a="1"/>
  <c r="Z579" i="4"/>
  <c r="Z359" i="4" a="1"/>
  <c r="Z359" i="4" s="1"/>
  <c r="Z795" i="4" a="1"/>
  <c r="Z795" i="4" s="1"/>
  <c r="Z97" i="4" a="1"/>
  <c r="Z97" i="4" s="1"/>
  <c r="Z857" i="4" a="1"/>
  <c r="Z857" i="4"/>
  <c r="Z961" i="4" a="1"/>
  <c r="Z961" i="4" s="1"/>
  <c r="Z98" i="4" a="1"/>
  <c r="Z98" i="4" s="1"/>
  <c r="Z381" i="4" a="1"/>
  <c r="Z381" i="4" s="1"/>
  <c r="Z457" i="4" a="1"/>
  <c r="Z457" i="4" s="1"/>
  <c r="Z99" i="4" a="1"/>
  <c r="Z99" i="4" s="1"/>
  <c r="Z581" i="4" a="1"/>
  <c r="Z581" i="4"/>
  <c r="Z883" i="4" a="1"/>
  <c r="Z883" i="4" s="1"/>
  <c r="Z707" i="4" a="1"/>
  <c r="Z707" i="4" s="1"/>
  <c r="Z984" i="4" a="1"/>
  <c r="Z984" i="4"/>
  <c r="Z526" i="4" a="1"/>
  <c r="Z526" i="4" s="1"/>
  <c r="Z529" i="4" a="1"/>
  <c r="Z529" i="4" s="1"/>
  <c r="Z509" i="4" a="1"/>
  <c r="Z509" i="4" s="1"/>
  <c r="Z100" i="4" a="1"/>
  <c r="Z100" i="4" s="1"/>
  <c r="Z611" i="4" a="1"/>
  <c r="Z611" i="4" s="1"/>
  <c r="Z608" i="4" a="1"/>
  <c r="Z608" i="4"/>
  <c r="Z101" i="4" a="1"/>
  <c r="Z101" i="4" s="1"/>
  <c r="Z484" i="4" a="1"/>
  <c r="Z484" i="4" s="1"/>
  <c r="Z730" i="4" a="1"/>
  <c r="Z730" i="4" s="1"/>
  <c r="Z192" i="4" a="1"/>
  <c r="Z192" i="4" s="1"/>
  <c r="Z522" i="4" a="1"/>
  <c r="Z522" i="4" s="1"/>
  <c r="Z225" i="4" a="1"/>
  <c r="Z225" i="4"/>
  <c r="Z924" i="4" a="1"/>
  <c r="Z924" i="4" s="1"/>
  <c r="Z102" i="4" a="1"/>
  <c r="Z102" i="4" s="1"/>
  <c r="Z488" i="4" a="1"/>
  <c r="Z488" i="4"/>
  <c r="Z588" i="4" a="1"/>
  <c r="Z588" i="4" s="1"/>
  <c r="Z610" i="4" a="1"/>
  <c r="Z610" i="4" s="1"/>
  <c r="Z271" i="4" a="1"/>
  <c r="Z271" i="4" s="1"/>
  <c r="Z277" i="4" a="1"/>
  <c r="Z277" i="4" s="1"/>
  <c r="Z739" i="4" a="1"/>
  <c r="Z739" i="4" s="1"/>
  <c r="Z633" i="4" a="1"/>
  <c r="Z633" i="4" s="1"/>
  <c r="Z103" i="4" a="1"/>
  <c r="Z103" i="4" s="1"/>
  <c r="Z552" i="4" a="1"/>
  <c r="Z552" i="4" s="1"/>
  <c r="Z969" i="4" a="1"/>
  <c r="Z969" i="4" s="1"/>
  <c r="Z616" i="4" a="1"/>
  <c r="Z616" i="4" s="1"/>
  <c r="Z104" i="4" a="1"/>
  <c r="Z104" i="4" s="1"/>
  <c r="Z718" i="4" a="1"/>
  <c r="Z718" i="4" s="1"/>
  <c r="Z398" i="4" a="1"/>
  <c r="Z398" i="4"/>
  <c r="Z920" i="4" a="1"/>
  <c r="Z920" i="4" s="1"/>
  <c r="Z187" i="4" a="1"/>
  <c r="Z187" i="4" s="1"/>
  <c r="Z822" i="4" a="1"/>
  <c r="Z822" i="4" s="1"/>
  <c r="Z674" i="4" a="1"/>
  <c r="Z674" i="4" s="1"/>
  <c r="Z105" i="4" a="1"/>
  <c r="Z105" i="4" s="1"/>
  <c r="Z399" i="4" a="1"/>
  <c r="Z399" i="4" s="1"/>
  <c r="Z641" i="4" a="1"/>
  <c r="Z641" i="4" s="1"/>
  <c r="Z361" i="4" a="1"/>
  <c r="Z361" i="4" s="1"/>
  <c r="Z975" i="4" a="1"/>
  <c r="Z975" i="4" s="1"/>
  <c r="Z106" i="4" a="1"/>
  <c r="Z106" i="4" s="1"/>
  <c r="Z165" i="4" a="1"/>
  <c r="Z165" i="4" s="1"/>
  <c r="Z229" i="4" a="1"/>
  <c r="Z229" i="4" s="1"/>
  <c r="Z725" i="4" a="1"/>
  <c r="Z725" i="4"/>
  <c r="Z523" i="4" a="1"/>
  <c r="Z523" i="4" s="1"/>
  <c r="Z331" i="4" a="1"/>
  <c r="Z331" i="4" s="1"/>
  <c r="Z233" i="4" a="1"/>
  <c r="Z233" i="4" s="1"/>
  <c r="Z782" i="4" a="1"/>
  <c r="Z782" i="4" s="1"/>
  <c r="Z107" i="4" a="1"/>
  <c r="Z107" i="4" s="1"/>
  <c r="Z108" i="4" a="1"/>
  <c r="Z108" i="4"/>
  <c r="Z826" i="4" a="1"/>
  <c r="Z826" i="4" s="1"/>
  <c r="Z298" i="4" a="1"/>
  <c r="Z298" i="4"/>
  <c r="Z109" i="4" a="1"/>
  <c r="Z109" i="4" s="1"/>
  <c r="Z554" i="4" a="1"/>
  <c r="Z554" i="4" s="1"/>
  <c r="Z110" i="4" a="1"/>
  <c r="Z110" i="4"/>
  <c r="Z111" i="4" a="1"/>
  <c r="Z111" i="4" s="1"/>
  <c r="Z928" i="4" a="1"/>
  <c r="Z928" i="4" s="1"/>
  <c r="Z964" i="4" a="1"/>
  <c r="Z964" i="4" s="1"/>
  <c r="Z638" i="4" a="1"/>
  <c r="Z638" i="4" s="1"/>
  <c r="Z860" i="4" a="1"/>
  <c r="Z860" i="4" s="1"/>
  <c r="Z262" i="4" a="1"/>
  <c r="Z262" i="4" s="1"/>
  <c r="Z689" i="4" a="1"/>
  <c r="Z689" i="4" s="1"/>
  <c r="Z112" i="4" a="1"/>
  <c r="Z112" i="4" s="1"/>
  <c r="Z113" i="4" a="1"/>
  <c r="Z113" i="4" s="1"/>
  <c r="Z715" i="4" a="1"/>
  <c r="Z715" i="4" s="1"/>
  <c r="Z114" i="4" a="1"/>
  <c r="Z114" i="4" s="1"/>
  <c r="Z194" i="4" a="1"/>
  <c r="Z194" i="4" s="1"/>
  <c r="Z521" i="4" a="1"/>
  <c r="Z521" i="4" s="1"/>
  <c r="Z603" i="4" a="1"/>
  <c r="Z603" i="4" s="1"/>
  <c r="Z240" i="4" a="1"/>
  <c r="Z240" i="4" s="1"/>
  <c r="Z115" i="4" a="1"/>
  <c r="Z115" i="4" s="1"/>
  <c r="Z307" i="4" a="1"/>
  <c r="Z307" i="4" s="1"/>
  <c r="Z736" i="4" a="1"/>
  <c r="Z736" i="4" s="1"/>
  <c r="Z247" i="4" a="1"/>
  <c r="Z247" i="4" s="1"/>
  <c r="Z560" i="4" a="1"/>
  <c r="Z560" i="4" s="1"/>
  <c r="Z748" i="4" a="1"/>
  <c r="Z748" i="4" s="1"/>
  <c r="Z235" i="4" a="1"/>
  <c r="Z235" i="4" s="1"/>
  <c r="Z575" i="4" a="1"/>
  <c r="Z575" i="4" s="1"/>
  <c r="Z471" i="4" a="1"/>
  <c r="Z471" i="4" s="1"/>
  <c r="Z116" i="4" a="1"/>
  <c r="Z116" i="4"/>
  <c r="Z117" i="4" a="1"/>
  <c r="Z117" i="4" s="1"/>
  <c r="Z118" i="4" a="1"/>
  <c r="Z118" i="4" s="1"/>
  <c r="Z485" i="4" a="1"/>
  <c r="Z485" i="4" s="1"/>
  <c r="Z119" i="4" a="1"/>
  <c r="Z119" i="4"/>
  <c r="Z283" i="4" a="1"/>
  <c r="Z283" i="4" s="1"/>
  <c r="Z294" i="4" a="1"/>
  <c r="Z294" i="4" s="1"/>
  <c r="Z943" i="4" a="1"/>
  <c r="Z943" i="4" s="1"/>
  <c r="Z472" i="4" a="1"/>
  <c r="Z472" i="4" s="1"/>
  <c r="Z120" i="4" a="1"/>
  <c r="Z120" i="4" s="1"/>
  <c r="Z917" i="4" a="1"/>
  <c r="Z917" i="4"/>
  <c r="Z809" i="4" a="1"/>
  <c r="Z809" i="4"/>
  <c r="Z980" i="4" a="1"/>
  <c r="Z980" i="4" s="1"/>
  <c r="Z780" i="4" a="1"/>
  <c r="Z780" i="4" s="1"/>
  <c r="Z300" i="4" a="1"/>
  <c r="Z300" i="4" s="1"/>
  <c r="Z785" i="4" a="1"/>
  <c r="Z785" i="4" s="1"/>
  <c r="Z199" i="4" a="1"/>
  <c r="Z199" i="4" s="1"/>
  <c r="Z594" i="4" a="1"/>
  <c r="Z594" i="4" s="1"/>
  <c r="Z844" i="4" a="1"/>
  <c r="Z844" i="4"/>
  <c r="Z340" i="4" a="1"/>
  <c r="Z340" i="4" s="1"/>
  <c r="Z513" i="4" a="1"/>
  <c r="Z513" i="4" s="1"/>
  <c r="Z355" i="4" a="1"/>
  <c r="Z355" i="4" s="1"/>
  <c r="Z712" i="4" a="1"/>
  <c r="Z712" i="4" s="1"/>
  <c r="Z408" i="4" a="1"/>
  <c r="Z408" i="4" s="1"/>
  <c r="Z121" i="4" a="1"/>
  <c r="Z121" i="4" s="1"/>
  <c r="Z564" i="4" a="1"/>
  <c r="Z564" i="4" s="1"/>
  <c r="Z845" i="4" a="1"/>
  <c r="Z845" i="4" s="1"/>
  <c r="Z695" i="4" a="1"/>
  <c r="Z695" i="4" s="1"/>
  <c r="Z904" i="4" a="1"/>
  <c r="Z904" i="4" s="1"/>
  <c r="Z263" i="4" a="1"/>
  <c r="Z263" i="4"/>
  <c r="Z122" i="4" a="1"/>
  <c r="Z122" i="4"/>
  <c r="Z227" i="4" a="1"/>
  <c r="Z227" i="4"/>
  <c r="Z760" i="4" a="1"/>
  <c r="Z760" i="4" s="1"/>
  <c r="Z665" i="4" a="1"/>
  <c r="Z665" i="4" s="1"/>
  <c r="Z168" i="4" a="1"/>
  <c r="Z168" i="4" s="1"/>
  <c r="Z921" i="4" a="1"/>
  <c r="Z921" i="4" s="1"/>
  <c r="Z217" i="4" a="1"/>
  <c r="Z217" i="4" s="1"/>
  <c r="Z214" i="4" a="1"/>
  <c r="Z214" i="4" s="1"/>
  <c r="Z944" i="4" a="1"/>
  <c r="Z944" i="4" s="1"/>
  <c r="Z123" i="4" a="1"/>
  <c r="Z123" i="4" s="1"/>
  <c r="Z606" i="4" a="1"/>
  <c r="Z606" i="4" s="1"/>
  <c r="Z124" i="4" a="1"/>
  <c r="Z124" i="4" s="1"/>
  <c r="Z614" i="4" a="1"/>
  <c r="Z614" i="4" s="1"/>
  <c r="Z749" i="4" a="1"/>
  <c r="Z749" i="4" s="1"/>
  <c r="Z278" i="4" a="1"/>
  <c r="Z278" i="4" s="1"/>
  <c r="Z347" i="4" a="1"/>
  <c r="Z347" i="4" s="1"/>
  <c r="Z903" i="4" a="1"/>
  <c r="Z903" i="4" s="1"/>
  <c r="Z886" i="4" a="1"/>
  <c r="Z886" i="4" s="1"/>
  <c r="Z125" i="4" a="1"/>
  <c r="Z125" i="4" s="1"/>
  <c r="Z788" i="4" a="1"/>
  <c r="Z788" i="4"/>
  <c r="Z309" i="4" a="1"/>
  <c r="Z309" i="4" s="1"/>
  <c r="Z126" i="4" a="1"/>
  <c r="Z126" i="4" s="1"/>
  <c r="Z647" i="4" a="1"/>
  <c r="Z647" i="4"/>
  <c r="Z208" i="4" a="1"/>
  <c r="Z208" i="4" s="1"/>
  <c r="Z968" i="4" a="1"/>
  <c r="Z968" i="4" s="1"/>
  <c r="Z236" i="4" a="1"/>
  <c r="Z236" i="4" s="1"/>
  <c r="Z623" i="4" a="1"/>
  <c r="Z623" i="4" s="1"/>
  <c r="Z419" i="4" a="1"/>
  <c r="Z419" i="4" s="1"/>
  <c r="Z893" i="4" a="1"/>
  <c r="Z893" i="4" s="1"/>
  <c r="Z518" i="4" a="1"/>
  <c r="Z518" i="4" s="1"/>
  <c r="Z679" i="4" a="1"/>
  <c r="Z679" i="4" s="1"/>
  <c r="Z646" i="4" a="1"/>
  <c r="Z646" i="4" s="1"/>
  <c r="Z751" i="4" a="1"/>
  <c r="Z751" i="4" s="1"/>
  <c r="Z127" i="4" a="1"/>
  <c r="Z127" i="4" s="1"/>
  <c r="Z556" i="4" a="1"/>
  <c r="Z556" i="4"/>
  <c r="Z875" i="4" a="1"/>
  <c r="Z875" i="4" s="1"/>
  <c r="Z866" i="4" a="1"/>
  <c r="Z866" i="4" s="1"/>
  <c r="Z469" i="4" a="1"/>
  <c r="Z469" i="4" s="1"/>
  <c r="Z290" i="4" a="1"/>
  <c r="Z290" i="4" s="1"/>
  <c r="Z128" i="4" a="1"/>
  <c r="Z128" i="4" s="1"/>
  <c r="Z129" i="4" a="1"/>
  <c r="Z129" i="4"/>
  <c r="Z880" i="4" a="1"/>
  <c r="Z880" i="4" s="1"/>
  <c r="Z223" i="4" a="1"/>
  <c r="Z223" i="4"/>
  <c r="Z474" i="4" a="1"/>
  <c r="Z474" i="4" s="1"/>
  <c r="Z178" i="4" a="1"/>
  <c r="Z178" i="4" s="1"/>
  <c r="Z801" i="4" a="1"/>
  <c r="Z801" i="4" s="1"/>
  <c r="Z130" i="4" a="1"/>
  <c r="Z130" i="4" s="1"/>
  <c r="Z754" i="4" a="1"/>
  <c r="Z754" i="4" s="1"/>
  <c r="Z460" i="4" a="1"/>
  <c r="Z460" i="4" s="1"/>
  <c r="Z973" i="4" a="1"/>
  <c r="Z973" i="4" s="1"/>
  <c r="Z541" i="4" a="1"/>
  <c r="Z541" i="4" s="1"/>
  <c r="Z171" i="4" a="1"/>
  <c r="Z171" i="4"/>
  <c r="Z131" i="4" a="1"/>
  <c r="Z131" i="4" s="1"/>
  <c r="Z803" i="4" a="1"/>
  <c r="Z803" i="4" s="1"/>
  <c r="Z303" i="4" a="1"/>
  <c r="Z303" i="4" s="1"/>
  <c r="Z648" i="4" a="1"/>
  <c r="Z648" i="4" s="1"/>
  <c r="Z374" i="4" a="1"/>
  <c r="Z374" i="4" s="1"/>
  <c r="Z722" i="4" a="1"/>
  <c r="Z722" i="4" s="1"/>
  <c r="Z362" i="4" a="1"/>
  <c r="Z362" i="4" s="1"/>
  <c r="Z834" i="4" a="1"/>
  <c r="Z834" i="4" s="1"/>
  <c r="Z132" i="4" a="1"/>
  <c r="Z132" i="4" s="1"/>
  <c r="Z680" i="4" a="1"/>
  <c r="Z680" i="4" s="1"/>
  <c r="Z545" i="4" a="1"/>
  <c r="Z545" i="4" s="1"/>
  <c r="Z193" i="4" a="1"/>
  <c r="Z193" i="4" s="1"/>
  <c r="Z777" i="4" a="1"/>
  <c r="Z777" i="4" s="1"/>
  <c r="Z947" i="4" a="1"/>
  <c r="Z947" i="4" s="1"/>
  <c r="Z577" i="4" a="1"/>
  <c r="Z577" i="4"/>
  <c r="Z586" i="4" a="1"/>
  <c r="Z586" i="4" s="1"/>
  <c r="Z133" i="4" a="1"/>
  <c r="Z133" i="4" s="1"/>
  <c r="Z743" i="4" a="1"/>
  <c r="Z743" i="4" s="1"/>
  <c r="Z186" i="4" a="1"/>
  <c r="Z186" i="4" s="1"/>
  <c r="Z548" i="4" a="1"/>
  <c r="Z548" i="4" s="1"/>
  <c r="Z813" i="4" a="1"/>
  <c r="Z813" i="4"/>
  <c r="Z536" i="4" a="1"/>
  <c r="Z536" i="4"/>
  <c r="Z134" i="4" a="1"/>
  <c r="Z134" i="4" s="1"/>
  <c r="Z407" i="4" a="1"/>
  <c r="Z407" i="4" s="1"/>
  <c r="Z895" i="4" a="1"/>
  <c r="Z895" i="4" s="1"/>
  <c r="Z553" i="4" a="1"/>
  <c r="Z553" i="4" s="1"/>
  <c r="Z658" i="4" a="1"/>
  <c r="Z658" i="4" s="1"/>
  <c r="Z592" i="4" a="1"/>
  <c r="Z592" i="4" s="1"/>
  <c r="Z257" i="4" a="1"/>
  <c r="Z257" i="4" s="1"/>
  <c r="Z750" i="4" a="1"/>
  <c r="Z750" i="4" s="1"/>
  <c r="Z188" i="4" a="1"/>
  <c r="Z188" i="4" s="1"/>
  <c r="Z937" i="4" a="1"/>
  <c r="Z937" i="4" s="1"/>
  <c r="Z979" i="4" a="1"/>
  <c r="Z979" i="4"/>
  <c r="Z544" i="4" a="1"/>
  <c r="Z544" i="4"/>
  <c r="Z546" i="4" a="1"/>
  <c r="Z546" i="4" s="1"/>
  <c r="Z752" i="4" a="1"/>
  <c r="Z752" i="4"/>
  <c r="Z734" i="4" a="1"/>
  <c r="Z734" i="4" s="1"/>
  <c r="Z694" i="4" a="1"/>
  <c r="Z694" i="4"/>
  <c r="Z135" i="4" a="1"/>
  <c r="Z135" i="4" s="1"/>
  <c r="Z136" i="4" a="1"/>
  <c r="Z136" i="4"/>
  <c r="Z239" i="4" a="1"/>
  <c r="Z239" i="4" s="1"/>
  <c r="Z699" i="4" a="1"/>
  <c r="Z699" i="4"/>
  <c r="Z609" i="4" a="1"/>
  <c r="Z609" i="4" s="1"/>
  <c r="Z137" i="4" a="1"/>
  <c r="Z137" i="4" s="1"/>
  <c r="Z808" i="4" a="1"/>
  <c r="Z808" i="4" s="1"/>
  <c r="Z411" i="4" a="1"/>
  <c r="Z411" i="4" s="1"/>
  <c r="Z402" i="4" a="1"/>
  <c r="Z402" i="4" s="1"/>
  <c r="Z976" i="4" a="1"/>
  <c r="Z976" i="4"/>
  <c r="Z368" i="4" a="1"/>
  <c r="Z368" i="4"/>
  <c r="Z489" i="4" a="1"/>
  <c r="Z489" i="4" s="1"/>
  <c r="Z838" i="4" a="1"/>
  <c r="Z838" i="4" s="1"/>
  <c r="Z138" i="4" a="1"/>
  <c r="Z138" i="4" s="1"/>
  <c r="Z627" i="4" a="1"/>
  <c r="Z627" i="4" s="1"/>
  <c r="Z668" i="4" a="1"/>
  <c r="Z668" i="4" s="1"/>
  <c r="Z139" i="4" a="1"/>
  <c r="Z139" i="4" s="1"/>
  <c r="Z774" i="4" a="1"/>
  <c r="Z774" i="4"/>
  <c r="Z596" i="4" a="1"/>
  <c r="Z596" i="4" s="1"/>
  <c r="Z251" i="4" a="1"/>
  <c r="Z251" i="4"/>
  <c r="Z733" i="4" a="1"/>
  <c r="Z733" i="4" s="1"/>
  <c r="Z768" i="4" a="1"/>
  <c r="Z768" i="4" s="1"/>
  <c r="Z179" i="4" a="1"/>
  <c r="Z179" i="4" s="1"/>
  <c r="Z291" i="4" a="1"/>
  <c r="Z291" i="4"/>
  <c r="Z446" i="4" a="1"/>
  <c r="Z446" i="4" s="1"/>
  <c r="Z163" i="4" a="1"/>
  <c r="Z163" i="4" s="1"/>
  <c r="Z140" i="4" a="1"/>
  <c r="Z140" i="4" s="1"/>
  <c r="Z711" i="4" a="1"/>
  <c r="Z711" i="4" s="1"/>
  <c r="Z940" i="4" a="1"/>
  <c r="Z940" i="4"/>
  <c r="Z270" i="4" a="1"/>
  <c r="Z270" i="4" s="1"/>
  <c r="Z141" i="4" a="1"/>
  <c r="Z141" i="4" s="1"/>
  <c r="Z706" i="4" a="1"/>
  <c r="Z706" i="4" s="1"/>
  <c r="Z778" i="4" a="1"/>
  <c r="Z778" i="4" s="1"/>
  <c r="Z911" i="4" a="1"/>
  <c r="Z911" i="4"/>
  <c r="Z855" i="4" a="1"/>
  <c r="Z855" i="4" s="1"/>
  <c r="Z322" i="4" a="1"/>
  <c r="Z322" i="4" s="1"/>
  <c r="Z367" i="4" a="1"/>
  <c r="Z367" i="4" s="1"/>
  <c r="Z876" i="4" a="1"/>
  <c r="Z876" i="4" s="1"/>
  <c r="Z232" i="4" a="1"/>
  <c r="Z232" i="4" s="1"/>
  <c r="Z550" i="4" a="1"/>
  <c r="Z550" i="4" s="1"/>
  <c r="Z852" i="4" a="1"/>
  <c r="Z852" i="4"/>
  <c r="Z829" i="4" a="1"/>
  <c r="Z829" i="4" s="1"/>
  <c r="Z962" i="4" a="1"/>
  <c r="Z962" i="4" s="1"/>
  <c r="Z142" i="4" a="1"/>
  <c r="Z142" i="4" s="1"/>
  <c r="Z143" i="4" a="1"/>
  <c r="Z143" i="4" s="1"/>
  <c r="Z853" i="4" a="1"/>
  <c r="Z853" i="4" s="1"/>
  <c r="Z175" i="4" a="1"/>
  <c r="Z175" i="4" s="1"/>
  <c r="Z144" i="4" a="1"/>
  <c r="Z144" i="4"/>
  <c r="Z511" i="4" a="1"/>
  <c r="Z511" i="4"/>
  <c r="Z783" i="4" a="1"/>
  <c r="Z783" i="4" s="1"/>
  <c r="Z669" i="4" a="1"/>
  <c r="Z669" i="4" s="1"/>
  <c r="Z872" i="4" a="1"/>
  <c r="Z872" i="4" s="1"/>
  <c r="Z972" i="4" a="1"/>
  <c r="Z972" i="4"/>
  <c r="Z191" i="4" a="1"/>
  <c r="Z191" i="4" s="1"/>
  <c r="Z683" i="4" a="1"/>
  <c r="Z683" i="4"/>
  <c r="Z145" i="4" a="1"/>
  <c r="Z145" i="4"/>
  <c r="Z936" i="4" a="1"/>
  <c r="Z936" i="4" s="1"/>
  <c r="Z558" i="4" a="1"/>
  <c r="Z558" i="4" s="1"/>
  <c r="Z601" i="4" a="1"/>
  <c r="Z601" i="4"/>
  <c r="Z476" i="4" a="1"/>
  <c r="Z476" i="4"/>
  <c r="Z912" i="4" a="1"/>
  <c r="Z912" i="4" s="1"/>
  <c r="Z539" i="4" a="1"/>
  <c r="Z539" i="4" s="1"/>
  <c r="Z967" i="4" a="1"/>
  <c r="Z967" i="4" s="1"/>
  <c r="Z666" i="4" a="1"/>
  <c r="Z666" i="4" s="1"/>
  <c r="Z330" i="4" a="1"/>
  <c r="Z330" i="4" s="1"/>
  <c r="Z146" i="4" a="1"/>
  <c r="Z146" i="4"/>
  <c r="Z147" i="4" a="1"/>
  <c r="Z147" i="4" s="1"/>
  <c r="Z394" i="4" a="1"/>
  <c r="Z394" i="4" s="1"/>
  <c r="Z793" i="4" a="1"/>
  <c r="Z793" i="4" s="1"/>
  <c r="Z234" i="4" a="1"/>
  <c r="Z234" i="4"/>
  <c r="Z384" i="4" a="1"/>
  <c r="Z384" i="4" s="1"/>
  <c r="Z456" i="4" a="1"/>
  <c r="Z456" i="4" s="1"/>
  <c r="Z508" i="4" a="1"/>
  <c r="Z508" i="4" s="1"/>
  <c r="Z832" i="4" a="1"/>
  <c r="Z832" i="4" s="1"/>
  <c r="Z630" i="4" a="1"/>
  <c r="Z630" i="4" s="1"/>
  <c r="Z929" i="4" a="1"/>
  <c r="Z929" i="4" s="1"/>
  <c r="Z959" i="4" a="1"/>
  <c r="Z959" i="4"/>
  <c r="Z392" i="4" a="1"/>
  <c r="Z392" i="4" s="1"/>
  <c r="Z209" i="4" a="1"/>
  <c r="Z209" i="4" s="1"/>
  <c r="Z148" i="4" a="1"/>
  <c r="Z148" i="4" s="1"/>
  <c r="Z299" i="4" a="1"/>
  <c r="Z299" i="4" s="1"/>
  <c r="Z869" i="4" a="1"/>
  <c r="Z869" i="4" s="1"/>
  <c r="Z810" i="4" a="1"/>
  <c r="Z810" i="4" s="1"/>
  <c r="Z219" i="4" a="1"/>
  <c r="Z219" i="4" s="1"/>
  <c r="Z197" i="4" a="1"/>
  <c r="Z197" i="4"/>
  <c r="Z787" i="4" a="1"/>
  <c r="Z787" i="4" s="1"/>
  <c r="Z149" i="4" a="1"/>
  <c r="Z149" i="4" s="1"/>
  <c r="Z150" i="4" a="1"/>
  <c r="Z150" i="4" s="1"/>
  <c r="Z830" i="4" a="1"/>
  <c r="Z830" i="4"/>
  <c r="Z151" i="4" a="1"/>
  <c r="Z151" i="4" s="1"/>
  <c r="Z977" i="4" a="1"/>
  <c r="Z977" i="4" s="1"/>
  <c r="Z530" i="4" a="1"/>
  <c r="Z530" i="4" s="1"/>
  <c r="Z870" i="4" a="1"/>
  <c r="Z870" i="4" s="1"/>
  <c r="Z673" i="4" a="1"/>
  <c r="Z673" i="4" s="1"/>
  <c r="Z590" i="4" a="1"/>
  <c r="Z590" i="4" s="1"/>
  <c r="Z152" i="4" a="1"/>
  <c r="Z152" i="4"/>
  <c r="Z453" i="4" a="1"/>
  <c r="Z453" i="4" s="1"/>
  <c r="Z169" i="4" a="1"/>
  <c r="Z169" i="4"/>
  <c r="Z859" i="4" a="1"/>
  <c r="Z859" i="4" s="1"/>
  <c r="Z185" i="4" a="1"/>
  <c r="Z185" i="4" s="1"/>
  <c r="Z261" i="4" a="1"/>
  <c r="Z261" i="4" s="1"/>
  <c r="Z562" i="4" a="1"/>
  <c r="Z562" i="4"/>
  <c r="Z297" i="4" a="1"/>
  <c r="Z297" i="4" s="1"/>
  <c r="Z153" i="4" a="1"/>
  <c r="Z153" i="4" s="1"/>
  <c r="Z636" i="4" a="1"/>
  <c r="Z636" i="4" s="1"/>
  <c r="Z406" i="4" a="1"/>
  <c r="Z406" i="4" s="1"/>
  <c r="Z568" i="4" a="1"/>
  <c r="Z568" i="4"/>
  <c r="Z717" i="4" a="1"/>
  <c r="Z717" i="4"/>
  <c r="Z490" i="4" a="1"/>
  <c r="Z490" i="4" s="1"/>
  <c r="Z327" i="4" a="1"/>
  <c r="Z327" i="4" s="1"/>
  <c r="Z549" i="4" a="1"/>
  <c r="Z549" i="4" s="1"/>
  <c r="Z761" i="4" a="1"/>
  <c r="Z761" i="4" s="1"/>
  <c r="Z840" i="4" a="1"/>
  <c r="Z840" i="4"/>
  <c r="Z202" i="4" a="1"/>
  <c r="Z202" i="4"/>
  <c r="Z682" i="4" a="1"/>
  <c r="Z682" i="4" s="1"/>
  <c r="Z957" i="4" a="1"/>
  <c r="Z957" i="4" s="1"/>
  <c r="Z930" i="4" a="1"/>
  <c r="Z930" i="4" s="1"/>
  <c r="Z649" i="4" a="1"/>
  <c r="Z649" i="4" s="1"/>
  <c r="Z618" i="4" a="1"/>
  <c r="Z618" i="4" s="1"/>
  <c r="Z607" i="4" a="1"/>
  <c r="Z607" i="4" s="1"/>
  <c r="Z313" i="4" a="1"/>
  <c r="Z313" i="4" s="1"/>
  <c r="Z573" i="4" a="1"/>
  <c r="Z573" i="4"/>
  <c r="Z167" i="4" a="1"/>
  <c r="Z167" i="4" s="1"/>
  <c r="Z643" i="4" a="1"/>
  <c r="Z643" i="4" s="1"/>
  <c r="Z301" i="4" a="1"/>
  <c r="Z301" i="4" s="1"/>
  <c r="Z418" i="4" a="1"/>
  <c r="Z418" i="4" s="1"/>
  <c r="Z351" i="4" a="1"/>
  <c r="Z351" i="4" s="1"/>
  <c r="Z154" i="4" a="1"/>
  <c r="Z154" i="4" s="1"/>
  <c r="Z155" i="4" a="1"/>
  <c r="Z155" i="4" s="1"/>
  <c r="Z382" i="4" a="1"/>
  <c r="Z382" i="4" s="1"/>
  <c r="Z463" i="4" a="1"/>
  <c r="Z463" i="4"/>
  <c r="Z342" i="4" a="1"/>
  <c r="Z342" i="4" s="1"/>
  <c r="Z662" i="4" a="1"/>
  <c r="Z662" i="4" s="1"/>
  <c r="Y604" i="4"/>
  <c r="Y965" i="4"/>
  <c r="Y561" i="4"/>
  <c r="Y720" i="4"/>
  <c r="Y896" i="4"/>
  <c r="Y828" i="4"/>
  <c r="Y583" i="4"/>
  <c r="Y441" i="4"/>
  <c r="Y985" i="4"/>
  <c r="Y766" i="4"/>
  <c r="Y413" i="4"/>
  <c r="Y888" i="4"/>
  <c r="Y951" i="4"/>
  <c r="Y963" i="4"/>
  <c r="Y3" i="4"/>
  <c r="Y4" i="4"/>
  <c r="Y5" i="4"/>
  <c r="Y6" i="4"/>
  <c r="Y771" i="4"/>
  <c r="Y7" i="4"/>
  <c r="Y440" i="4"/>
  <c r="Y396" i="4"/>
  <c r="Y310" i="4"/>
  <c r="Y764" i="4"/>
  <c r="Y421" i="4"/>
  <c r="Y387" i="4"/>
  <c r="Y470" i="4"/>
  <c r="Y8" i="4"/>
  <c r="Y843" i="4"/>
  <c r="Y9" i="4"/>
  <c r="Y464" i="4"/>
  <c r="Y449" i="4"/>
  <c r="Y314" i="4"/>
  <c r="Y781" i="4"/>
  <c r="Y823" i="4"/>
  <c r="Y287" i="4"/>
  <c r="Y775" i="4"/>
  <c r="Y900" i="4"/>
  <c r="Y10" i="4"/>
  <c r="Y863" i="4"/>
  <c r="Y436" i="4"/>
  <c r="Y887" i="4"/>
  <c r="Y651" i="4"/>
  <c r="Y183" i="4"/>
  <c r="Y656" i="4"/>
  <c r="Y11" i="4"/>
  <c r="Y12" i="4"/>
  <c r="Y339" i="4"/>
  <c r="Y274" i="4"/>
  <c r="Y13" i="4"/>
  <c r="Y797" i="4"/>
  <c r="Y705" i="4"/>
  <c r="Y14" i="4"/>
  <c r="Y196" i="4"/>
  <c r="Y395" i="4"/>
  <c r="Y709" i="4"/>
  <c r="Y15" i="4"/>
  <c r="Y481" i="4"/>
  <c r="Y483" i="4"/>
  <c r="Y740" i="4"/>
  <c r="Y275" i="4"/>
  <c r="Y758" i="4"/>
  <c r="Y16" i="4"/>
  <c r="Y776" i="4"/>
  <c r="Y444" i="4"/>
  <c r="Y955" i="4"/>
  <c r="Y216" i="4"/>
  <c r="Y746" i="4"/>
  <c r="Y946" i="4"/>
  <c r="Y737" i="4"/>
  <c r="Y670" i="4"/>
  <c r="Y17" i="4"/>
  <c r="Y161" i="4"/>
  <c r="Y373" i="4"/>
  <c r="Y284" i="4"/>
  <c r="Y237" i="4"/>
  <c r="Y249" i="4"/>
  <c r="Y632" i="4"/>
  <c r="Y820" i="4"/>
  <c r="Y848" i="4"/>
  <c r="Y425" i="4"/>
  <c r="Y204" i="4"/>
  <c r="Y18" i="4"/>
  <c r="Y939" i="4"/>
  <c r="Y570" i="4"/>
  <c r="Y207" i="4"/>
  <c r="Y19" i="4"/>
  <c r="Y905" i="4"/>
  <c r="Y302" i="4"/>
  <c r="Y516" i="4"/>
  <c r="Y250" i="4"/>
  <c r="Y20" i="4"/>
  <c r="Y414" i="4"/>
  <c r="Y806" i="4"/>
  <c r="Y700" i="4"/>
  <c r="Y410" i="4"/>
  <c r="Y21" i="4"/>
  <c r="Y22" i="4"/>
  <c r="Y745" i="4"/>
  <c r="Y827" i="4"/>
  <c r="Y970" i="4"/>
  <c r="Y885" i="4"/>
  <c r="Y650" i="4"/>
  <c r="Y958" i="4"/>
  <c r="Y253" i="4"/>
  <c r="Y807" i="4"/>
  <c r="Y221" i="4"/>
  <c r="Y563" i="4"/>
  <c r="Y23" i="4"/>
  <c r="Y378" i="4"/>
  <c r="Y266" i="4"/>
  <c r="Y873" i="4"/>
  <c r="Y24" i="4"/>
  <c r="Y941" i="4"/>
  <c r="Y510" i="4"/>
  <c r="Y935" i="4"/>
  <c r="Y433" i="4"/>
  <c r="Y25" i="4"/>
  <c r="Y815" i="4"/>
  <c r="Y557" i="4"/>
  <c r="Y918" i="4"/>
  <c r="Y259" i="4"/>
  <c r="Y190" i="4"/>
  <c r="Y308" i="4"/>
  <c r="Y791" i="4"/>
  <c r="Y960" i="4"/>
  <c r="Y898" i="4"/>
  <c r="Y847" i="4"/>
  <c r="Y659" i="4"/>
  <c r="Y811" i="4"/>
  <c r="Y230" i="4"/>
  <c r="Y388" i="4"/>
  <c r="Y245" i="4"/>
  <c r="Y325" i="4"/>
  <c r="Y615" i="4"/>
  <c r="Y328" i="4"/>
  <c r="Y255" i="4"/>
  <c r="Y825" i="4"/>
  <c r="Y195" i="4"/>
  <c r="Y654" i="4"/>
  <c r="Y389" i="4"/>
  <c r="Y747" i="4"/>
  <c r="Y502" i="4"/>
  <c r="Y437" i="4"/>
  <c r="Y375" i="4"/>
  <c r="Y352" i="4"/>
  <c r="Y426" i="4"/>
  <c r="Y858" i="4"/>
  <c r="Y26" i="4"/>
  <c r="Y210" i="4"/>
  <c r="Y540" i="4"/>
  <c r="Y505" i="4"/>
  <c r="Y341" i="4"/>
  <c r="Y324" i="4"/>
  <c r="Y769" i="4"/>
  <c r="Y445" i="4"/>
  <c r="Y304" i="4"/>
  <c r="Y158" i="4"/>
  <c r="Y466" i="4"/>
  <c r="Y628" i="4"/>
  <c r="Y836" i="4"/>
  <c r="Y181" i="4"/>
  <c r="Y696" i="4"/>
  <c r="Y243" i="4"/>
  <c r="Y27" i="4"/>
  <c r="Y28" i="4"/>
  <c r="Y663" i="4"/>
  <c r="Y184" i="4"/>
  <c r="Y837" i="4"/>
  <c r="Y865" i="4"/>
  <c r="Y189" i="4"/>
  <c r="Y215" i="4"/>
  <c r="Y29" i="4"/>
  <c r="Y954" i="4"/>
  <c r="Y448" i="4"/>
  <c r="Y454" i="4"/>
  <c r="Y166" i="4"/>
  <c r="Y772" i="4"/>
  <c r="Y587" i="4"/>
  <c r="Y218" i="4"/>
  <c r="Y356" i="4"/>
  <c r="Y915" i="4"/>
  <c r="Y30" i="4"/>
  <c r="Y224" i="4"/>
  <c r="Y495" i="4"/>
  <c r="Y173" i="4"/>
  <c r="Y254" i="4"/>
  <c r="Y31" i="4"/>
  <c r="Y32" i="4"/>
  <c r="Y664" i="4"/>
  <c r="Y635" i="4"/>
  <c r="Y353" i="4"/>
  <c r="Y276" i="4"/>
  <c r="Y377" i="4"/>
  <c r="Y33" i="4"/>
  <c r="Y34" i="4"/>
  <c r="Y459" i="4"/>
  <c r="Y370" i="4"/>
  <c r="Y432" i="4"/>
  <c r="Y35" i="4"/>
  <c r="Y369" i="4"/>
  <c r="Y326" i="4"/>
  <c r="Y503" i="4"/>
  <c r="Y443" i="4"/>
  <c r="Y412" i="4"/>
  <c r="Y273" i="4"/>
  <c r="Y424" i="4"/>
  <c r="Y36" i="4"/>
  <c r="Y447" i="4"/>
  <c r="Y580" i="4"/>
  <c r="Y525" i="4"/>
  <c r="Y475" i="4"/>
  <c r="Y578" i="4"/>
  <c r="Y982" i="4"/>
  <c r="Y37" i="4"/>
  <c r="Y293" i="4"/>
  <c r="Y38" i="4"/>
  <c r="Y619" i="4"/>
  <c r="Y244" i="4"/>
  <c r="Y566" i="4"/>
  <c r="Y908" i="4"/>
  <c r="Y358" i="4"/>
  <c r="Y319" i="4"/>
  <c r="Y295" i="4"/>
  <c r="Y757" i="4"/>
  <c r="Y329" i="4"/>
  <c r="Y238" i="4"/>
  <c r="Y881" i="4"/>
  <c r="Y598" i="4"/>
  <c r="Y721" i="4"/>
  <c r="Y894" i="4"/>
  <c r="Y427" i="4"/>
  <c r="Y532" i="4"/>
  <c r="Y779" i="4"/>
  <c r="Y430" i="4"/>
  <c r="Y354" i="4"/>
  <c r="Y383" i="4"/>
  <c r="Y948" i="4"/>
  <c r="Y468" i="4"/>
  <c r="Y790" i="4"/>
  <c r="Y805" i="4"/>
  <c r="Y527" i="4"/>
  <c r="Y434" i="4"/>
  <c r="Y455" i="4"/>
  <c r="Y681" i="4"/>
  <c r="Y617" i="4"/>
  <c r="Y201" i="4"/>
  <c r="Y403" i="4"/>
  <c r="Y461" i="4"/>
  <c r="Y170" i="4"/>
  <c r="Y213" i="4"/>
  <c r="Y897" i="4"/>
  <c r="Y716" i="4"/>
  <c r="Y582" i="4"/>
  <c r="Y759" i="4"/>
  <c r="Y380" i="4"/>
  <c r="Y713" i="4"/>
  <c r="Y164" i="4"/>
  <c r="Y462" i="4"/>
  <c r="Y220" i="4"/>
  <c r="Y697" i="4"/>
  <c r="Y422" i="4"/>
  <c r="Y397" i="4"/>
  <c r="Y953" i="4"/>
  <c r="Y296" i="4"/>
  <c r="Y39" i="4"/>
  <c r="Y40" i="4"/>
  <c r="Y41" i="4"/>
  <c r="Y206" i="4"/>
  <c r="Y280" i="4"/>
  <c r="Y264" i="4"/>
  <c r="Y605" i="4"/>
  <c r="Y42" i="4"/>
  <c r="Y43" i="4"/>
  <c r="Y226" i="4"/>
  <c r="Y971" i="4"/>
  <c r="Y376" i="4"/>
  <c r="Y44" i="4"/>
  <c r="Y363" i="4"/>
  <c r="Y555" i="4"/>
  <c r="Y45" i="4"/>
  <c r="Y423" i="4"/>
  <c r="Y159" i="4"/>
  <c r="Y950" i="4"/>
  <c r="Y306" i="4"/>
  <c r="Y46" i="4"/>
  <c r="Y932" i="4"/>
  <c r="Y47" i="4"/>
  <c r="Y48" i="4"/>
  <c r="Y49" i="4"/>
  <c r="Y642" i="4"/>
  <c r="Y684" i="4"/>
  <c r="Y50" i="4"/>
  <c r="Y676" i="4"/>
  <c r="Y272" i="4"/>
  <c r="Y497" i="4"/>
  <c r="Y851" i="4"/>
  <c r="Y205" i="4"/>
  <c r="Y981" i="4"/>
  <c r="Y438" i="4"/>
  <c r="Y211" i="4"/>
  <c r="Y337" i="4"/>
  <c r="Y478" i="4"/>
  <c r="Y765" i="4"/>
  <c r="Y877" i="4"/>
  <c r="Y51" i="4"/>
  <c r="Y372" i="4"/>
  <c r="Y708" i="4"/>
  <c r="Y431" i="4"/>
  <c r="Y52" i="4"/>
  <c r="Y222" i="4"/>
  <c r="Y907" i="4"/>
  <c r="Y442" i="4"/>
  <c r="Y53" i="4"/>
  <c r="Y482" i="4"/>
  <c r="Y180" i="4"/>
  <c r="Y517" i="4"/>
  <c r="Y54" i="4"/>
  <c r="Y735" i="4"/>
  <c r="Y719" i="4"/>
  <c r="Y551" i="4"/>
  <c r="Y798" i="4"/>
  <c r="Y572" i="4"/>
  <c r="Y348" i="4"/>
  <c r="Y212" i="4"/>
  <c r="Y55" i="4"/>
  <c r="Y890" i="4"/>
  <c r="Y491" i="4"/>
  <c r="Y906" i="4"/>
  <c r="Y637" i="4"/>
  <c r="Y537" i="4"/>
  <c r="Y429" i="4"/>
  <c r="Y160" i="4"/>
  <c r="Y621" i="4"/>
  <c r="Y176" i="4"/>
  <c r="Y357" i="4"/>
  <c r="Y268" i="4"/>
  <c r="Y812" i="4"/>
  <c r="Y889" i="4"/>
  <c r="Y767" i="4"/>
  <c r="Y242" i="4"/>
  <c r="Y913" i="4"/>
  <c r="Y332" i="4"/>
  <c r="Y56" i="4"/>
  <c r="Y57" i="4"/>
  <c r="Y350" i="4"/>
  <c r="Y519" i="4"/>
  <c r="Y901" i="4"/>
  <c r="Y323" i="4"/>
  <c r="Y949" i="4"/>
  <c r="Y393" i="4"/>
  <c r="Y58" i="4"/>
  <c r="Y59" i="4"/>
  <c r="Y285" i="4"/>
  <c r="Y60" i="4"/>
  <c r="Y686" i="4"/>
  <c r="Y493" i="4"/>
  <c r="Y841" i="4"/>
  <c r="Y269" i="4"/>
  <c r="Y315" i="4"/>
  <c r="Y597" i="4"/>
  <c r="Y693" i="4"/>
  <c r="Y726" i="4"/>
  <c r="Y360" i="4"/>
  <c r="Y61" i="4"/>
  <c r="Y321" i="4"/>
  <c r="Y524" i="4"/>
  <c r="Y305" i="4"/>
  <c r="Y231" i="4"/>
  <c r="Y267" i="4"/>
  <c r="Y479" i="4"/>
  <c r="Y316" i="4"/>
  <c r="Y816" i="4"/>
  <c r="Y945" i="4"/>
  <c r="Y286" i="4"/>
  <c r="Y62" i="4"/>
  <c r="Y480" i="4"/>
  <c r="Y974" i="4"/>
  <c r="Y177" i="4"/>
  <c r="Y926" i="4"/>
  <c r="Y435" i="4"/>
  <c r="Y349" i="4"/>
  <c r="Y385" i="4"/>
  <c r="Y867" i="4"/>
  <c r="Y63" i="4"/>
  <c r="Y738" i="4"/>
  <c r="Y576" i="4"/>
  <c r="Y64" i="4"/>
  <c r="Y729" i="4"/>
  <c r="Y65" i="4"/>
  <c r="Y629" i="4"/>
  <c r="Y66" i="4"/>
  <c r="Y67" i="4"/>
  <c r="Y625" i="4"/>
  <c r="Y391" i="4"/>
  <c r="Y831" i="4"/>
  <c r="Y819" i="4"/>
  <c r="Y589" i="4"/>
  <c r="Y386" i="4"/>
  <c r="Y688" i="4"/>
  <c r="Y68" i="4"/>
  <c r="Y69" i="4"/>
  <c r="Y334" i="4"/>
  <c r="Y690" i="4"/>
  <c r="Y428" i="4"/>
  <c r="Y804" i="4"/>
  <c r="Y687" i="4"/>
  <c r="Y796" i="4"/>
  <c r="Y507" i="4"/>
  <c r="Y465" i="4"/>
  <c r="Y70" i="4"/>
  <c r="Y335" i="4"/>
  <c r="Y248" i="4"/>
  <c r="Y710" i="4"/>
  <c r="Y371" i="4"/>
  <c r="Y336" i="4"/>
  <c r="Y914" i="4"/>
  <c r="Y599" i="4"/>
  <c r="Y762" i="4"/>
  <c r="Y409" i="4"/>
  <c r="Y868" i="4"/>
  <c r="Y542" i="4"/>
  <c r="Y620" i="4"/>
  <c r="Y661" i="4"/>
  <c r="Y653" i="4"/>
  <c r="Y800" i="4"/>
  <c r="Y574" i="4"/>
  <c r="Y567" i="4"/>
  <c r="Y600" i="4"/>
  <c r="Y2" i="4"/>
  <c r="Y366" i="4"/>
  <c r="Y71" i="4"/>
  <c r="Y200" i="4"/>
  <c r="Y439" i="4"/>
  <c r="Y379" i="4"/>
  <c r="Y698" i="4"/>
  <c r="Y817" i="4"/>
  <c r="Y703" i="4"/>
  <c r="Y902" i="4"/>
  <c r="Y899" i="4"/>
  <c r="Y821" i="4"/>
  <c r="Y514" i="4"/>
  <c r="Y500" i="4"/>
  <c r="Y292" i="4"/>
  <c r="Y595" i="4"/>
  <c r="Y420" i="4"/>
  <c r="Y72" i="4"/>
  <c r="Y818" i="4"/>
  <c r="Y450" i="4"/>
  <c r="Y528" i="4"/>
  <c r="Y755" i="4"/>
  <c r="Y714" i="4"/>
  <c r="Y850" i="4"/>
  <c r="Y753" i="4"/>
  <c r="Y879" i="4"/>
  <c r="Y281" i="4"/>
  <c r="Y73" i="4"/>
  <c r="Y672" i="4"/>
  <c r="Y198" i="4"/>
  <c r="Y416" i="4"/>
  <c r="Y569" i="4"/>
  <c r="Y74" i="4"/>
  <c r="Y75" i="4"/>
  <c r="Y626" i="4"/>
  <c r="Y401" i="4"/>
  <c r="Y246" i="4"/>
  <c r="Y741" i="4"/>
  <c r="Y547" i="4"/>
  <c r="Y784" i="4"/>
  <c r="Y835" i="4"/>
  <c r="Y849" i="4"/>
  <c r="Y685" i="4"/>
  <c r="Y338" i="4"/>
  <c r="Y657" i="4"/>
  <c r="Y864" i="4"/>
  <c r="Y496" i="4"/>
  <c r="Y76" i="4"/>
  <c r="Y501" i="4"/>
  <c r="Y882" i="4"/>
  <c r="Y467" i="4"/>
  <c r="Y794" i="4"/>
  <c r="Y702" i="4"/>
  <c r="Y846" i="4"/>
  <c r="Y260" i="4"/>
  <c r="Y458" i="4"/>
  <c r="Y645" i="4"/>
  <c r="Y417" i="4"/>
  <c r="Y172" i="4"/>
  <c r="Y404" i="4"/>
  <c r="Y499" i="4"/>
  <c r="Y727" i="4"/>
  <c r="Y477" i="4"/>
  <c r="Y763" i="4"/>
  <c r="Y613" i="4"/>
  <c r="Y691" i="4"/>
  <c r="Y842" i="4"/>
  <c r="Y486" i="4"/>
  <c r="Y320" i="4"/>
  <c r="Y162" i="4"/>
  <c r="Y585" i="4"/>
  <c r="Y252" i="4"/>
  <c r="Y534" i="4"/>
  <c r="Y814" i="4"/>
  <c r="Y451" i="4"/>
  <c r="Y288" i="4"/>
  <c r="Y692" i="4"/>
  <c r="Y925" i="4"/>
  <c r="Y593" i="4"/>
  <c r="Y203" i="4"/>
  <c r="Y258" i="4"/>
  <c r="Y400" i="4"/>
  <c r="Y265" i="4"/>
  <c r="Y157" i="4"/>
  <c r="Y533" i="4"/>
  <c r="Y862" i="4"/>
  <c r="Y405" i="4"/>
  <c r="Y77" i="4"/>
  <c r="Y344" i="4"/>
  <c r="Y731" i="4"/>
  <c r="Y701" i="4"/>
  <c r="Y652" i="4"/>
  <c r="Y723" i="4"/>
  <c r="Y452" i="4"/>
  <c r="Y639" i="4"/>
  <c r="Y492" i="4"/>
  <c r="Y856" i="4"/>
  <c r="Y289" i="4"/>
  <c r="Y631" i="4"/>
  <c r="Y364" i="4"/>
  <c r="Y854" i="4"/>
  <c r="Y612" i="4"/>
  <c r="Y704" i="4"/>
  <c r="Y978" i="4"/>
  <c r="Y78" i="4"/>
  <c r="Y520" i="4"/>
  <c r="Y789" i="4"/>
  <c r="Y79" i="4"/>
  <c r="Y584" i="4"/>
  <c r="Y624" i="4"/>
  <c r="Y156" i="4"/>
  <c r="Y773" i="4"/>
  <c r="Y80" i="4"/>
  <c r="Y934" i="4"/>
  <c r="Y871" i="4"/>
  <c r="Y81" i="4"/>
  <c r="Y861" i="4"/>
  <c r="Y494" i="4"/>
  <c r="Y82" i="4"/>
  <c r="Y83" i="4"/>
  <c r="Y667" i="4"/>
  <c r="Y498" i="4"/>
  <c r="Y538" i="4"/>
  <c r="Y916" i="4"/>
  <c r="Y922" i="4"/>
  <c r="Y515" i="4"/>
  <c r="Y655" i="4"/>
  <c r="Y891" i="4"/>
  <c r="Y415" i="4"/>
  <c r="Y966" i="4"/>
  <c r="Y824" i="4"/>
  <c r="Y919" i="4"/>
  <c r="Y942" i="4"/>
  <c r="Y833" i="4"/>
  <c r="Y365" i="4"/>
  <c r="Y84" i="4"/>
  <c r="Y675" i="4"/>
  <c r="Y602" i="4"/>
  <c r="Y279" i="4"/>
  <c r="Y786" i="4"/>
  <c r="Y85" i="4"/>
  <c r="Y311" i="4"/>
  <c r="Y983" i="4"/>
  <c r="Y724" i="4"/>
  <c r="Y634" i="4"/>
  <c r="Y874" i="4"/>
  <c r="Y390" i="4"/>
  <c r="Y728" i="4"/>
  <c r="Y473" i="4"/>
  <c r="Y927" i="4"/>
  <c r="Y799" i="4"/>
  <c r="Y677" i="4"/>
  <c r="Y86" i="4"/>
  <c r="Y892" i="4"/>
  <c r="Y622" i="4"/>
  <c r="Y87" i="4"/>
  <c r="Y241" i="4"/>
  <c r="Y312" i="4"/>
  <c r="Y909" i="4"/>
  <c r="Y938" i="4"/>
  <c r="Y884" i="4"/>
  <c r="Y543" i="4"/>
  <c r="Y88" i="4"/>
  <c r="Y228" i="4"/>
  <c r="Y756" i="4"/>
  <c r="Y174" i="4"/>
  <c r="Y878" i="4"/>
  <c r="Y933" i="4"/>
  <c r="Y89" i="4"/>
  <c r="Y952" i="4"/>
  <c r="Y770" i="4"/>
  <c r="Y559" i="4"/>
  <c r="Y182" i="4"/>
  <c r="Y90" i="4"/>
  <c r="Y923" i="4"/>
  <c r="Y91" i="4"/>
  <c r="Y282" i="4"/>
  <c r="Y660" i="4"/>
  <c r="Y956" i="4"/>
  <c r="Y678" i="4"/>
  <c r="Y504" i="4"/>
  <c r="Y910" i="4"/>
  <c r="Y92" i="4"/>
  <c r="Y802" i="4"/>
  <c r="Y839" i="4"/>
  <c r="Y671" i="4"/>
  <c r="Y931" i="4"/>
  <c r="Y318" i="4"/>
  <c r="Y256" i="4"/>
  <c r="Y732" i="4"/>
  <c r="Y317" i="4"/>
  <c r="Y93" i="4"/>
  <c r="Y94" i="4"/>
  <c r="Y640" i="4"/>
  <c r="Y95" i="4"/>
  <c r="Y571" i="4"/>
  <c r="Y96" i="4"/>
  <c r="Y487" i="4"/>
  <c r="Y506" i="4"/>
  <c r="Y346" i="4"/>
  <c r="Y333" i="4"/>
  <c r="Y744" i="4"/>
  <c r="Y535" i="4"/>
  <c r="Y531" i="4"/>
  <c r="Y343" i="4"/>
  <c r="Y565" i="4"/>
  <c r="Y512" i="4"/>
  <c r="Y644" i="4"/>
  <c r="Y792" i="4"/>
  <c r="Y591" i="4"/>
  <c r="Y742" i="4"/>
  <c r="Y345" i="4"/>
  <c r="Y579" i="4"/>
  <c r="Y359" i="4"/>
  <c r="Y795" i="4"/>
  <c r="Y97" i="4"/>
  <c r="Y857" i="4"/>
  <c r="Y961" i="4"/>
  <c r="Y98" i="4"/>
  <c r="Y381" i="4"/>
  <c r="Y457" i="4"/>
  <c r="Y99" i="4"/>
  <c r="Y581" i="4"/>
  <c r="Y883" i="4"/>
  <c r="Y707" i="4"/>
  <c r="Y984" i="4"/>
  <c r="Y526" i="4"/>
  <c r="Y529" i="4"/>
  <c r="Y509" i="4"/>
  <c r="Y100" i="4"/>
  <c r="Y611" i="4"/>
  <c r="Y608" i="4"/>
  <c r="Y101" i="4"/>
  <c r="Y484" i="4"/>
  <c r="Y730" i="4"/>
  <c r="Y192" i="4"/>
  <c r="Y522" i="4"/>
  <c r="Y225" i="4"/>
  <c r="Y924" i="4"/>
  <c r="Y102" i="4"/>
  <c r="Y488" i="4"/>
  <c r="Y588" i="4"/>
  <c r="Y610" i="4"/>
  <c r="Y271" i="4"/>
  <c r="Y277" i="4"/>
  <c r="Y739" i="4"/>
  <c r="Y633" i="4"/>
  <c r="Y103" i="4"/>
  <c r="Y552" i="4"/>
  <c r="Y969" i="4"/>
  <c r="Y616" i="4"/>
  <c r="Y104" i="4"/>
  <c r="Y718" i="4"/>
  <c r="Y398" i="4"/>
  <c r="Y920" i="4"/>
  <c r="Y187" i="4"/>
  <c r="Y822" i="4"/>
  <c r="Y674" i="4"/>
  <c r="Y105" i="4"/>
  <c r="Y399" i="4"/>
  <c r="Y641" i="4"/>
  <c r="Y361" i="4"/>
  <c r="Y975" i="4"/>
  <c r="Y106" i="4"/>
  <c r="Y165" i="4"/>
  <c r="Y229" i="4"/>
  <c r="Y725" i="4"/>
  <c r="Y523" i="4"/>
  <c r="Y331" i="4"/>
  <c r="Y233" i="4"/>
  <c r="Y782" i="4"/>
  <c r="Y107" i="4"/>
  <c r="Y108" i="4"/>
  <c r="Y826" i="4"/>
  <c r="Y298" i="4"/>
  <c r="Y109" i="4"/>
  <c r="Y554" i="4"/>
  <c r="Y110" i="4"/>
  <c r="Y111" i="4"/>
  <c r="Y928" i="4"/>
  <c r="Y964" i="4"/>
  <c r="Y638" i="4"/>
  <c r="Y860" i="4"/>
  <c r="Y262" i="4"/>
  <c r="Y689" i="4"/>
  <c r="Y112" i="4"/>
  <c r="Y113" i="4"/>
  <c r="Y715" i="4"/>
  <c r="Y114" i="4"/>
  <c r="Y194" i="4"/>
  <c r="Y521" i="4"/>
  <c r="Y603" i="4"/>
  <c r="Y240" i="4"/>
  <c r="Y115" i="4"/>
  <c r="Y307" i="4"/>
  <c r="Y736" i="4"/>
  <c r="Y247" i="4"/>
  <c r="Y560" i="4"/>
  <c r="Y748" i="4"/>
  <c r="Y235" i="4"/>
  <c r="Y575" i="4"/>
  <c r="Y471" i="4"/>
  <c r="Y116" i="4"/>
  <c r="Y117" i="4"/>
  <c r="Y118" i="4"/>
  <c r="Y485" i="4"/>
  <c r="Y119" i="4"/>
  <c r="Y283" i="4"/>
  <c r="Y294" i="4"/>
  <c r="Y943" i="4"/>
  <c r="Y472" i="4"/>
  <c r="Y120" i="4"/>
  <c r="Y917" i="4"/>
  <c r="Y809" i="4"/>
  <c r="Y980" i="4"/>
  <c r="Y780" i="4"/>
  <c r="Y300" i="4"/>
  <c r="Y785" i="4"/>
  <c r="Y199" i="4"/>
  <c r="Y594" i="4"/>
  <c r="Y844" i="4"/>
  <c r="Y340" i="4"/>
  <c r="Y513" i="4"/>
  <c r="Y355" i="4"/>
  <c r="Y712" i="4"/>
  <c r="Y408" i="4"/>
  <c r="Y121" i="4"/>
  <c r="Y564" i="4"/>
  <c r="Y845" i="4"/>
  <c r="Y695" i="4"/>
  <c r="Y904" i="4"/>
  <c r="Y263" i="4"/>
  <c r="Y122" i="4"/>
  <c r="Y227" i="4"/>
  <c r="Y760" i="4"/>
  <c r="Y665" i="4"/>
  <c r="Y168" i="4"/>
  <c r="Y921" i="4"/>
  <c r="Y217" i="4"/>
  <c r="Y214" i="4"/>
  <c r="Y944" i="4"/>
  <c r="Y123" i="4"/>
  <c r="Y606" i="4"/>
  <c r="Y124" i="4"/>
  <c r="Y614" i="4"/>
  <c r="Y749" i="4"/>
  <c r="Y278" i="4"/>
  <c r="Y347" i="4"/>
  <c r="Y903" i="4"/>
  <c r="Y886" i="4"/>
  <c r="Y125" i="4"/>
  <c r="Y788" i="4"/>
  <c r="Y309" i="4"/>
  <c r="Y126" i="4"/>
  <c r="Y647" i="4"/>
  <c r="Y208" i="4"/>
  <c r="Y968" i="4"/>
  <c r="Y236" i="4"/>
  <c r="Y623" i="4"/>
  <c r="Y419" i="4"/>
  <c r="Y893" i="4"/>
  <c r="Y518" i="4"/>
  <c r="Y679" i="4"/>
  <c r="Y646" i="4"/>
  <c r="Y751" i="4"/>
  <c r="Y127" i="4"/>
  <c r="Y556" i="4"/>
  <c r="Y875" i="4"/>
  <c r="Y866" i="4"/>
  <c r="Y469" i="4"/>
  <c r="Y290" i="4"/>
  <c r="Y128" i="4"/>
  <c r="Y129" i="4"/>
  <c r="Y880" i="4"/>
  <c r="Y223" i="4"/>
  <c r="Y474" i="4"/>
  <c r="Y178" i="4"/>
  <c r="Y801" i="4"/>
  <c r="Y130" i="4"/>
  <c r="Y754" i="4"/>
  <c r="Y460" i="4"/>
  <c r="Y973" i="4"/>
  <c r="Y541" i="4"/>
  <c r="Y171" i="4"/>
  <c r="Y131" i="4"/>
  <c r="Y803" i="4"/>
  <c r="Y303" i="4"/>
  <c r="Y648" i="4"/>
  <c r="Y374" i="4"/>
  <c r="Y722" i="4"/>
  <c r="Y362" i="4"/>
  <c r="Y834" i="4"/>
  <c r="Y132" i="4"/>
  <c r="Y680" i="4"/>
  <c r="Y545" i="4"/>
  <c r="Y193" i="4"/>
  <c r="Y777" i="4"/>
  <c r="Y947" i="4"/>
  <c r="Y577" i="4"/>
  <c r="Y586" i="4"/>
  <c r="Y133" i="4"/>
  <c r="Y743" i="4"/>
  <c r="Y186" i="4"/>
  <c r="Y548" i="4"/>
  <c r="Y813" i="4"/>
  <c r="Y536" i="4"/>
  <c r="Y134" i="4"/>
  <c r="Y407" i="4"/>
  <c r="Y895" i="4"/>
  <c r="Y553" i="4"/>
  <c r="Y658" i="4"/>
  <c r="Y592" i="4"/>
  <c r="Y257" i="4"/>
  <c r="Y750" i="4"/>
  <c r="Y188" i="4"/>
  <c r="Y937" i="4"/>
  <c r="Y979" i="4"/>
  <c r="Y544" i="4"/>
  <c r="Y546" i="4"/>
  <c r="Y752" i="4"/>
  <c r="Y734" i="4"/>
  <c r="Y694" i="4"/>
  <c r="Y135" i="4"/>
  <c r="Y136" i="4"/>
  <c r="Y239" i="4"/>
  <c r="Y699" i="4"/>
  <c r="Y609" i="4"/>
  <c r="Y137" i="4"/>
  <c r="Y808" i="4"/>
  <c r="Y411" i="4"/>
  <c r="Y402" i="4"/>
  <c r="Y976" i="4"/>
  <c r="Y368" i="4"/>
  <c r="Y489" i="4"/>
  <c r="Y838" i="4"/>
  <c r="Y138" i="4"/>
  <c r="Y627" i="4"/>
  <c r="Y668" i="4"/>
  <c r="Y139" i="4"/>
  <c r="Y774" i="4"/>
  <c r="Y596" i="4"/>
  <c r="Y251" i="4"/>
  <c r="Y733" i="4"/>
  <c r="Y768" i="4"/>
  <c r="Y179" i="4"/>
  <c r="Y291" i="4"/>
  <c r="Y446" i="4"/>
  <c r="Y163" i="4"/>
  <c r="Y140" i="4"/>
  <c r="Y711" i="4"/>
  <c r="Y940" i="4"/>
  <c r="Y270" i="4"/>
  <c r="Y141" i="4"/>
  <c r="Y706" i="4"/>
  <c r="Y778" i="4"/>
  <c r="Y911" i="4"/>
  <c r="Y855" i="4"/>
  <c r="Y322" i="4"/>
  <c r="Y367" i="4"/>
  <c r="Y876" i="4"/>
  <c r="Y232" i="4"/>
  <c r="Y550" i="4"/>
  <c r="Y852" i="4"/>
  <c r="Y829" i="4"/>
  <c r="Y962" i="4"/>
  <c r="Y142" i="4"/>
  <c r="Y143" i="4"/>
  <c r="Y853" i="4"/>
  <c r="Y175" i="4"/>
  <c r="Y144" i="4"/>
  <c r="Y511" i="4"/>
  <c r="Y783" i="4"/>
  <c r="Y669" i="4"/>
  <c r="Y872" i="4"/>
  <c r="Y972" i="4"/>
  <c r="Y191" i="4"/>
  <c r="Y683" i="4"/>
  <c r="Y145" i="4"/>
  <c r="Y936" i="4"/>
  <c r="Y558" i="4"/>
  <c r="Y601" i="4"/>
  <c r="Y476" i="4"/>
  <c r="Y912" i="4"/>
  <c r="Y539" i="4"/>
  <c r="Y967" i="4"/>
  <c r="Y666" i="4"/>
  <c r="Y330" i="4"/>
  <c r="Y146" i="4"/>
  <c r="Y147" i="4"/>
  <c r="Y394" i="4"/>
  <c r="Y793" i="4"/>
  <c r="Y234" i="4"/>
  <c r="Y384" i="4"/>
  <c r="Y456" i="4"/>
  <c r="Y508" i="4"/>
  <c r="Y832" i="4"/>
  <c r="Y630" i="4"/>
  <c r="Y929" i="4"/>
  <c r="Y959" i="4"/>
  <c r="Y392" i="4"/>
  <c r="Y209" i="4"/>
  <c r="Y148" i="4"/>
  <c r="Y299" i="4"/>
  <c r="Y869" i="4"/>
  <c r="Y810" i="4"/>
  <c r="Y219" i="4"/>
  <c r="Y197" i="4"/>
  <c r="Y787" i="4"/>
  <c r="Y149" i="4"/>
  <c r="Y150" i="4"/>
  <c r="Y830" i="4"/>
  <c r="Y151" i="4"/>
  <c r="Y977" i="4"/>
  <c r="Y530" i="4"/>
  <c r="Y870" i="4"/>
  <c r="Y673" i="4"/>
  <c r="Y590" i="4"/>
  <c r="Y152" i="4"/>
  <c r="Y453" i="4"/>
  <c r="Y169" i="4"/>
  <c r="Y859" i="4"/>
  <c r="Y185" i="4"/>
  <c r="Y261" i="4"/>
  <c r="Y562" i="4"/>
  <c r="Y297" i="4"/>
  <c r="Y153" i="4"/>
  <c r="Y636" i="4"/>
  <c r="Y406" i="4"/>
  <c r="Y568" i="4"/>
  <c r="Y717" i="4"/>
  <c r="Y490" i="4"/>
  <c r="Y327" i="4"/>
  <c r="Y549" i="4"/>
  <c r="Y761" i="4"/>
  <c r="Y840" i="4"/>
  <c r="Y202" i="4"/>
  <c r="Y682" i="4"/>
  <c r="Y957" i="4"/>
  <c r="Y930" i="4"/>
  <c r="Y649" i="4"/>
  <c r="Y618" i="4"/>
  <c r="Y607" i="4"/>
  <c r="Y313" i="4"/>
  <c r="Y573" i="4"/>
  <c r="Y167" i="4"/>
  <c r="Y643" i="4"/>
  <c r="Y301" i="4"/>
  <c r="Y418" i="4"/>
  <c r="Y351" i="4"/>
  <c r="Y154" i="4"/>
  <c r="Y155" i="4"/>
  <c r="Y382" i="4"/>
  <c r="Y463" i="4"/>
  <c r="Y342" i="4"/>
  <c r="Y662" i="4"/>
  <c r="E5" i="7" a="1"/>
  <c r="E5" i="7" s="1"/>
  <c r="D5" i="7" a="1"/>
  <c r="D5" i="7" s="1"/>
  <c r="C5" i="7" a="1"/>
  <c r="C5" i="7" s="1"/>
  <c r="M9" i="6"/>
  <c r="N9" i="6"/>
  <c r="M10" i="6"/>
  <c r="N10" i="6"/>
  <c r="M11" i="6"/>
  <c r="N11" i="6"/>
  <c r="M12" i="6"/>
  <c r="N12" i="6"/>
  <c r="M13" i="6"/>
  <c r="N13" i="6"/>
  <c r="M14" i="6"/>
  <c r="N14" i="6"/>
  <c r="M15" i="6"/>
  <c r="N15" i="6"/>
  <c r="M16" i="6"/>
  <c r="N16" i="6"/>
  <c r="M17" i="6"/>
  <c r="N17" i="6"/>
  <c r="M18" i="6"/>
  <c r="N18" i="6"/>
  <c r="AC3" i="4"/>
  <c r="V985" i="4"/>
  <c r="V687" i="4"/>
  <c r="V796" i="4"/>
  <c r="V659" i="4"/>
  <c r="V896" i="4"/>
  <c r="W896" i="4" s="1" a="1"/>
  <c r="W896" i="4" s="1"/>
  <c r="V507" i="4"/>
  <c r="W507" i="4" s="1" a="1"/>
  <c r="W507" i="4" s="1"/>
  <c r="V212" i="4"/>
  <c r="W212" i="4" s="1" a="1"/>
  <c r="W212" i="4" s="1"/>
  <c r="V465" i="4"/>
  <c r="W465" i="4" s="1" a="1"/>
  <c r="W465" i="4" s="1"/>
  <c r="V441" i="4"/>
  <c r="W441" i="4" s="1" a="1"/>
  <c r="W441" i="4" s="1"/>
  <c r="V70" i="4"/>
  <c r="V280" i="4"/>
  <c r="V582" i="4"/>
  <c r="W582" i="4" s="1" a="1"/>
  <c r="W582" i="4" s="1"/>
  <c r="V335" i="4"/>
  <c r="W335" i="4" s="1" a="1"/>
  <c r="W335" i="4" s="1"/>
  <c r="V248" i="4"/>
  <c r="W248" i="4" s="1" a="1"/>
  <c r="W248" i="4" s="1"/>
  <c r="V779" i="4"/>
  <c r="W779" i="4" s="1" a="1"/>
  <c r="W779" i="4" s="1"/>
  <c r="V170" i="4"/>
  <c r="W170" i="4" s="1" a="1"/>
  <c r="W170" i="4" s="1"/>
  <c r="V710" i="4"/>
  <c r="W710" i="4" s="1" a="1"/>
  <c r="W710" i="4" s="1"/>
  <c r="V36" i="4"/>
  <c r="W36" i="4" s="1" a="1"/>
  <c r="W36" i="4" s="1"/>
  <c r="V981" i="4"/>
  <c r="W981" i="4" s="1" a="1"/>
  <c r="W981" i="4" s="1"/>
  <c r="V414" i="4"/>
  <c r="W414" i="4" s="1" a="1"/>
  <c r="W414" i="4" s="1"/>
  <c r="V371" i="4"/>
  <c r="W371" i="4" s="1" a="1"/>
  <c r="W371" i="4" s="1"/>
  <c r="V851" i="4"/>
  <c r="W851" i="4" s="1" a="1"/>
  <c r="W851" i="4" s="1"/>
  <c r="V336" i="4"/>
  <c r="W336" i="4" s="1" a="1"/>
  <c r="W336" i="4" s="1"/>
  <c r="V914" i="4"/>
  <c r="W914" i="4" s="1" a="1"/>
  <c r="W914" i="4" s="1"/>
  <c r="V599" i="4"/>
  <c r="W599" i="4" s="1" a="1"/>
  <c r="W599" i="4" s="1"/>
  <c r="V762" i="4"/>
  <c r="W762" i="4" s="1" a="1"/>
  <c r="W762" i="4" s="1"/>
  <c r="V409" i="4"/>
  <c r="W409" i="4" s="1" a="1"/>
  <c r="W409" i="4" s="1"/>
  <c r="V868" i="4"/>
  <c r="W868" i="4" s="1" a="1"/>
  <c r="W868" i="4" s="1"/>
  <c r="V542" i="4"/>
  <c r="W542" i="4" s="1" a="1"/>
  <c r="W542" i="4" s="1"/>
  <c r="V620" i="4"/>
  <c r="W620" i="4" s="1" a="1"/>
  <c r="W620" i="4" s="1"/>
  <c r="V661" i="4"/>
  <c r="W661" i="4" s="1" a="1"/>
  <c r="W661" i="4" s="1"/>
  <c r="V510" i="4"/>
  <c r="W510" i="4" s="1" a="1"/>
  <c r="W510" i="4" s="1"/>
  <c r="V653" i="4"/>
  <c r="W653" i="4" s="1" a="1"/>
  <c r="W653" i="4" s="1"/>
  <c r="V800" i="4"/>
  <c r="W800" i="4" s="1" a="1"/>
  <c r="W800" i="4" s="1"/>
  <c r="V449" i="4"/>
  <c r="V39" i="4"/>
  <c r="V574" i="4"/>
  <c r="W574" i="4" s="1" a="1"/>
  <c r="W574" i="4" s="1"/>
  <c r="V21" i="4"/>
  <c r="W21" i="4" s="1" a="1"/>
  <c r="W21" i="4" s="1"/>
  <c r="V567" i="4"/>
  <c r="W567" i="4" s="1" a="1"/>
  <c r="W567" i="4" s="1"/>
  <c r="V388" i="4"/>
  <c r="W388" i="4" s="1" a="1"/>
  <c r="W388" i="4" s="1"/>
  <c r="V600" i="4"/>
  <c r="W600" i="4" s="1" a="1"/>
  <c r="W600" i="4" s="1"/>
  <c r="V2" i="4"/>
  <c r="W2" i="4" s="1" a="1"/>
  <c r="W2" i="4" s="1"/>
  <c r="V47" i="4"/>
  <c r="W47" i="4" s="1" a="1"/>
  <c r="W47" i="4" s="1"/>
  <c r="V366" i="4"/>
  <c r="W366" i="4" s="1" a="1"/>
  <c r="W366" i="4" s="1"/>
  <c r="V71" i="4"/>
  <c r="W71" i="4" s="1" a="1"/>
  <c r="W71" i="4" s="1"/>
  <c r="V22" i="4"/>
  <c r="V729" i="4"/>
  <c r="W729" i="4" s="1" a="1"/>
  <c r="W729" i="4" s="1"/>
  <c r="V932" i="4"/>
  <c r="W932" i="4" s="1" a="1"/>
  <c r="W932" i="4" s="1"/>
  <c r="V200" i="4"/>
  <c r="W200" i="4" s="1" a="1"/>
  <c r="W200" i="4" s="1"/>
  <c r="V439" i="4"/>
  <c r="W439" i="4" s="1" a="1"/>
  <c r="W439" i="4" s="1"/>
  <c r="V379" i="4"/>
  <c r="W379" i="4" s="1" a="1"/>
  <c r="W379" i="4" s="1"/>
  <c r="V243" i="4"/>
  <c r="W243" i="4" s="1" a="1"/>
  <c r="W243" i="4" s="1"/>
  <c r="V698" i="4"/>
  <c r="W698" i="4" s="1" a="1"/>
  <c r="W698" i="4" s="1"/>
  <c r="V817" i="4"/>
  <c r="W817" i="4" s="1" a="1"/>
  <c r="W817" i="4" s="1"/>
  <c r="V183" i="4"/>
  <c r="W183" i="4" s="1" a="1"/>
  <c r="W183" i="4" s="1"/>
  <c r="V479" i="4"/>
  <c r="W479" i="4" s="1" a="1"/>
  <c r="W479" i="4" s="1"/>
  <c r="V885" i="4"/>
  <c r="W885" i="4" s="1" a="1"/>
  <c r="W885" i="4" s="1"/>
  <c r="V703" i="4"/>
  <c r="W703" i="4" s="1" a="1"/>
  <c r="W703" i="4" s="1"/>
  <c r="V757" i="4"/>
  <c r="W757" i="4" s="1" a="1"/>
  <c r="W757" i="4" s="1"/>
  <c r="V902" i="4"/>
  <c r="W902" i="4" s="1" a="1"/>
  <c r="W902" i="4" s="1"/>
  <c r="V899" i="4"/>
  <c r="W899" i="4" s="1" a="1"/>
  <c r="W899" i="4" s="1"/>
  <c r="V821" i="4"/>
  <c r="W821" i="4" s="1" a="1"/>
  <c r="W821" i="4" s="1"/>
  <c r="V514" i="4"/>
  <c r="W514" i="4" s="1" a="1"/>
  <c r="W514" i="4" s="1"/>
  <c r="V349" i="4"/>
  <c r="W349" i="4" s="1" a="1"/>
  <c r="W349" i="4" s="1"/>
  <c r="V500" i="4"/>
  <c r="W500" i="4" s="1" a="1"/>
  <c r="W500" i="4" s="1"/>
  <c r="V292" i="4"/>
  <c r="W292" i="4" s="1" a="1"/>
  <c r="W292" i="4" s="1"/>
  <c r="V31" i="4"/>
  <c r="W31" i="4" s="1" a="1"/>
  <c r="W31" i="4" s="1"/>
  <c r="V387" i="4"/>
  <c r="W387" i="4" s="1" a="1"/>
  <c r="W387" i="4" s="1"/>
  <c r="V595" i="4"/>
  <c r="W595" i="4" s="1" a="1"/>
  <c r="W595" i="4" s="1"/>
  <c r="V269" i="4"/>
  <c r="W269" i="4" s="1" a="1"/>
  <c r="W269" i="4" s="1"/>
  <c r="V420" i="4"/>
  <c r="W420" i="4" s="1" a="1"/>
  <c r="W420" i="4" s="1"/>
  <c r="V427" i="4"/>
  <c r="W427" i="4" s="1" a="1"/>
  <c r="W427" i="4" s="1"/>
  <c r="V901" i="4"/>
  <c r="W901" i="4" s="1" a="1"/>
  <c r="W901" i="4" s="1"/>
  <c r="V363" i="4"/>
  <c r="W363" i="4" s="1" a="1"/>
  <c r="W363" i="4" s="1"/>
  <c r="V900" i="4"/>
  <c r="W900" i="4" s="1" a="1"/>
  <c r="W900" i="4" s="1"/>
  <c r="V72" i="4"/>
  <c r="W72" i="4" s="1" a="1"/>
  <c r="W72" i="4" s="1"/>
  <c r="V897" i="4"/>
  <c r="W897" i="4" s="1" a="1"/>
  <c r="W897" i="4" s="1"/>
  <c r="V887" i="4"/>
  <c r="W887" i="4" s="1" a="1"/>
  <c r="W887" i="4" s="1"/>
  <c r="V776" i="4"/>
  <c r="W776" i="4" s="1" a="1"/>
  <c r="W776" i="4" s="1"/>
  <c r="V40" i="4"/>
  <c r="W40" i="4" s="1" a="1"/>
  <c r="W40" i="4" s="1"/>
  <c r="V818" i="4"/>
  <c r="W818" i="4" s="1" a="1"/>
  <c r="W818" i="4" s="1"/>
  <c r="V450" i="4"/>
  <c r="W450" i="4" s="1" a="1"/>
  <c r="W450" i="4" s="1"/>
  <c r="V48" i="4"/>
  <c r="W48" i="4" s="1" a="1"/>
  <c r="W48" i="4" s="1"/>
  <c r="V889" i="4"/>
  <c r="W889" i="4" s="1" a="1"/>
  <c r="W889" i="4" s="1"/>
  <c r="V913" i="4"/>
  <c r="W913" i="4" s="1" a="1"/>
  <c r="W913" i="4" s="1"/>
  <c r="V27" i="4"/>
  <c r="W27" i="4" s="1" a="1"/>
  <c r="W27" i="4" s="1"/>
  <c r="V528" i="4"/>
  <c r="W528" i="4" s="1" a="1"/>
  <c r="W528" i="4" s="1"/>
  <c r="V908" i="4"/>
  <c r="W908" i="4" s="1" a="1"/>
  <c r="W908" i="4" s="1"/>
  <c r="V877" i="4"/>
  <c r="W877" i="4" s="1" a="1"/>
  <c r="W877" i="4" s="1"/>
  <c r="V755" i="4"/>
  <c r="W755" i="4" s="1" a="1"/>
  <c r="W755" i="4" s="1"/>
  <c r="V63" i="4"/>
  <c r="W63" i="4" s="1" a="1"/>
  <c r="W63" i="4" s="1"/>
  <c r="V714" i="4"/>
  <c r="W714" i="4" s="1" a="1"/>
  <c r="W714" i="4" s="1"/>
  <c r="V412" i="4"/>
  <c r="W412" i="4" s="1" a="1"/>
  <c r="W412" i="4" s="1"/>
  <c r="V555" i="4"/>
  <c r="W555" i="4" s="1" a="1"/>
  <c r="W555" i="4" s="1"/>
  <c r="V461" i="4"/>
  <c r="W461" i="4" s="1" a="1"/>
  <c r="W461" i="4" s="1"/>
  <c r="V850" i="4"/>
  <c r="W850" i="4" s="1" a="1"/>
  <c r="W850" i="4" s="1"/>
  <c r="V753" i="4"/>
  <c r="W753" i="4" s="1" a="1"/>
  <c r="W753" i="4" s="1"/>
  <c r="V879" i="4"/>
  <c r="W879" i="4" s="1" a="1"/>
  <c r="W879" i="4" s="1"/>
  <c r="V281" i="4"/>
  <c r="W281" i="4" s="1" a="1"/>
  <c r="W281" i="4" s="1"/>
  <c r="V73" i="4"/>
  <c r="W73" i="4" s="1" a="1"/>
  <c r="W73" i="4" s="1"/>
  <c r="V672" i="4"/>
  <c r="W672" i="4" s="1" a="1"/>
  <c r="W672" i="4" s="1"/>
  <c r="V198" i="4"/>
  <c r="W198" i="4" s="1" a="1"/>
  <c r="W198" i="4" s="1"/>
  <c r="V416" i="4"/>
  <c r="W416" i="4" s="1" a="1"/>
  <c r="W416" i="4" s="1"/>
  <c r="V569" i="4"/>
  <c r="W569" i="4" s="1" a="1"/>
  <c r="W569" i="4" s="1"/>
  <c r="V74" i="4"/>
  <c r="W74" i="4" s="1" a="1"/>
  <c r="W74" i="4" s="1"/>
  <c r="V75" i="4"/>
  <c r="W75" i="4" s="1" a="1"/>
  <c r="W75" i="4" s="1"/>
  <c r="V385" i="4"/>
  <c r="V626" i="4"/>
  <c r="W626" i="4" s="1" a="1"/>
  <c r="W626" i="4" s="1"/>
  <c r="V720" i="4"/>
  <c r="W720" i="4" s="1" a="1"/>
  <c r="W720" i="4" s="1"/>
  <c r="V49" i="4"/>
  <c r="W49" i="4" s="1" a="1"/>
  <c r="W49" i="4" s="1"/>
  <c r="V690" i="4"/>
  <c r="W690" i="4" s="1" a="1"/>
  <c r="W690" i="4" s="1"/>
  <c r="V401" i="4"/>
  <c r="W401" i="4" s="1" a="1"/>
  <c r="W401" i="4" s="1"/>
  <c r="V177" i="4"/>
  <c r="W177" i="4" s="1" a="1"/>
  <c r="W177" i="4" s="1"/>
  <c r="V246" i="4"/>
  <c r="W246" i="4" s="1" a="1"/>
  <c r="W246" i="4" s="1"/>
  <c r="V741" i="4"/>
  <c r="W741" i="4" s="1" a="1"/>
  <c r="W741" i="4" s="1"/>
  <c r="V561" i="4"/>
  <c r="V482" i="4"/>
  <c r="W482" i="4" s="1" a="1"/>
  <c r="W482" i="4" s="1"/>
  <c r="V547" i="4"/>
  <c r="W547" i="4" s="1" a="1"/>
  <c r="W547" i="4" s="1"/>
  <c r="V784" i="4"/>
  <c r="W784" i="4" s="1" a="1"/>
  <c r="W784" i="4" s="1"/>
  <c r="V835" i="4"/>
  <c r="W835" i="4" s="1" a="1"/>
  <c r="W835" i="4" s="1"/>
  <c r="V483" i="4"/>
  <c r="W483" i="4" s="1" a="1"/>
  <c r="W483" i="4" s="1"/>
  <c r="V849" i="4"/>
  <c r="W849" i="4" s="1" a="1"/>
  <c r="W849" i="4" s="1"/>
  <c r="V369" i="4"/>
  <c r="W369" i="4" s="1" a="1"/>
  <c r="W369" i="4" s="1"/>
  <c r="V685" i="4"/>
  <c r="W685" i="4" s="1" a="1"/>
  <c r="W685" i="4" s="1"/>
  <c r="V306" i="4"/>
  <c r="W306" i="4" s="1" a="1"/>
  <c r="W306" i="4" s="1"/>
  <c r="V338" i="4"/>
  <c r="W338" i="4" s="1" a="1"/>
  <c r="W338" i="4" s="1"/>
  <c r="V657" i="4"/>
  <c r="W657" i="4" s="1" a="1"/>
  <c r="W657" i="4" s="1"/>
  <c r="V650" i="4"/>
  <c r="W650" i="4" s="1" a="1"/>
  <c r="W650" i="4" s="1"/>
  <c r="V864" i="4"/>
  <c r="W864" i="4" s="1" a="1"/>
  <c r="W864" i="4" s="1"/>
  <c r="V496" i="4"/>
  <c r="W496" i="4" s="1" a="1"/>
  <c r="W496" i="4" s="1"/>
  <c r="V76" i="4"/>
  <c r="V688" i="4"/>
  <c r="W688" i="4" s="1" a="1"/>
  <c r="W688" i="4" s="1"/>
  <c r="V974" i="4"/>
  <c r="W974" i="4" s="1" a="1"/>
  <c r="W974" i="4" s="1"/>
  <c r="V501" i="4"/>
  <c r="W501" i="4" s="1" a="1"/>
  <c r="W501" i="4" s="1"/>
  <c r="V46" i="4"/>
  <c r="W46" i="4" s="1" a="1"/>
  <c r="W46" i="4" s="1"/>
  <c r="V882" i="4"/>
  <c r="W882" i="4" s="1" a="1"/>
  <c r="W882" i="4" s="1"/>
  <c r="V467" i="4"/>
  <c r="W467" i="4" s="1" a="1"/>
  <c r="W467" i="4" s="1"/>
  <c r="V438" i="4"/>
  <c r="W438" i="4" s="1" a="1"/>
  <c r="W438" i="4" s="1"/>
  <c r="V794" i="4"/>
  <c r="W794" i="4" s="1" a="1"/>
  <c r="W794" i="4" s="1"/>
  <c r="V905" i="4"/>
  <c r="W905" i="4" s="1" a="1"/>
  <c r="W905" i="4" s="1"/>
  <c r="V702" i="4"/>
  <c r="W702" i="4" s="1" a="1"/>
  <c r="W702" i="4" s="1"/>
  <c r="V432" i="4"/>
  <c r="W432" i="4" s="1" a="1"/>
  <c r="W432" i="4" s="1"/>
  <c r="V846" i="4"/>
  <c r="W846" i="4" s="1" a="1"/>
  <c r="W846" i="4" s="1"/>
  <c r="V11" i="4"/>
  <c r="W11" i="4" s="1" a="1"/>
  <c r="W11" i="4" s="1"/>
  <c r="V224" i="4"/>
  <c r="W224" i="4" s="1" a="1"/>
  <c r="W224" i="4" s="1"/>
  <c r="V260" i="4"/>
  <c r="W260" i="4" s="1" a="1"/>
  <c r="W260" i="4" s="1"/>
  <c r="V458" i="4"/>
  <c r="W458" i="4" s="1" a="1"/>
  <c r="W458" i="4" s="1"/>
  <c r="V645" i="4"/>
  <c r="W645" i="4" s="1" a="1"/>
  <c r="W645" i="4" s="1"/>
  <c r="V417" i="4"/>
  <c r="W417" i="4" s="1" a="1"/>
  <c r="W417" i="4" s="1"/>
  <c r="V172" i="4"/>
  <c r="W172" i="4" s="1" a="1"/>
  <c r="W172" i="4" s="1"/>
  <c r="V804" i="4"/>
  <c r="W804" i="4" s="1" a="1"/>
  <c r="W804" i="4" s="1"/>
  <c r="V404" i="4"/>
  <c r="W404" i="4" s="1" a="1"/>
  <c r="W404" i="4" s="1"/>
  <c r="V499" i="4"/>
  <c r="W499" i="4" s="1" a="1"/>
  <c r="W499" i="4" s="1"/>
  <c r="V727" i="4"/>
  <c r="W727" i="4" s="1" a="1"/>
  <c r="W727" i="4" s="1"/>
  <c r="V477" i="4"/>
  <c r="W477" i="4" s="1" a="1"/>
  <c r="W477" i="4" s="1"/>
  <c r="V478" i="4"/>
  <c r="W478" i="4" s="1" a="1"/>
  <c r="W478" i="4" s="1"/>
  <c r="V823" i="4"/>
  <c r="W823" i="4" s="1" a="1"/>
  <c r="W823" i="4" s="1"/>
  <c r="V517" i="4"/>
  <c r="W517" i="4" s="1" a="1"/>
  <c r="W517" i="4" s="1"/>
  <c r="V763" i="4"/>
  <c r="W763" i="4" s="1" a="1"/>
  <c r="W763" i="4" s="1"/>
  <c r="V663" i="4"/>
  <c r="W663" i="4" s="1" a="1"/>
  <c r="W663" i="4" s="1"/>
  <c r="V958" i="4"/>
  <c r="W958" i="4" s="1" a="1"/>
  <c r="W958" i="4" s="1"/>
  <c r="V613" i="4"/>
  <c r="W613" i="4" s="1" a="1"/>
  <c r="W613" i="4" s="1"/>
  <c r="V691" i="4"/>
  <c r="W691" i="4" s="1" a="1"/>
  <c r="W691" i="4" s="1"/>
  <c r="V842" i="4"/>
  <c r="W842" i="4" s="1" a="1"/>
  <c r="W842" i="4" s="1"/>
  <c r="V486" i="4"/>
  <c r="W486" i="4" s="1" a="1"/>
  <c r="W486" i="4" s="1"/>
  <c r="V250" i="4"/>
  <c r="W250" i="4" s="1" a="1"/>
  <c r="W250" i="4" s="1"/>
  <c r="V320" i="4"/>
  <c r="W320" i="4" s="1" a="1"/>
  <c r="W320" i="4" s="1"/>
  <c r="V321" i="4"/>
  <c r="W321" i="4" s="1" a="1"/>
  <c r="W321" i="4" s="1"/>
  <c r="V162" i="4"/>
  <c r="W162" i="4" s="1" a="1"/>
  <c r="W162" i="4" s="1"/>
  <c r="V585" i="4"/>
  <c r="W585" i="4" s="1" a="1"/>
  <c r="W585" i="4" s="1"/>
  <c r="V252" i="4"/>
  <c r="W252" i="4" s="1" a="1"/>
  <c r="W252" i="4" s="1"/>
  <c r="V534" i="4"/>
  <c r="W534" i="4" s="1" a="1"/>
  <c r="W534" i="4" s="1"/>
  <c r="V814" i="4"/>
  <c r="W814" i="4" s="1" a="1"/>
  <c r="W814" i="4" s="1"/>
  <c r="V451" i="4"/>
  <c r="W451" i="4" s="1" a="1"/>
  <c r="W451" i="4" s="1"/>
  <c r="V670" i="4"/>
  <c r="W670" i="4" s="1" a="1"/>
  <c r="W670" i="4" s="1"/>
  <c r="V288" i="4"/>
  <c r="W288" i="4" s="1" a="1"/>
  <c r="W288" i="4" s="1"/>
  <c r="V692" i="4"/>
  <c r="W692" i="4" s="1" a="1"/>
  <c r="W692" i="4" s="1"/>
  <c r="V925" i="4"/>
  <c r="W925" i="4" s="1" a="1"/>
  <c r="W925" i="4" s="1"/>
  <c r="V593" i="4"/>
  <c r="W593" i="4" s="1" a="1"/>
  <c r="W593" i="4" s="1"/>
  <c r="V203" i="4"/>
  <c r="W203" i="4" s="1" a="1"/>
  <c r="W203" i="4" s="1"/>
  <c r="V258" i="4"/>
  <c r="W258" i="4" s="1" a="1"/>
  <c r="W258" i="4" s="1"/>
  <c r="V400" i="4"/>
  <c r="W400" i="4" s="1" a="1"/>
  <c r="W400" i="4" s="1"/>
  <c r="V265" i="4"/>
  <c r="W265" i="4" s="1" a="1"/>
  <c r="W265" i="4" s="1"/>
  <c r="V157" i="4"/>
  <c r="W157" i="4" s="1" a="1"/>
  <c r="W157" i="4" s="1"/>
  <c r="V519" i="4"/>
  <c r="W519" i="4" s="1" a="1"/>
  <c r="W519" i="4" s="1"/>
  <c r="V410" i="4"/>
  <c r="W410" i="4" s="1" a="1"/>
  <c r="W410" i="4" s="1"/>
  <c r="V533" i="4"/>
  <c r="W533" i="4" s="1" a="1"/>
  <c r="W533" i="4" s="1"/>
  <c r="V862" i="4"/>
  <c r="W862" i="4" s="1" a="1"/>
  <c r="W862" i="4" s="1"/>
  <c r="V405" i="4"/>
  <c r="W405" i="4" s="1" a="1"/>
  <c r="W405" i="4" s="1"/>
  <c r="V77" i="4"/>
  <c r="W77" i="4" s="1" a="1"/>
  <c r="W77" i="4" s="1"/>
  <c r="V344" i="4"/>
  <c r="W344" i="4" s="1" a="1"/>
  <c r="W344" i="4" s="1"/>
  <c r="V731" i="4"/>
  <c r="W731" i="4" s="1" a="1"/>
  <c r="W731" i="4" s="1"/>
  <c r="V701" i="4"/>
  <c r="W701" i="4" s="1" a="1"/>
  <c r="W701" i="4" s="1"/>
  <c r="V652" i="4"/>
  <c r="W652" i="4" s="1" a="1"/>
  <c r="W652" i="4" s="1"/>
  <c r="V255" i="4"/>
  <c r="W255" i="4" s="1" a="1"/>
  <c r="W255" i="4" s="1"/>
  <c r="V723" i="4"/>
  <c r="W723" i="4" s="1" a="1"/>
  <c r="W723" i="4" s="1"/>
  <c r="V806" i="4"/>
  <c r="W806" i="4" s="1" a="1"/>
  <c r="W806" i="4" s="1"/>
  <c r="V231" i="4"/>
  <c r="W231" i="4" s="1" a="1"/>
  <c r="W231" i="4" s="1"/>
  <c r="V452" i="4"/>
  <c r="W452" i="4" s="1" a="1"/>
  <c r="W452" i="4" s="1"/>
  <c r="V960" i="4"/>
  <c r="W960" i="4" s="1" a="1"/>
  <c r="W960" i="4" s="1"/>
  <c r="V216" i="4"/>
  <c r="W216" i="4" s="1" a="1"/>
  <c r="W216" i="4" s="1"/>
  <c r="V30" i="4"/>
  <c r="W30" i="4" s="1" a="1"/>
  <c r="W30" i="4" s="1"/>
  <c r="V906" i="4"/>
  <c r="W906" i="4" s="1" a="1"/>
  <c r="W906" i="4" s="1"/>
  <c r="V848" i="4"/>
  <c r="W848" i="4" s="1" a="1"/>
  <c r="W848" i="4" s="1"/>
  <c r="V326" i="4"/>
  <c r="W326" i="4" s="1" a="1"/>
  <c r="W326" i="4" s="1"/>
  <c r="V639" i="4"/>
  <c r="W639" i="4" s="1" a="1"/>
  <c r="W639" i="4" s="1"/>
  <c r="V65" i="4"/>
  <c r="W65" i="4" s="1" a="1"/>
  <c r="W65" i="4" s="1"/>
  <c r="V492" i="4"/>
  <c r="W492" i="4" s="1" a="1"/>
  <c r="W492" i="4" s="1"/>
  <c r="V856" i="4"/>
  <c r="W856" i="4" s="1" a="1"/>
  <c r="W856" i="4" s="1"/>
  <c r="V289" i="4"/>
  <c r="W289" i="4" s="1" a="1"/>
  <c r="W289" i="4" s="1"/>
  <c r="V767" i="4"/>
  <c r="W767" i="4" s="1" a="1"/>
  <c r="W767" i="4" s="1"/>
  <c r="V631" i="4"/>
  <c r="W631" i="4" s="1" a="1"/>
  <c r="W631" i="4" s="1"/>
  <c r="V676" i="4"/>
  <c r="W676" i="4" s="1" a="1"/>
  <c r="W676" i="4" s="1"/>
  <c r="V314" i="4"/>
  <c r="W314" i="4" s="1" a="1"/>
  <c r="W314" i="4" s="1"/>
  <c r="V364" i="4"/>
  <c r="W364" i="4" s="1" a="1"/>
  <c r="W364" i="4" s="1"/>
  <c r="V12" i="4"/>
  <c r="W12" i="4" s="1" a="1"/>
  <c r="W12" i="4" s="1"/>
  <c r="V274" i="4"/>
  <c r="W274" i="4" s="1" a="1"/>
  <c r="W274" i="4" s="1"/>
  <c r="V854" i="4"/>
  <c r="W854" i="4" s="1" a="1"/>
  <c r="W854" i="4" s="1"/>
  <c r="V166" i="4"/>
  <c r="W166" i="4" s="1" a="1"/>
  <c r="W166" i="4" s="1"/>
  <c r="V204" i="4"/>
  <c r="W204" i="4" s="1" a="1"/>
  <c r="W204" i="4" s="1"/>
  <c r="V693" i="4"/>
  <c r="W693" i="4" s="1" a="1"/>
  <c r="W693" i="4" s="1"/>
  <c r="V612" i="4"/>
  <c r="W612" i="4" s="1" a="1"/>
  <c r="W612" i="4" s="1"/>
  <c r="V704" i="4"/>
  <c r="W704" i="4" s="1" a="1"/>
  <c r="W704" i="4" s="1"/>
  <c r="V38" i="4"/>
  <c r="W38" i="4" s="1" a="1"/>
  <c r="W38" i="4" s="1"/>
  <c r="V978" i="4"/>
  <c r="W978" i="4" s="1" a="1"/>
  <c r="W978" i="4" s="1"/>
  <c r="V78" i="4"/>
  <c r="W78" i="4" s="1" a="1"/>
  <c r="W78" i="4" s="1"/>
  <c r="V520" i="4"/>
  <c r="W520" i="4" s="1" a="1"/>
  <c r="W520" i="4" s="1"/>
  <c r="V426" i="4"/>
  <c r="W426" i="4" s="1" a="1"/>
  <c r="W426" i="4" s="1"/>
  <c r="V58" i="4"/>
  <c r="W58" i="4" s="1" a="1"/>
  <c r="W58" i="4" s="1"/>
  <c r="V356" i="4"/>
  <c r="W356" i="4" s="1" a="1"/>
  <c r="W356" i="4" s="1"/>
  <c r="V470" i="4"/>
  <c r="W470" i="4" s="1" a="1"/>
  <c r="W470" i="4" s="1"/>
  <c r="V245" i="4"/>
  <c r="W245" i="4" s="1" a="1"/>
  <c r="W245" i="4" s="1"/>
  <c r="V789" i="4"/>
  <c r="W789" i="4" s="1" a="1"/>
  <c r="W789" i="4" s="1"/>
  <c r="V425" i="4"/>
  <c r="W425" i="4" s="1" a="1"/>
  <c r="W425" i="4" s="1"/>
  <c r="V68" i="4"/>
  <c r="W68" i="4" s="1" a="1"/>
  <c r="W68" i="4" s="1"/>
  <c r="V9" i="4"/>
  <c r="W9" i="4" s="1" a="1"/>
  <c r="W9" i="4" s="1"/>
  <c r="V681" i="4"/>
  <c r="W681" i="4" s="1" a="1"/>
  <c r="W681" i="4" s="1"/>
  <c r="V79" i="4"/>
  <c r="W79" i="4" s="1" a="1"/>
  <c r="W79" i="4" s="1"/>
  <c r="V584" i="4"/>
  <c r="W584" i="4" s="1" a="1"/>
  <c r="W584" i="4" s="1"/>
  <c r="V624" i="4"/>
  <c r="W624" i="4" s="1" a="1"/>
  <c r="W624" i="4" s="1"/>
  <c r="V156" i="4"/>
  <c r="W156" i="4" s="1" a="1"/>
  <c r="W156" i="4" s="1"/>
  <c r="V773" i="4"/>
  <c r="W773" i="4" s="1" a="1"/>
  <c r="W773" i="4" s="1"/>
  <c r="V80" i="4"/>
  <c r="W80" i="4" s="1" a="1"/>
  <c r="W80" i="4" s="1"/>
  <c r="V572" i="4"/>
  <c r="W572" i="4" s="1" a="1"/>
  <c r="W572" i="4" s="1"/>
  <c r="V455" i="4"/>
  <c r="W455" i="4" s="1" a="1"/>
  <c r="W455" i="4" s="1"/>
  <c r="V435" i="4"/>
  <c r="W435" i="4" s="1" a="1"/>
  <c r="W435" i="4" s="1"/>
  <c r="V17" i="4"/>
  <c r="W17" i="4" s="1" a="1"/>
  <c r="W17" i="4" s="1"/>
  <c r="V164" i="4"/>
  <c r="W164" i="4" s="1" a="1"/>
  <c r="W164" i="4" s="1"/>
  <c r="V934" i="4"/>
  <c r="W934" i="4" s="1" a="1"/>
  <c r="W934" i="4" s="1"/>
  <c r="V871" i="4"/>
  <c r="W871" i="4" s="1" a="1"/>
  <c r="W871" i="4" s="1"/>
  <c r="V719" i="4"/>
  <c r="W719" i="4" s="1" a="1"/>
  <c r="W719" i="4" s="1"/>
  <c r="V790" i="4"/>
  <c r="W790" i="4" s="1" a="1"/>
  <c r="W790" i="4" s="1"/>
  <c r="V758" i="4"/>
  <c r="W758" i="4" s="1" a="1"/>
  <c r="W758" i="4" s="1"/>
  <c r="V370" i="4"/>
  <c r="W370" i="4" s="1" a="1"/>
  <c r="W370" i="4" s="1"/>
  <c r="V480" i="4"/>
  <c r="W480" i="4" s="1" a="1"/>
  <c r="W480" i="4" s="1"/>
  <c r="V81" i="4"/>
  <c r="W81" i="4" s="1" a="1"/>
  <c r="W81" i="4" s="1"/>
  <c r="V437" i="4"/>
  <c r="W437" i="4" s="1" a="1"/>
  <c r="W437" i="4" s="1"/>
  <c r="V861" i="4"/>
  <c r="W861" i="4" s="1" a="1"/>
  <c r="W861" i="4" s="1"/>
  <c r="V242" i="4"/>
  <c r="W242" i="4" s="1" a="1"/>
  <c r="W242" i="4" s="1"/>
  <c r="V819" i="4"/>
  <c r="W819" i="4" s="1" a="1"/>
  <c r="W819" i="4" s="1"/>
  <c r="V494" i="4"/>
  <c r="W494" i="4" s="1" a="1"/>
  <c r="W494" i="4" s="1"/>
  <c r="V82" i="4"/>
  <c r="W82" i="4" s="1" a="1"/>
  <c r="W82" i="4" s="1"/>
  <c r="V83" i="4"/>
  <c r="V781" i="4"/>
  <c r="W781" i="4" s="1" a="1"/>
  <c r="W781" i="4" s="1"/>
  <c r="V667" i="4"/>
  <c r="W667" i="4" s="1" a="1"/>
  <c r="W667" i="4" s="1"/>
  <c r="V498" i="4"/>
  <c r="W498" i="4" s="1" a="1"/>
  <c r="W498" i="4" s="1"/>
  <c r="V538" i="4"/>
  <c r="W538" i="4" s="1" a="1"/>
  <c r="W538" i="4" s="1"/>
  <c r="V916" i="4"/>
  <c r="W916" i="4" s="1" a="1"/>
  <c r="W916" i="4" s="1"/>
  <c r="V922" i="4"/>
  <c r="W922" i="4" s="1" a="1"/>
  <c r="W922" i="4" s="1"/>
  <c r="V598" i="4"/>
  <c r="W598" i="4" s="1" a="1"/>
  <c r="W598" i="4" s="1"/>
  <c r="V422" i="4"/>
  <c r="W422" i="4" s="1" a="1"/>
  <c r="W422" i="4" s="1"/>
  <c r="V515" i="4"/>
  <c r="W515" i="4" s="1" a="1"/>
  <c r="W515" i="4" s="1"/>
  <c r="V655" i="4"/>
  <c r="W655" i="4" s="1" a="1"/>
  <c r="W655" i="4" s="1"/>
  <c r="V651" i="4"/>
  <c r="W651" i="4" s="1" a="1"/>
  <c r="W651" i="4" s="1"/>
  <c r="V891" i="4"/>
  <c r="V965" i="4"/>
  <c r="W965" i="4" s="1" a="1"/>
  <c r="W965" i="4" s="1"/>
  <c r="V415" i="4"/>
  <c r="W415" i="4" s="1" a="1"/>
  <c r="W415" i="4" s="1"/>
  <c r="V966" i="4"/>
  <c r="W966" i="4" s="1" a="1"/>
  <c r="W966" i="4" s="1"/>
  <c r="V858" i="4"/>
  <c r="W858" i="4" s="1" a="1"/>
  <c r="W858" i="4" s="1"/>
  <c r="V824" i="4"/>
  <c r="W824" i="4" s="1" a="1"/>
  <c r="W824" i="4" s="1"/>
  <c r="V919" i="4"/>
  <c r="W919" i="4" s="1" a="1"/>
  <c r="W919" i="4" s="1"/>
  <c r="V942" i="4"/>
  <c r="W942" i="4" s="1" a="1"/>
  <c r="W942" i="4" s="1"/>
  <c r="V323" i="4"/>
  <c r="W323" i="4" s="1" a="1"/>
  <c r="W323" i="4" s="1"/>
  <c r="V948" i="4"/>
  <c r="W948" i="4" s="1" a="1"/>
  <c r="W948" i="4" s="1"/>
  <c r="V833" i="4"/>
  <c r="W833" i="4" s="1" a="1"/>
  <c r="W833" i="4" s="1"/>
  <c r="V334" i="4"/>
  <c r="W334" i="4" s="1" a="1"/>
  <c r="W334" i="4" s="1"/>
  <c r="V365" i="4"/>
  <c r="W365" i="4" s="1" a="1"/>
  <c r="W365" i="4" s="1"/>
  <c r="V84" i="4"/>
  <c r="W84" i="4" s="1" a="1"/>
  <c r="W84" i="4" s="1"/>
  <c r="V675" i="4"/>
  <c r="W675" i="4" s="1" a="1"/>
  <c r="W675" i="4" s="1"/>
  <c r="V602" i="4"/>
  <c r="W602" i="4" s="1" a="1"/>
  <c r="W602" i="4" s="1"/>
  <c r="V279" i="4"/>
  <c r="W279" i="4" s="1" a="1"/>
  <c r="W279" i="4" s="1"/>
  <c r="V786" i="4"/>
  <c r="W786" i="4" s="1" a="1"/>
  <c r="W786" i="4" s="1"/>
  <c r="V85" i="4"/>
  <c r="W85" i="4" s="1" a="1"/>
  <c r="W85" i="4" s="1"/>
  <c r="V865" i="4"/>
  <c r="W865" i="4" s="1" a="1"/>
  <c r="W865" i="4" s="1"/>
  <c r="V311" i="4"/>
  <c r="W311" i="4" s="1" a="1"/>
  <c r="W311" i="4" s="1"/>
  <c r="V983" i="4"/>
  <c r="W983" i="4" s="1" a="1"/>
  <c r="W983" i="4" s="1"/>
  <c r="V724" i="4"/>
  <c r="W724" i="4" s="1" a="1"/>
  <c r="W724" i="4" s="1"/>
  <c r="V210" i="4"/>
  <c r="V339" i="4"/>
  <c r="W339" i="4" s="1" a="1"/>
  <c r="W339" i="4" s="1"/>
  <c r="V15" i="4"/>
  <c r="W15" i="4" s="1" a="1"/>
  <c r="W15" i="4" s="1"/>
  <c r="V634" i="4"/>
  <c r="W634" i="4" s="1" a="1"/>
  <c r="W634" i="4" s="1"/>
  <c r="V874" i="4"/>
  <c r="W874" i="4" s="1" a="1"/>
  <c r="W874" i="4" s="1"/>
  <c r="V390" i="4"/>
  <c r="W390" i="4" s="1" a="1"/>
  <c r="W390" i="4" s="1"/>
  <c r="V907" i="4"/>
  <c r="W907" i="4" s="1" a="1"/>
  <c r="W907" i="4" s="1"/>
  <c r="V728" i="4"/>
  <c r="W728" i="4" s="1" a="1"/>
  <c r="W728" i="4" s="1"/>
  <c r="V473" i="4"/>
  <c r="W473" i="4" s="1" a="1"/>
  <c r="W473" i="4" s="1"/>
  <c r="V927" i="4"/>
  <c r="W927" i="4" s="1" a="1"/>
  <c r="W927" i="4" s="1"/>
  <c r="V799" i="4"/>
  <c r="W799" i="4" s="1" a="1"/>
  <c r="W799" i="4" s="1"/>
  <c r="V982" i="4"/>
  <c r="W982" i="4" s="1" a="1"/>
  <c r="W982" i="4" s="1"/>
  <c r="V341" i="4"/>
  <c r="W341" i="4" s="1" a="1"/>
  <c r="W341" i="4" s="1"/>
  <c r="V677" i="4"/>
  <c r="W677" i="4" s="1" a="1"/>
  <c r="W677" i="4" s="1"/>
  <c r="V926" i="4"/>
  <c r="W926" i="4" s="1" a="1"/>
  <c r="W926" i="4" s="1"/>
  <c r="V86" i="4"/>
  <c r="W86" i="4" s="1" a="1"/>
  <c r="W86" i="4" s="1"/>
  <c r="V892" i="4"/>
  <c r="W892" i="4" s="1" a="1"/>
  <c r="W892" i="4" s="1"/>
  <c r="V622" i="4"/>
  <c r="W622" i="4" s="1" a="1"/>
  <c r="W622" i="4" s="1"/>
  <c r="V176" i="4"/>
  <c r="W176" i="4" s="1" a="1"/>
  <c r="W176" i="4" s="1"/>
  <c r="V87" i="4"/>
  <c r="W87" i="4" s="1" a="1"/>
  <c r="W87" i="4" s="1"/>
  <c r="V241" i="4"/>
  <c r="W241" i="4" s="1" a="1"/>
  <c r="W241" i="4" s="1"/>
  <c r="V44" i="4"/>
  <c r="W44" i="4" s="1" a="1"/>
  <c r="W44" i="4" s="1"/>
  <c r="V312" i="4"/>
  <c r="W312" i="4" s="1" a="1"/>
  <c r="W312" i="4" s="1"/>
  <c r="V686" i="4"/>
  <c r="W686" i="4" s="1" a="1"/>
  <c r="W686" i="4" s="1"/>
  <c r="V319" i="4"/>
  <c r="W319" i="4" s="1" a="1"/>
  <c r="W319" i="4" s="1"/>
  <c r="V909" i="4"/>
  <c r="W909" i="4" s="1" a="1"/>
  <c r="W909" i="4" s="1"/>
  <c r="V938" i="4"/>
  <c r="W938" i="4" s="1" a="1"/>
  <c r="W938" i="4" s="1"/>
  <c r="V884" i="4"/>
  <c r="W884" i="4" s="1" a="1"/>
  <c r="W884" i="4" s="1"/>
  <c r="V543" i="4"/>
  <c r="V88" i="4"/>
  <c r="W88" i="4" s="1" a="1"/>
  <c r="W88" i="4" s="1"/>
  <c r="V228" i="4"/>
  <c r="W228" i="4" s="1" a="1"/>
  <c r="W228" i="4" s="1"/>
  <c r="V756" i="4"/>
  <c r="W756" i="4" s="1" a="1"/>
  <c r="W756" i="4" s="1"/>
  <c r="V174" i="4"/>
  <c r="W174" i="4" s="1" a="1"/>
  <c r="W174" i="4" s="1"/>
  <c r="V878" i="4"/>
  <c r="W878" i="4" s="1" a="1"/>
  <c r="W878" i="4" s="1"/>
  <c r="V933" i="4"/>
  <c r="W933" i="4" s="1" a="1"/>
  <c r="W933" i="4" s="1"/>
  <c r="V89" i="4"/>
  <c r="W89" i="4" s="1" a="1"/>
  <c r="W89" i="4" s="1"/>
  <c r="V952" i="4"/>
  <c r="W952" i="4" s="1" a="1"/>
  <c r="W952" i="4" s="1"/>
  <c r="V770" i="4"/>
  <c r="W770" i="4" s="1" a="1"/>
  <c r="W770" i="4" s="1"/>
  <c r="V559" i="4"/>
  <c r="W559" i="4" s="1" a="1"/>
  <c r="W559" i="4" s="1"/>
  <c r="V226" i="4"/>
  <c r="W226" i="4" s="1" a="1"/>
  <c r="W226" i="4" s="1"/>
  <c r="V182" i="4"/>
  <c r="W182" i="4" s="1" a="1"/>
  <c r="W182" i="4" s="1"/>
  <c r="V90" i="4"/>
  <c r="W90" i="4" s="1" a="1"/>
  <c r="W90" i="4" s="1"/>
  <c r="V946" i="4"/>
  <c r="W946" i="4" s="1" a="1"/>
  <c r="W946" i="4" s="1"/>
  <c r="V923" i="4"/>
  <c r="W923" i="4" s="1" a="1"/>
  <c r="W923" i="4" s="1"/>
  <c r="V91" i="4"/>
  <c r="W91" i="4" s="1" a="1"/>
  <c r="W91" i="4" s="1"/>
  <c r="V282" i="4"/>
  <c r="W282" i="4" s="1" a="1"/>
  <c r="W282" i="4" s="1"/>
  <c r="V660" i="4"/>
  <c r="W660" i="4" s="1" a="1"/>
  <c r="W660" i="4" s="1"/>
  <c r="V386" i="4"/>
  <c r="W386" i="4" s="1" a="1"/>
  <c r="W386" i="4" s="1"/>
  <c r="V35" i="4"/>
  <c r="W35" i="4" s="1" a="1"/>
  <c r="W35" i="4" s="1"/>
  <c r="V244" i="4"/>
  <c r="W244" i="4" s="1" a="1"/>
  <c r="W244" i="4" s="1"/>
  <c r="V956" i="4"/>
  <c r="W956" i="4" s="1" a="1"/>
  <c r="W956" i="4" s="1"/>
  <c r="V268" i="4"/>
  <c r="W268" i="4" s="1" a="1"/>
  <c r="W268" i="4" s="1"/>
  <c r="V424" i="4"/>
  <c r="W424" i="4" s="1" a="1"/>
  <c r="W424" i="4" s="1"/>
  <c r="V59" i="4"/>
  <c r="W59" i="4" s="1" a="1"/>
  <c r="W59" i="4" s="1"/>
  <c r="V678" i="4"/>
  <c r="W678" i="4" s="1" a="1"/>
  <c r="W678" i="4" s="1"/>
  <c r="V504" i="4"/>
  <c r="W504" i="4" s="1" a="1"/>
  <c r="W504" i="4" s="1"/>
  <c r="V215" i="4"/>
  <c r="W215" i="4" s="1" a="1"/>
  <c r="W215" i="4" s="1"/>
  <c r="V3" i="4"/>
  <c r="W3" i="4" s="1" a="1"/>
  <c r="W3" i="4" s="1"/>
  <c r="V910" i="4"/>
  <c r="W910" i="4" s="1" a="1"/>
  <c r="W910" i="4" s="1"/>
  <c r="V66" i="4"/>
  <c r="W66" i="4" s="1" a="1"/>
  <c r="W66" i="4" s="1"/>
  <c r="V642" i="4"/>
  <c r="W642" i="4" s="1" a="1"/>
  <c r="W642" i="4" s="1"/>
  <c r="V92" i="4"/>
  <c r="W92" i="4" s="1" a="1"/>
  <c r="W92" i="4" s="1"/>
  <c r="V708" i="4"/>
  <c r="W708" i="4" s="1" a="1"/>
  <c r="W708" i="4" s="1"/>
  <c r="V802" i="4"/>
  <c r="W802" i="4" s="1" a="1"/>
  <c r="W802" i="4" s="1"/>
  <c r="V839" i="4"/>
  <c r="W839" i="4" s="1" a="1"/>
  <c r="W839" i="4" s="1"/>
  <c r="V671" i="4"/>
  <c r="W671" i="4" s="1" a="1"/>
  <c r="W671" i="4" s="1"/>
  <c r="V931" i="4"/>
  <c r="W931" i="4" s="1" a="1"/>
  <c r="W931" i="4" s="1"/>
  <c r="V971" i="4"/>
  <c r="W971" i="4" s="1" a="1"/>
  <c r="W971" i="4" s="1"/>
  <c r="V373" i="4"/>
  <c r="W373" i="4" s="1" a="1"/>
  <c r="W373" i="4" s="1"/>
  <c r="V328" i="4"/>
  <c r="W328" i="4" s="1" a="1"/>
  <c r="W328" i="4" s="1"/>
  <c r="V516" i="4"/>
  <c r="W516" i="4" s="1" a="1"/>
  <c r="W516" i="4" s="1"/>
  <c r="V318" i="4"/>
  <c r="W318" i="4" s="1" a="1"/>
  <c r="W318" i="4" s="1"/>
  <c r="V256" i="4"/>
  <c r="W256" i="4" s="1" a="1"/>
  <c r="W256" i="4" s="1"/>
  <c r="V945" i="4"/>
  <c r="W945" i="4" s="1" a="1"/>
  <c r="W945" i="4" s="1"/>
  <c r="V732" i="4"/>
  <c r="W732" i="4" s="1" a="1"/>
  <c r="W732" i="4" s="1"/>
  <c r="V317" i="4"/>
  <c r="W317" i="4" s="1" a="1"/>
  <c r="W317" i="4" s="1"/>
  <c r="V93" i="4"/>
  <c r="W93" i="4" s="1" a="1"/>
  <c r="W93" i="4" s="1"/>
  <c r="V94" i="4"/>
  <c r="W94" i="4" s="1" a="1"/>
  <c r="W94" i="4" s="1"/>
  <c r="V640" i="4"/>
  <c r="W640" i="4" s="1" a="1"/>
  <c r="W640" i="4" s="1"/>
  <c r="V95" i="4"/>
  <c r="W95" i="4" s="1" a="1"/>
  <c r="W95" i="4" s="1"/>
  <c r="V571" i="4"/>
  <c r="W571" i="4" s="1" a="1"/>
  <c r="W571" i="4" s="1"/>
  <c r="V96" i="4"/>
  <c r="W96" i="4" s="1" a="1"/>
  <c r="W96" i="4" s="1"/>
  <c r="V493" i="4"/>
  <c r="W493" i="4" s="1" a="1"/>
  <c r="W493" i="4" s="1"/>
  <c r="V487" i="4"/>
  <c r="W487" i="4" s="1" a="1"/>
  <c r="W487" i="4" s="1"/>
  <c r="V506" i="4"/>
  <c r="W506" i="4" s="1" a="1"/>
  <c r="W506" i="4" s="1"/>
  <c r="V346" i="4"/>
  <c r="W346" i="4" s="1" a="1"/>
  <c r="W346" i="4" s="1"/>
  <c r="V333" i="4"/>
  <c r="W333" i="4" s="1" a="1"/>
  <c r="W333" i="4" s="1"/>
  <c r="V221" i="4"/>
  <c r="W221" i="4" s="1" a="1"/>
  <c r="W221" i="4" s="1"/>
  <c r="V635" i="4"/>
  <c r="W635" i="4" s="1" a="1"/>
  <c r="W635" i="4" s="1"/>
  <c r="V744" i="4"/>
  <c r="W744" i="4" s="1" a="1"/>
  <c r="W744" i="4" s="1"/>
  <c r="V14" i="4"/>
  <c r="W14" i="4" s="1" a="1"/>
  <c r="W14" i="4" s="1"/>
  <c r="V448" i="4"/>
  <c r="W448" i="4" s="1" a="1"/>
  <c r="W448" i="4" s="1"/>
  <c r="V535" i="4"/>
  <c r="W535" i="4" s="1" a="1"/>
  <c r="W535" i="4" s="1"/>
  <c r="V531" i="4"/>
  <c r="W531" i="4" s="1" a="1"/>
  <c r="W531" i="4" s="1"/>
  <c r="V524" i="4"/>
  <c r="W524" i="4" s="1" a="1"/>
  <c r="W524" i="4" s="1"/>
  <c r="V343" i="4"/>
  <c r="W343" i="4" s="1" a="1"/>
  <c r="W343" i="4" s="1"/>
  <c r="V565" i="4"/>
  <c r="W565" i="4" s="1" a="1"/>
  <c r="W565" i="4" s="1"/>
  <c r="V684" i="4"/>
  <c r="W684" i="4" s="1" a="1"/>
  <c r="W684" i="4" s="1"/>
  <c r="V512" i="4"/>
  <c r="W512" i="4" s="1" a="1"/>
  <c r="W512" i="4" s="1"/>
  <c r="V644" i="4"/>
  <c r="W644" i="4" s="1" a="1"/>
  <c r="W644" i="4" s="1"/>
  <c r="V811" i="4"/>
  <c r="W811" i="4" s="1" a="1"/>
  <c r="W811" i="4" s="1"/>
  <c r="V23" i="4"/>
  <c r="W23" i="4" s="1" a="1"/>
  <c r="W23" i="4" s="1"/>
  <c r="V792" i="4"/>
  <c r="W792" i="4" s="1" a="1"/>
  <c r="W792" i="4" s="1"/>
  <c r="V591" i="4"/>
  <c r="W591" i="4" s="1" a="1"/>
  <c r="W591" i="4" s="1"/>
  <c r="V19" i="4"/>
  <c r="W19" i="4" s="1" a="1"/>
  <c r="W19" i="4" s="1"/>
  <c r="V742" i="4"/>
  <c r="W742" i="4" s="1" a="1"/>
  <c r="W742" i="4" s="1"/>
  <c r="V345" i="4"/>
  <c r="W345" i="4" s="1" a="1"/>
  <c r="W345" i="4" s="1"/>
  <c r="V393" i="4"/>
  <c r="W393" i="4" s="1" a="1"/>
  <c r="W393" i="4" s="1"/>
  <c r="V305" i="4"/>
  <c r="W305" i="4" s="1" a="1"/>
  <c r="W305" i="4" s="1"/>
  <c r="V579" i="4"/>
  <c r="W579" i="4" s="1" a="1"/>
  <c r="W579" i="4" s="1"/>
  <c r="V201" i="4"/>
  <c r="W201" i="4" s="1" a="1"/>
  <c r="W201" i="4" s="1"/>
  <c r="V775" i="4"/>
  <c r="W775" i="4" s="1" a="1"/>
  <c r="W775" i="4" s="1"/>
  <c r="V431" i="4"/>
  <c r="W431" i="4" s="1" a="1"/>
  <c r="W431" i="4" s="1"/>
  <c r="V359" i="4"/>
  <c r="W359" i="4" s="1" a="1"/>
  <c r="W359" i="4" s="1"/>
  <c r="V726" i="4"/>
  <c r="W726" i="4" s="1" a="1"/>
  <c r="W726" i="4" s="1"/>
  <c r="V375" i="4"/>
  <c r="W375" i="4" s="1" a="1"/>
  <c r="W375" i="4" s="1"/>
  <c r="V795" i="4"/>
  <c r="W795" i="4" s="1" a="1"/>
  <c r="W795" i="4" s="1"/>
  <c r="V807" i="4"/>
  <c r="W807" i="4" s="1" a="1"/>
  <c r="W807" i="4" s="1"/>
  <c r="V8" i="4"/>
  <c r="V843" i="4"/>
  <c r="W843" i="4" s="1" a="1"/>
  <c r="W843" i="4" s="1"/>
  <c r="V97" i="4"/>
  <c r="W97" i="4" s="1" a="1"/>
  <c r="W97" i="4" s="1"/>
  <c r="V857" i="4"/>
  <c r="W857" i="4" s="1" a="1"/>
  <c r="W857" i="4" s="1"/>
  <c r="V961" i="4"/>
  <c r="W961" i="4" s="1" a="1"/>
  <c r="W961" i="4" s="1"/>
  <c r="V765" i="4"/>
  <c r="W765" i="4" s="1" a="1"/>
  <c r="W765" i="4" s="1"/>
  <c r="V98" i="4"/>
  <c r="W98" i="4" s="1" a="1"/>
  <c r="W98" i="4" s="1"/>
  <c r="V831" i="4"/>
  <c r="W831" i="4" s="1" a="1"/>
  <c r="W831" i="4" s="1"/>
  <c r="V381" i="4"/>
  <c r="W381" i="4" s="1" a="1"/>
  <c r="W381" i="4" s="1"/>
  <c r="V457" i="4"/>
  <c r="W457" i="4" s="1" a="1"/>
  <c r="W457" i="4" s="1"/>
  <c r="V99" i="4"/>
  <c r="W99" i="4" s="1" a="1"/>
  <c r="W99" i="4" s="1"/>
  <c r="V581" i="4"/>
  <c r="W581" i="4" s="1" a="1"/>
  <c r="W581" i="4" s="1"/>
  <c r="V883" i="4"/>
  <c r="W883" i="4" s="1" a="1"/>
  <c r="W883" i="4" s="1"/>
  <c r="V707" i="4"/>
  <c r="W707" i="4" s="1" a="1"/>
  <c r="W707" i="4" s="1"/>
  <c r="V984" i="4"/>
  <c r="W984" i="4" s="1" a="1"/>
  <c r="W984" i="4" s="1"/>
  <c r="V475" i="4"/>
  <c r="W475" i="4" s="1" a="1"/>
  <c r="W475" i="4" s="1"/>
  <c r="V41" i="4"/>
  <c r="W41" i="4" s="1" a="1"/>
  <c r="W41" i="4" s="1"/>
  <c r="V526" i="4"/>
  <c r="W526" i="4" s="1" a="1"/>
  <c r="W526" i="4" s="1"/>
  <c r="V4" i="4"/>
  <c r="W4" i="4" s="1" a="1"/>
  <c r="W4" i="4" s="1"/>
  <c r="V293" i="4"/>
  <c r="W293" i="4" s="1" a="1"/>
  <c r="W293" i="4" s="1"/>
  <c r="V935" i="4"/>
  <c r="W935" i="4" s="1" a="1"/>
  <c r="W935" i="4" s="1"/>
  <c r="V587" i="4"/>
  <c r="W587" i="4" s="1" a="1"/>
  <c r="W587" i="4" s="1"/>
  <c r="V529" i="4"/>
  <c r="W529" i="4" s="1" a="1"/>
  <c r="W529" i="4" s="1"/>
  <c r="V953" i="4"/>
  <c r="W953" i="4" s="1" a="1"/>
  <c r="W953" i="4" s="1"/>
  <c r="V391" i="4"/>
  <c r="W391" i="4" s="1" a="1"/>
  <c r="W391" i="4" s="1"/>
  <c r="V881" i="4"/>
  <c r="W881" i="4" s="1" a="1"/>
  <c r="W881" i="4" s="1"/>
  <c r="V509" i="4"/>
  <c r="W509" i="4" s="1" a="1"/>
  <c r="W509" i="4" s="1"/>
  <c r="V604" i="4"/>
  <c r="W604" i="4" s="1" a="1"/>
  <c r="W604" i="4" s="1"/>
  <c r="V100" i="4"/>
  <c r="W100" i="4" s="1" a="1"/>
  <c r="W100" i="4" s="1"/>
  <c r="V316" i="4"/>
  <c r="W316" i="4" s="1" a="1"/>
  <c r="W316" i="4" s="1"/>
  <c r="V67" i="4"/>
  <c r="W67" i="4" s="1" a="1"/>
  <c r="W67" i="4" s="1"/>
  <c r="V611" i="4"/>
  <c r="W611" i="4" s="1" a="1"/>
  <c r="W611" i="4" s="1"/>
  <c r="V608" i="4"/>
  <c r="W608" i="4" s="1" a="1"/>
  <c r="W608" i="4" s="1"/>
  <c r="V101" i="4"/>
  <c r="W101" i="4" s="1" a="1"/>
  <c r="W101" i="4" s="1"/>
  <c r="V963" i="4"/>
  <c r="W963" i="4" s="1" a="1"/>
  <c r="W963" i="4" s="1"/>
  <c r="V563" i="4"/>
  <c r="W563" i="4" s="1" a="1"/>
  <c r="W563" i="4" s="1"/>
  <c r="V484" i="4"/>
  <c r="W484" i="4" s="1" a="1"/>
  <c r="W484" i="4" s="1"/>
  <c r="V730" i="4"/>
  <c r="W730" i="4" s="1" a="1"/>
  <c r="W730" i="4" s="1"/>
  <c r="V192" i="4"/>
  <c r="W192" i="4" s="1" a="1"/>
  <c r="W192" i="4" s="1"/>
  <c r="V522" i="4"/>
  <c r="W522" i="4" s="1" a="1"/>
  <c r="W522" i="4" s="1"/>
  <c r="V225" i="4"/>
  <c r="W225" i="4" s="1" a="1"/>
  <c r="W225" i="4" s="1"/>
  <c r="V924" i="4"/>
  <c r="W924" i="4" s="1" a="1"/>
  <c r="W924" i="4" s="1"/>
  <c r="V102" i="4"/>
  <c r="W102" i="4" s="1" a="1"/>
  <c r="W102" i="4" s="1"/>
  <c r="V488" i="4"/>
  <c r="W488" i="4" s="1" a="1"/>
  <c r="W488" i="4" s="1"/>
  <c r="V588" i="4"/>
  <c r="W588" i="4" s="1" a="1"/>
  <c r="W588" i="4" s="1"/>
  <c r="V610" i="4"/>
  <c r="W610" i="4" s="1" a="1"/>
  <c r="W610" i="4" s="1"/>
  <c r="V271" i="4"/>
  <c r="W271" i="4" s="1" a="1"/>
  <c r="W271" i="4" s="1"/>
  <c r="V173" i="4"/>
  <c r="W173" i="4" s="1" a="1"/>
  <c r="W173" i="4" s="1"/>
  <c r="V277" i="4"/>
  <c r="W277" i="4" s="1" a="1"/>
  <c r="W277" i="4" s="1"/>
  <c r="V656" i="4"/>
  <c r="W656" i="4" s="1" a="1"/>
  <c r="W656" i="4" s="1"/>
  <c r="V429" i="4"/>
  <c r="W429" i="4" s="1" a="1"/>
  <c r="W429" i="4" s="1"/>
  <c r="V739" i="4"/>
  <c r="W739" i="4" s="1" a="1"/>
  <c r="W739" i="4" s="1"/>
  <c r="V633" i="4"/>
  <c r="W633" i="4" s="1" a="1"/>
  <c r="W633" i="4" s="1"/>
  <c r="V103" i="4"/>
  <c r="W103" i="4" s="1" a="1"/>
  <c r="W103" i="4" s="1"/>
  <c r="V552" i="4"/>
  <c r="W552" i="4" s="1" a="1"/>
  <c r="W552" i="4" s="1"/>
  <c r="V969" i="4"/>
  <c r="W969" i="4" s="1" a="1"/>
  <c r="W969" i="4" s="1"/>
  <c r="V894" i="4"/>
  <c r="W894" i="4" s="1" a="1"/>
  <c r="W894" i="4" s="1"/>
  <c r="V616" i="4"/>
  <c r="W616" i="4" s="1" a="1"/>
  <c r="W616" i="4" s="1"/>
  <c r="V104" i="4"/>
  <c r="W104" i="4" s="1" a="1"/>
  <c r="W104" i="4" s="1"/>
  <c r="V632" i="4"/>
  <c r="W632" i="4" s="1" a="1"/>
  <c r="W632" i="4" s="1"/>
  <c r="V718" i="4"/>
  <c r="W718" i="4" s="1" a="1"/>
  <c r="W718" i="4" s="1"/>
  <c r="V398" i="4"/>
  <c r="W398" i="4" s="1" a="1"/>
  <c r="W398" i="4" s="1"/>
  <c r="V583" i="4"/>
  <c r="W583" i="4" s="1" a="1"/>
  <c r="W583" i="4" s="1"/>
  <c r="V920" i="4"/>
  <c r="W920" i="4" s="1" a="1"/>
  <c r="W920" i="4" s="1"/>
  <c r="V187" i="4"/>
  <c r="W187" i="4" s="1" a="1"/>
  <c r="W187" i="4" s="1"/>
  <c r="V61" i="4"/>
  <c r="W61" i="4" s="1" a="1"/>
  <c r="W61" i="4" s="1"/>
  <c r="V705" i="4"/>
  <c r="W705" i="4" s="1" a="1"/>
  <c r="W705" i="4" s="1"/>
  <c r="V628" i="4"/>
  <c r="W628" i="4" s="1" a="1"/>
  <c r="W628" i="4" s="1"/>
  <c r="V822" i="4"/>
  <c r="W822" i="4" s="1" a="1"/>
  <c r="W822" i="4" s="1"/>
  <c r="V674" i="4"/>
  <c r="W674" i="4" s="1" a="1"/>
  <c r="W674" i="4" s="1"/>
  <c r="V276" i="4"/>
  <c r="W276" i="4" s="1" a="1"/>
  <c r="W276" i="4" s="1"/>
  <c r="V619" i="4"/>
  <c r="W619" i="4" s="1" a="1"/>
  <c r="W619" i="4" s="1"/>
  <c r="V105" i="4"/>
  <c r="W105" i="4" s="1" a="1"/>
  <c r="W105" i="4" s="1"/>
  <c r="V399" i="4"/>
  <c r="W399" i="4" s="1" a="1"/>
  <c r="W399" i="4" s="1"/>
  <c r="V641" i="4"/>
  <c r="W641" i="4" s="1" a="1"/>
  <c r="W641" i="4" s="1"/>
  <c r="V361" i="4"/>
  <c r="W361" i="4" s="1" a="1"/>
  <c r="W361" i="4" s="1"/>
  <c r="V975" i="4"/>
  <c r="W975" i="4" s="1" a="1"/>
  <c r="W975" i="4" s="1"/>
  <c r="V106" i="4"/>
  <c r="W106" i="4" s="1" a="1"/>
  <c r="W106" i="4" s="1"/>
  <c r="V286" i="4"/>
  <c r="W286" i="4" s="1" a="1"/>
  <c r="W286" i="4" s="1"/>
  <c r="V165" i="4"/>
  <c r="W165" i="4" s="1" a="1"/>
  <c r="W165" i="4" s="1"/>
  <c r="V229" i="4"/>
  <c r="W229" i="4" s="1" a="1"/>
  <c r="W229" i="4" s="1"/>
  <c r="V249" i="4"/>
  <c r="W249" i="4" s="1" a="1"/>
  <c r="W249" i="4" s="1"/>
  <c r="V55" i="4"/>
  <c r="W55" i="4" s="1" a="1"/>
  <c r="W55" i="4" s="1"/>
  <c r="V725" i="4"/>
  <c r="W725" i="4" s="1" a="1"/>
  <c r="W725" i="4" s="1"/>
  <c r="V285" i="4"/>
  <c r="W285" i="4" s="1" a="1"/>
  <c r="W285" i="4" s="1"/>
  <c r="V523" i="4"/>
  <c r="V331" i="4"/>
  <c r="W331" i="4" s="1" a="1"/>
  <c r="W331" i="4" s="1"/>
  <c r="V233" i="4"/>
  <c r="V939" i="4"/>
  <c r="W939" i="4" s="1" a="1"/>
  <c r="W939" i="4" s="1"/>
  <c r="V782" i="4"/>
  <c r="W782" i="4" s="1" a="1"/>
  <c r="W782" i="4" s="1"/>
  <c r="V107" i="4"/>
  <c r="W107" i="4" s="1" a="1"/>
  <c r="W107" i="4" s="1"/>
  <c r="V108" i="4"/>
  <c r="W108" i="4" s="1" a="1"/>
  <c r="W108" i="4" s="1"/>
  <c r="V826" i="4"/>
  <c r="W826" i="4" s="1" a="1"/>
  <c r="W826" i="4" s="1"/>
  <c r="V298" i="4"/>
  <c r="W298" i="4" s="1" a="1"/>
  <c r="W298" i="4" s="1"/>
  <c r="V109" i="4"/>
  <c r="W109" i="4" s="1" a="1"/>
  <c r="W109" i="4" s="1"/>
  <c r="V827" i="4"/>
  <c r="W827" i="4" s="1" a="1"/>
  <c r="W827" i="4" s="1"/>
  <c r="V525" i="4"/>
  <c r="W525" i="4" s="1" a="1"/>
  <c r="W525" i="4" s="1"/>
  <c r="V554" i="4"/>
  <c r="W554" i="4" s="1" a="1"/>
  <c r="W554" i="4" s="1"/>
  <c r="V746" i="4"/>
  <c r="W746" i="4" s="1" a="1"/>
  <c r="W746" i="4" s="1"/>
  <c r="V110" i="4"/>
  <c r="W110" i="4" s="1" a="1"/>
  <c r="W110" i="4" s="1"/>
  <c r="V111" i="4"/>
  <c r="W111" i="4" s="1" a="1"/>
  <c r="W111" i="4" s="1"/>
  <c r="V928" i="4"/>
  <c r="W928" i="4" s="1" a="1"/>
  <c r="W928" i="4" s="1"/>
  <c r="V10" i="4"/>
  <c r="W10" i="4" s="1" a="1"/>
  <c r="W10" i="4" s="1"/>
  <c r="V13" i="4"/>
  <c r="W13" i="4" s="1" a="1"/>
  <c r="W13" i="4" s="1"/>
  <c r="V50" i="4"/>
  <c r="W50" i="4" s="1" a="1"/>
  <c r="W50" i="4" s="1"/>
  <c r="V964" i="4"/>
  <c r="W964" i="4" s="1" a="1"/>
  <c r="W964" i="4" s="1"/>
  <c r="V638" i="4"/>
  <c r="W638" i="4" s="1" a="1"/>
  <c r="W638" i="4" s="1"/>
  <c r="V860" i="4"/>
  <c r="W860" i="4" s="1" a="1"/>
  <c r="W860" i="4" s="1"/>
  <c r="V262" i="4"/>
  <c r="W262" i="4" s="1" a="1"/>
  <c r="W262" i="4" s="1"/>
  <c r="V689" i="4"/>
  <c r="W689" i="4" s="1" a="1"/>
  <c r="W689" i="4" s="1"/>
  <c r="V112" i="4"/>
  <c r="W112" i="4" s="1" a="1"/>
  <c r="W112" i="4" s="1"/>
  <c r="V113" i="4"/>
  <c r="W113" i="4" s="1" a="1"/>
  <c r="W113" i="4" s="1"/>
  <c r="V715" i="4"/>
  <c r="W715" i="4" s="1" a="1"/>
  <c r="W715" i="4" s="1"/>
  <c r="V114" i="4"/>
  <c r="W114" i="4" s="1" a="1"/>
  <c r="W114" i="4" s="1"/>
  <c r="V421" i="4"/>
  <c r="W421" i="4" s="1" a="1"/>
  <c r="W421" i="4" s="1"/>
  <c r="V430" i="4"/>
  <c r="W430" i="4" s="1" a="1"/>
  <c r="W430" i="4" s="1"/>
  <c r="V296" i="4"/>
  <c r="W296" i="4" s="1" a="1"/>
  <c r="W296" i="4" s="1"/>
  <c r="V254" i="4"/>
  <c r="W254" i="4" s="1" a="1"/>
  <c r="W254" i="4" s="1"/>
  <c r="V194" i="4"/>
  <c r="W194" i="4" s="1" a="1"/>
  <c r="W194" i="4" s="1"/>
  <c r="V521" i="4"/>
  <c r="W521" i="4" s="1" a="1"/>
  <c r="W521" i="4" s="1"/>
  <c r="V502" i="4"/>
  <c r="W502" i="4" s="1" a="1"/>
  <c r="W502" i="4" s="1"/>
  <c r="V603" i="4"/>
  <c r="W603" i="4" s="1" a="1"/>
  <c r="W603" i="4" s="1"/>
  <c r="V240" i="4"/>
  <c r="W240" i="4" s="1" a="1"/>
  <c r="W240" i="4" s="1"/>
  <c r="V654" i="4"/>
  <c r="W654" i="4" s="1" a="1"/>
  <c r="W654" i="4" s="1"/>
  <c r="V115" i="4"/>
  <c r="W115" i="4" s="1" a="1"/>
  <c r="W115" i="4" s="1"/>
  <c r="V28" i="4"/>
  <c r="W28" i="4" s="1" a="1"/>
  <c r="W28" i="4" s="1"/>
  <c r="V24" i="4"/>
  <c r="W24" i="4" s="1" a="1"/>
  <c r="W24" i="4" s="1"/>
  <c r="V307" i="4"/>
  <c r="W307" i="4" s="1" a="1"/>
  <c r="W307" i="4" s="1"/>
  <c r="V213" i="4"/>
  <c r="W213" i="4" s="1" a="1"/>
  <c r="W213" i="4" s="1"/>
  <c r="V736" i="4"/>
  <c r="W736" i="4" s="1" a="1"/>
  <c r="W736" i="4" s="1"/>
  <c r="V247" i="4"/>
  <c r="W247" i="4" s="1" a="1"/>
  <c r="W247" i="4" s="1"/>
  <c r="V560" i="4"/>
  <c r="W560" i="4" s="1" a="1"/>
  <c r="W560" i="4" s="1"/>
  <c r="V748" i="4"/>
  <c r="W748" i="4" s="1" a="1"/>
  <c r="W748" i="4" s="1"/>
  <c r="V235" i="4"/>
  <c r="W235" i="4" s="1" a="1"/>
  <c r="W235" i="4" s="1"/>
  <c r="V575" i="4"/>
  <c r="W575" i="4" s="1" a="1"/>
  <c r="W575" i="4" s="1"/>
  <c r="V812" i="4"/>
  <c r="W812" i="4" s="1" a="1"/>
  <c r="W812" i="4" s="1"/>
  <c r="V57" i="4"/>
  <c r="W57" i="4" s="1" a="1"/>
  <c r="W57" i="4" s="1"/>
  <c r="V471" i="4"/>
  <c r="W471" i="4" s="1" a="1"/>
  <c r="W471" i="4" s="1"/>
  <c r="V237" i="4"/>
  <c r="W237" i="4" s="1" a="1"/>
  <c r="W237" i="4" s="1"/>
  <c r="V116" i="4"/>
  <c r="W116" i="4" s="1" a="1"/>
  <c r="W116" i="4" s="1"/>
  <c r="V117" i="4"/>
  <c r="W117" i="4" s="1" a="1"/>
  <c r="W117" i="4" s="1"/>
  <c r="V118" i="4"/>
  <c r="W118" i="4" s="1" a="1"/>
  <c r="W118" i="4" s="1"/>
  <c r="V485" i="4"/>
  <c r="W485" i="4" s="1" a="1"/>
  <c r="W485" i="4" s="1"/>
  <c r="V119" i="4"/>
  <c r="W119" i="4" s="1" a="1"/>
  <c r="W119" i="4" s="1"/>
  <c r="V283" i="4"/>
  <c r="W283" i="4" s="1" a="1"/>
  <c r="W283" i="4" s="1"/>
  <c r="V747" i="4"/>
  <c r="W747" i="4" s="1" a="1"/>
  <c r="W747" i="4" s="1"/>
  <c r="V625" i="4"/>
  <c r="W625" i="4" s="1" a="1"/>
  <c r="W625" i="4" s="1"/>
  <c r="V294" i="4"/>
  <c r="W294" i="4" s="1" a="1"/>
  <c r="W294" i="4" s="1"/>
  <c r="V943" i="4"/>
  <c r="W943" i="4" s="1" a="1"/>
  <c r="W943" i="4" s="1"/>
  <c r="V955" i="4"/>
  <c r="W955" i="4" s="1" a="1"/>
  <c r="W955" i="4" s="1"/>
  <c r="V472" i="4"/>
  <c r="W472" i="4" s="1" a="1"/>
  <c r="W472" i="4" s="1"/>
  <c r="V120" i="4"/>
  <c r="W120" i="4" s="1" a="1"/>
  <c r="W120" i="4" s="1"/>
  <c r="V771" i="4"/>
  <c r="W771" i="4" s="1" a="1"/>
  <c r="W771" i="4" s="1"/>
  <c r="V54" i="4"/>
  <c r="W54" i="4" s="1" a="1"/>
  <c r="W54" i="4" s="1"/>
  <c r="V917" i="4"/>
  <c r="W917" i="4" s="1" a="1"/>
  <c r="W917" i="4" s="1"/>
  <c r="V837" i="4"/>
  <c r="W837" i="4" s="1" a="1"/>
  <c r="W837" i="4" s="1"/>
  <c r="V950" i="4"/>
  <c r="W950" i="4" s="1" a="1"/>
  <c r="W950" i="4" s="1"/>
  <c r="V557" i="4"/>
  <c r="W557" i="4" s="1" a="1"/>
  <c r="W557" i="4" s="1"/>
  <c r="V360" i="4"/>
  <c r="W360" i="4" s="1" a="1"/>
  <c r="W360" i="4" s="1"/>
  <c r="V329" i="4"/>
  <c r="W329" i="4" s="1" a="1"/>
  <c r="W329" i="4" s="1"/>
  <c r="V284" i="4"/>
  <c r="W284" i="4" s="1" a="1"/>
  <c r="W284" i="4" s="1"/>
  <c r="V809" i="4"/>
  <c r="W809" i="4" s="1" a="1"/>
  <c r="W809" i="4" s="1"/>
  <c r="V709" i="4"/>
  <c r="W709" i="4" s="1" a="1"/>
  <c r="W709" i="4" s="1"/>
  <c r="V505" i="4"/>
  <c r="W505" i="4" s="1" a="1"/>
  <c r="W505" i="4" s="1"/>
  <c r="V220" i="4"/>
  <c r="W220" i="4" s="1" a="1"/>
  <c r="W220" i="4" s="1"/>
  <c r="V980" i="4"/>
  <c r="W980" i="4" s="1" a="1"/>
  <c r="W980" i="4" s="1"/>
  <c r="V780" i="4"/>
  <c r="W780" i="4" s="1" a="1"/>
  <c r="W780" i="4" s="1"/>
  <c r="V64" i="4"/>
  <c r="W64" i="4" s="1" a="1"/>
  <c r="W64" i="4" s="1"/>
  <c r="V300" i="4"/>
  <c r="V785" i="4"/>
  <c r="W785" i="4" s="1" a="1"/>
  <c r="W785" i="4" s="1"/>
  <c r="V199" i="4"/>
  <c r="W199" i="4" s="1" a="1"/>
  <c r="W199" i="4" s="1"/>
  <c r="V594" i="4"/>
  <c r="W594" i="4" s="1" a="1"/>
  <c r="W594" i="4" s="1"/>
  <c r="V798" i="4"/>
  <c r="W798" i="4" s="1" a="1"/>
  <c r="W798" i="4" s="1"/>
  <c r="V45" i="4"/>
  <c r="W45" i="4" s="1" a="1"/>
  <c r="W45" i="4" s="1"/>
  <c r="V844" i="4"/>
  <c r="W844" i="4" s="1" a="1"/>
  <c r="W844" i="4" s="1"/>
  <c r="V442" i="4"/>
  <c r="W442" i="4" s="1" a="1"/>
  <c r="W442" i="4" s="1"/>
  <c r="V340" i="4"/>
  <c r="W340" i="4" s="1" a="1"/>
  <c r="W340" i="4" s="1"/>
  <c r="V578" i="4"/>
  <c r="W578" i="4" s="1" a="1"/>
  <c r="W578" i="4" s="1"/>
  <c r="V697" i="4"/>
  <c r="W697" i="4" s="1" a="1"/>
  <c r="W697" i="4" s="1"/>
  <c r="V513" i="4"/>
  <c r="W513" i="4" s="1" a="1"/>
  <c r="W513" i="4" s="1"/>
  <c r="V355" i="4"/>
  <c r="W355" i="4" s="1" a="1"/>
  <c r="W355" i="4" s="1"/>
  <c r="V712" i="4"/>
  <c r="W712" i="4" s="1" a="1"/>
  <c r="W712" i="4" s="1"/>
  <c r="V481" i="4"/>
  <c r="W481" i="4" s="1" a="1"/>
  <c r="W481" i="4" s="1"/>
  <c r="V408" i="4"/>
  <c r="V121" i="4"/>
  <c r="V42" i="4"/>
  <c r="V62" i="4"/>
  <c r="W62" i="4" s="1" a="1"/>
  <c r="W62" i="4" s="1"/>
  <c r="V564" i="4"/>
  <c r="W564" i="4" s="1" a="1"/>
  <c r="W564" i="4" s="1"/>
  <c r="V845" i="4"/>
  <c r="W845" i="4" s="1" a="1"/>
  <c r="W845" i="4" s="1"/>
  <c r="V53" i="4"/>
  <c r="W53" i="4" s="1" a="1"/>
  <c r="W53" i="4" s="1"/>
  <c r="V695" i="4"/>
  <c r="W695" i="4" s="1" a="1"/>
  <c r="W695" i="4" s="1"/>
  <c r="V904" i="4"/>
  <c r="W904" i="4" s="1" a="1"/>
  <c r="W904" i="4" s="1"/>
  <c r="V263" i="4"/>
  <c r="W263" i="4" s="1" a="1"/>
  <c r="W263" i="4" s="1"/>
  <c r="V122" i="4"/>
  <c r="V227" i="4"/>
  <c r="W227" i="4" s="1" a="1"/>
  <c r="W227" i="4" s="1"/>
  <c r="V760" i="4"/>
  <c r="W760" i="4" s="1" a="1"/>
  <c r="W760" i="4" s="1"/>
  <c r="V665" i="4"/>
  <c r="W665" i="4" s="1" a="1"/>
  <c r="W665" i="4" s="1"/>
  <c r="V168" i="4"/>
  <c r="W168" i="4" s="1" a="1"/>
  <c r="W168" i="4" s="1"/>
  <c r="V921" i="4"/>
  <c r="W921" i="4" s="1" a="1"/>
  <c r="W921" i="4" s="1"/>
  <c r="V898" i="4"/>
  <c r="W898" i="4" s="1" a="1"/>
  <c r="W898" i="4" s="1"/>
  <c r="V217" i="4"/>
  <c r="W217" i="4" s="1" a="1"/>
  <c r="W217" i="4" s="1"/>
  <c r="V214" i="4"/>
  <c r="W214" i="4" s="1" a="1"/>
  <c r="W214" i="4" s="1"/>
  <c r="V266" i="4"/>
  <c r="W266" i="4" s="1" a="1"/>
  <c r="W266" i="4" s="1"/>
  <c r="V304" i="4"/>
  <c r="W304" i="4" s="1" a="1"/>
  <c r="W304" i="4" s="1"/>
  <c r="V797" i="4"/>
  <c r="W797" i="4" s="1" a="1"/>
  <c r="W797" i="4" s="1"/>
  <c r="V617" i="4"/>
  <c r="W617" i="4" s="1" a="1"/>
  <c r="W617" i="4" s="1"/>
  <c r="V766" i="4"/>
  <c r="W766" i="4" s="1" a="1"/>
  <c r="W766" i="4" s="1"/>
  <c r="V700" i="4"/>
  <c r="W700" i="4" s="1" a="1"/>
  <c r="W700" i="4" s="1"/>
  <c r="V944" i="4"/>
  <c r="W944" i="4" s="1" a="1"/>
  <c r="W944" i="4" s="1"/>
  <c r="V123" i="4"/>
  <c r="W123" i="4" s="1" a="1"/>
  <c r="W123" i="4" s="1"/>
  <c r="V606" i="4"/>
  <c r="W606" i="4" s="1" a="1"/>
  <c r="W606" i="4" s="1"/>
  <c r="V69" i="4"/>
  <c r="W69" i="4" s="1" a="1"/>
  <c r="W69" i="4" s="1"/>
  <c r="V124" i="4"/>
  <c r="W124" i="4" s="1" a="1"/>
  <c r="W124" i="4" s="1"/>
  <c r="V440" i="4"/>
  <c r="W440" i="4" s="1" a="1"/>
  <c r="W440" i="4" s="1"/>
  <c r="V614" i="4"/>
  <c r="W614" i="4" s="1" a="1"/>
  <c r="W614" i="4" s="1"/>
  <c r="V749" i="4"/>
  <c r="W749" i="4" s="1" a="1"/>
  <c r="W749" i="4" s="1"/>
  <c r="V278" i="4"/>
  <c r="W278" i="4" s="1" a="1"/>
  <c r="W278" i="4" s="1"/>
  <c r="V347" i="4"/>
  <c r="W347" i="4" s="1" a="1"/>
  <c r="W347" i="4" s="1"/>
  <c r="V903" i="4"/>
  <c r="W903" i="4" s="1" a="1"/>
  <c r="W903" i="4" s="1"/>
  <c r="V348" i="4"/>
  <c r="W348" i="4" s="1" a="1"/>
  <c r="W348" i="4" s="1"/>
  <c r="V949" i="4"/>
  <c r="W949" i="4" s="1" a="1"/>
  <c r="W949" i="4" s="1"/>
  <c r="V886" i="4"/>
  <c r="W886" i="4" s="1" a="1"/>
  <c r="W886" i="4" s="1"/>
  <c r="V629" i="4"/>
  <c r="W629" i="4" s="1" a="1"/>
  <c r="W629" i="4" s="1"/>
  <c r="V125" i="4"/>
  <c r="W125" i="4" s="1" a="1"/>
  <c r="W125" i="4" s="1"/>
  <c r="V788" i="4"/>
  <c r="W788" i="4" s="1" a="1"/>
  <c r="W788" i="4" s="1"/>
  <c r="V309" i="4"/>
  <c r="W309" i="4" s="1" a="1"/>
  <c r="W309" i="4" s="1"/>
  <c r="V126" i="4"/>
  <c r="W126" i="4" s="1" a="1"/>
  <c r="W126" i="4" s="1"/>
  <c r="V647" i="4"/>
  <c r="W647" i="4" s="1" a="1"/>
  <c r="W647" i="4" s="1"/>
  <c r="V52" i="4"/>
  <c r="W52" i="4" s="1" a="1"/>
  <c r="W52" i="4" s="1"/>
  <c r="V208" i="4"/>
  <c r="W208" i="4" s="1" a="1"/>
  <c r="W208" i="4" s="1"/>
  <c r="V464" i="4"/>
  <c r="W464" i="4" s="1" a="1"/>
  <c r="W464" i="4" s="1"/>
  <c r="V968" i="4"/>
  <c r="W968" i="4" s="1" a="1"/>
  <c r="W968" i="4" s="1"/>
  <c r="V236" i="4"/>
  <c r="W236" i="4" s="1" a="1"/>
  <c r="W236" i="4" s="1"/>
  <c r="V325" i="4"/>
  <c r="W325" i="4" s="1" a="1"/>
  <c r="W325" i="4" s="1"/>
  <c r="V51" i="4"/>
  <c r="W51" i="4" s="1" a="1"/>
  <c r="W51" i="4" s="1"/>
  <c r="V623" i="4"/>
  <c r="W623" i="4" s="1" a="1"/>
  <c r="W623" i="4" s="1"/>
  <c r="V867" i="4"/>
  <c r="W867" i="4" s="1" a="1"/>
  <c r="W867" i="4" s="1"/>
  <c r="V378" i="4"/>
  <c r="W378" i="4" s="1" a="1"/>
  <c r="W378" i="4" s="1"/>
  <c r="V820" i="4"/>
  <c r="W820" i="4" s="1" a="1"/>
  <c r="W820" i="4" s="1"/>
  <c r="V570" i="4"/>
  <c r="W570" i="4" s="1" a="1"/>
  <c r="W570" i="4" s="1"/>
  <c r="V218" i="4"/>
  <c r="V419" i="4"/>
  <c r="W419" i="4" s="1" a="1"/>
  <c r="W419" i="4" s="1"/>
  <c r="V350" i="4"/>
  <c r="W350" i="4" s="1" a="1"/>
  <c r="W350" i="4" s="1"/>
  <c r="V893" i="4"/>
  <c r="W893" i="4" s="1" a="1"/>
  <c r="W893" i="4" s="1"/>
  <c r="V518" i="4"/>
  <c r="W518" i="4" s="1" a="1"/>
  <c r="W518" i="4" s="1"/>
  <c r="V679" i="4"/>
  <c r="W679" i="4" s="1" a="1"/>
  <c r="W679" i="4" s="1"/>
  <c r="V646" i="4"/>
  <c r="W646" i="4" s="1" a="1"/>
  <c r="W646" i="4" s="1"/>
  <c r="V5" i="4"/>
  <c r="W5" i="4" s="1" a="1"/>
  <c r="W5" i="4" s="1"/>
  <c r="V751" i="4"/>
  <c r="W751" i="4" s="1" a="1"/>
  <c r="W751" i="4" s="1"/>
  <c r="V127" i="4"/>
  <c r="W127" i="4" s="1" a="1"/>
  <c r="W127" i="4" s="1"/>
  <c r="V389" i="4"/>
  <c r="W389" i="4" s="1" a="1"/>
  <c r="W389" i="4" s="1"/>
  <c r="V434" i="4"/>
  <c r="W434" i="4" s="1" a="1"/>
  <c r="W434" i="4" s="1"/>
  <c r="V805" i="4"/>
  <c r="W805" i="4" s="1" a="1"/>
  <c r="W805" i="4" s="1"/>
  <c r="V459" i="4"/>
  <c r="W459" i="4" s="1" a="1"/>
  <c r="W459" i="4" s="1"/>
  <c r="V556" i="4"/>
  <c r="W556" i="4" s="1" a="1"/>
  <c r="W556" i="4" s="1"/>
  <c r="V737" i="4"/>
  <c r="W737" i="4" s="1" a="1"/>
  <c r="W737" i="4" s="1"/>
  <c r="V875" i="4"/>
  <c r="W875" i="4" s="1" a="1"/>
  <c r="W875" i="4" s="1"/>
  <c r="V866" i="4"/>
  <c r="W866" i="4" s="1" a="1"/>
  <c r="W866" i="4" s="1"/>
  <c r="V495" i="4"/>
  <c r="W495" i="4" s="1" a="1"/>
  <c r="W495" i="4" s="1"/>
  <c r="V469" i="4"/>
  <c r="W469" i="4" s="1" a="1"/>
  <c r="W469" i="4" s="1"/>
  <c r="V290" i="4"/>
  <c r="W290" i="4" s="1" a="1"/>
  <c r="W290" i="4" s="1"/>
  <c r="V207" i="4"/>
  <c r="W207" i="4" s="1" a="1"/>
  <c r="W207" i="4" s="1"/>
  <c r="V128" i="4"/>
  <c r="W128" i="4" s="1" a="1"/>
  <c r="W128" i="4" s="1"/>
  <c r="V33" i="4"/>
  <c r="W33" i="4" s="1" a="1"/>
  <c r="W33" i="4" s="1"/>
  <c r="V129" i="4"/>
  <c r="W129" i="4" s="1" a="1"/>
  <c r="W129" i="4" s="1"/>
  <c r="V880" i="4"/>
  <c r="W880" i="4" s="1" a="1"/>
  <c r="W880" i="4" s="1"/>
  <c r="V532" i="4"/>
  <c r="W532" i="4" s="1" a="1"/>
  <c r="W532" i="4" s="1"/>
  <c r="V433" i="4"/>
  <c r="W433" i="4" s="1" a="1"/>
  <c r="W433" i="4" s="1"/>
  <c r="V223" i="4"/>
  <c r="W223" i="4" s="1" a="1"/>
  <c r="W223" i="4" s="1"/>
  <c r="V474" i="4"/>
  <c r="W474" i="4" s="1" a="1"/>
  <c r="W474" i="4" s="1"/>
  <c r="V190" i="4"/>
  <c r="W190" i="4" s="1" a="1"/>
  <c r="W190" i="4" s="1"/>
  <c r="V527" i="4"/>
  <c r="W527" i="4" s="1" a="1"/>
  <c r="W527" i="4" s="1"/>
  <c r="V551" i="4"/>
  <c r="W551" i="4" s="1" a="1"/>
  <c r="W551" i="4" s="1"/>
  <c r="V184" i="4"/>
  <c r="W184" i="4" s="1" a="1"/>
  <c r="W184" i="4" s="1"/>
  <c r="V178" i="4"/>
  <c r="W178" i="4" s="1" a="1"/>
  <c r="W178" i="4" s="1"/>
  <c r="V801" i="4"/>
  <c r="W801" i="4" s="1" a="1"/>
  <c r="W801" i="4" s="1"/>
  <c r="V447" i="4"/>
  <c r="W447" i="4" s="1" a="1"/>
  <c r="W447" i="4" s="1"/>
  <c r="V205" i="4"/>
  <c r="W205" i="4" s="1" a="1"/>
  <c r="W205" i="4" s="1"/>
  <c r="V357" i="4"/>
  <c r="W357" i="4" s="1" a="1"/>
  <c r="W357" i="4" s="1"/>
  <c r="V130" i="4"/>
  <c r="V445" i="4"/>
  <c r="W445" i="4" s="1" a="1"/>
  <c r="W445" i="4" s="1"/>
  <c r="V754" i="4"/>
  <c r="W754" i="4" s="1" a="1"/>
  <c r="W754" i="4" s="1"/>
  <c r="V460" i="4"/>
  <c r="W460" i="4" s="1" a="1"/>
  <c r="W460" i="4" s="1"/>
  <c r="V973" i="4"/>
  <c r="W973" i="4" s="1" a="1"/>
  <c r="W973" i="4" s="1"/>
  <c r="V615" i="4"/>
  <c r="W615" i="4" s="1" a="1"/>
  <c r="W615" i="4" s="1"/>
  <c r="V541" i="4"/>
  <c r="W541" i="4" s="1" a="1"/>
  <c r="W541" i="4" s="1"/>
  <c r="V171" i="4"/>
  <c r="W171" i="4" s="1" a="1"/>
  <c r="W171" i="4" s="1"/>
  <c r="V206" i="4"/>
  <c r="W206" i="4" s="1" a="1"/>
  <c r="W206" i="4" s="1"/>
  <c r="V131" i="4"/>
  <c r="W131" i="4" s="1" a="1"/>
  <c r="W131" i="4" s="1"/>
  <c r="V803" i="4"/>
  <c r="W803" i="4" s="1" a="1"/>
  <c r="W803" i="4" s="1"/>
  <c r="V303" i="4"/>
  <c r="W303" i="4" s="1" a="1"/>
  <c r="W303" i="4" s="1"/>
  <c r="V211" i="4"/>
  <c r="W211" i="4" s="1" a="1"/>
  <c r="W211" i="4" s="1"/>
  <c r="V537" i="4"/>
  <c r="W537" i="4" s="1" a="1"/>
  <c r="W537" i="4" s="1"/>
  <c r="V648" i="4"/>
  <c r="W648" i="4" s="1" a="1"/>
  <c r="W648" i="4" s="1"/>
  <c r="V374" i="4"/>
  <c r="W374" i="4" s="1" a="1"/>
  <c r="W374" i="4" s="1"/>
  <c r="V466" i="4"/>
  <c r="W466" i="4" s="1" a="1"/>
  <c r="W466" i="4" s="1"/>
  <c r="V722" i="4"/>
  <c r="W722" i="4" s="1" a="1"/>
  <c r="W722" i="4" s="1"/>
  <c r="V362" i="4"/>
  <c r="W362" i="4" s="1" a="1"/>
  <c r="W362" i="4" s="1"/>
  <c r="V834" i="4"/>
  <c r="W834" i="4" s="1" a="1"/>
  <c r="W834" i="4" s="1"/>
  <c r="V132" i="4"/>
  <c r="W132" i="4" s="1" a="1"/>
  <c r="W132" i="4" s="1"/>
  <c r="V6" i="4"/>
  <c r="W6" i="4" s="1" a="1"/>
  <c r="W6" i="4" s="1"/>
  <c r="V680" i="4"/>
  <c r="W680" i="4" s="1" a="1"/>
  <c r="W680" i="4" s="1"/>
  <c r="V43" i="4"/>
  <c r="W43" i="4" s="1" a="1"/>
  <c r="W43" i="4" s="1"/>
  <c r="V545" i="4"/>
  <c r="V428" i="4"/>
  <c r="W428" i="4" s="1" a="1"/>
  <c r="W428" i="4" s="1"/>
  <c r="V358" i="4"/>
  <c r="W358" i="4" s="1" a="1"/>
  <c r="W358" i="4" s="1"/>
  <c r="V193" i="4"/>
  <c r="W193" i="4" s="1" a="1"/>
  <c r="W193" i="4" s="1"/>
  <c r="V777" i="4"/>
  <c r="W777" i="4" s="1" a="1"/>
  <c r="W777" i="4" s="1"/>
  <c r="V947" i="4"/>
  <c r="W947" i="4" s="1" a="1"/>
  <c r="W947" i="4" s="1"/>
  <c r="V577" i="4"/>
  <c r="W577" i="4" s="1" a="1"/>
  <c r="W577" i="4" s="1"/>
  <c r="V586" i="4"/>
  <c r="W586" i="4" s="1" a="1"/>
  <c r="W586" i="4" s="1"/>
  <c r="V238" i="4"/>
  <c r="W238" i="4" s="1" a="1"/>
  <c r="W238" i="4" s="1"/>
  <c r="V16" i="4"/>
  <c r="W16" i="4" s="1" a="1"/>
  <c r="W16" i="4" s="1"/>
  <c r="V454" i="4"/>
  <c r="V160" i="4"/>
  <c r="W160" i="4" s="1" a="1"/>
  <c r="W160" i="4" s="1"/>
  <c r="V133" i="4"/>
  <c r="W133" i="4" s="1" a="1"/>
  <c r="W133" i="4" s="1"/>
  <c r="V743" i="4"/>
  <c r="W743" i="4" s="1" a="1"/>
  <c r="W743" i="4" s="1"/>
  <c r="V759" i="4"/>
  <c r="W759" i="4" s="1" a="1"/>
  <c r="W759" i="4" s="1"/>
  <c r="V186" i="4"/>
  <c r="W186" i="4" s="1" a="1"/>
  <c r="W186" i="4" s="1"/>
  <c r="V548" i="4"/>
  <c r="W548" i="4" s="1" a="1"/>
  <c r="W548" i="4" s="1"/>
  <c r="V813" i="4"/>
  <c r="W813" i="4" s="1" a="1"/>
  <c r="W813" i="4" s="1"/>
  <c r="V536" i="4"/>
  <c r="W536" i="4" s="1" a="1"/>
  <c r="W536" i="4" s="1"/>
  <c r="V134" i="4"/>
  <c r="W134" i="4" s="1" a="1"/>
  <c r="W134" i="4" s="1"/>
  <c r="V407" i="4"/>
  <c r="W407" i="4" s="1" a="1"/>
  <c r="W407" i="4" s="1"/>
  <c r="V895" i="4"/>
  <c r="W895" i="4" s="1" a="1"/>
  <c r="W895" i="4" s="1"/>
  <c r="V553" i="4"/>
  <c r="W553" i="4" s="1" a="1"/>
  <c r="W553" i="4" s="1"/>
  <c r="V658" i="4"/>
  <c r="W658" i="4" s="1" a="1"/>
  <c r="W658" i="4" s="1"/>
  <c r="V592" i="4"/>
  <c r="V189" i="4"/>
  <c r="W189" i="4" s="1" a="1"/>
  <c r="W189" i="4" s="1"/>
  <c r="V257" i="4"/>
  <c r="W257" i="4" s="1" a="1"/>
  <c r="W257" i="4" s="1"/>
  <c r="V589" i="4"/>
  <c r="W589" i="4" s="1" a="1"/>
  <c r="W589" i="4" s="1"/>
  <c r="V750" i="4"/>
  <c r="W750" i="4" s="1" a="1"/>
  <c r="W750" i="4" s="1"/>
  <c r="V841" i="4"/>
  <c r="W841" i="4" s="1" a="1"/>
  <c r="W841" i="4" s="1"/>
  <c r="V188" i="4"/>
  <c r="W188" i="4" s="1" a="1"/>
  <c r="W188" i="4" s="1"/>
  <c r="V621" i="4"/>
  <c r="W621" i="4" s="1" a="1"/>
  <c r="W621" i="4" s="1"/>
  <c r="V863" i="4"/>
  <c r="W863" i="4" s="1" a="1"/>
  <c r="W863" i="4" s="1"/>
  <c r="V158" i="4"/>
  <c r="W158" i="4" s="1" a="1"/>
  <c r="W158" i="4" s="1"/>
  <c r="V918" i="4"/>
  <c r="W918" i="4" s="1" a="1"/>
  <c r="W918" i="4" s="1"/>
  <c r="V937" i="4"/>
  <c r="W937" i="4" s="1" a="1"/>
  <c r="W937" i="4" s="1"/>
  <c r="V979" i="4"/>
  <c r="W979" i="4" s="1" a="1"/>
  <c r="W979" i="4" s="1"/>
  <c r="V544" i="4"/>
  <c r="W544" i="4" s="1" a="1"/>
  <c r="W544" i="4" s="1"/>
  <c r="V546" i="4"/>
  <c r="W546" i="4" s="1" a="1"/>
  <c r="W546" i="4" s="1"/>
  <c r="V752" i="4"/>
  <c r="W752" i="4" s="1" a="1"/>
  <c r="W752" i="4" s="1"/>
  <c r="V740" i="4"/>
  <c r="W740" i="4" s="1" a="1"/>
  <c r="W740" i="4" s="1"/>
  <c r="V847" i="4"/>
  <c r="W847" i="4" s="1" a="1"/>
  <c r="W847" i="4" s="1"/>
  <c r="V734" i="4"/>
  <c r="W734" i="4" s="1" a="1"/>
  <c r="W734" i="4" s="1"/>
  <c r="V694" i="4"/>
  <c r="W694" i="4" s="1" a="1"/>
  <c r="W694" i="4" s="1"/>
  <c r="V873" i="4"/>
  <c r="W873" i="4" s="1" a="1"/>
  <c r="W873" i="4" s="1"/>
  <c r="V135" i="4"/>
  <c r="W135" i="4" s="1" a="1"/>
  <c r="W135" i="4" s="1"/>
  <c r="V468" i="4"/>
  <c r="W468" i="4" s="1" a="1"/>
  <c r="W468" i="4" s="1"/>
  <c r="V136" i="4"/>
  <c r="W136" i="4" s="1" a="1"/>
  <c r="W136" i="4" s="1"/>
  <c r="V239" i="4"/>
  <c r="W239" i="4" s="1" a="1"/>
  <c r="W239" i="4" s="1"/>
  <c r="V699" i="4"/>
  <c r="W699" i="4" s="1" a="1"/>
  <c r="W699" i="4" s="1"/>
  <c r="V609" i="4"/>
  <c r="W609" i="4" s="1" a="1"/>
  <c r="W609" i="4" s="1"/>
  <c r="V181" i="4"/>
  <c r="W181" i="4" s="1" a="1"/>
  <c r="W181" i="4" s="1"/>
  <c r="V337" i="4"/>
  <c r="W337" i="4" s="1" a="1"/>
  <c r="W337" i="4" s="1"/>
  <c r="V137" i="4"/>
  <c r="W137" i="4" s="1" a="1"/>
  <c r="W137" i="4" s="1"/>
  <c r="V808" i="4"/>
  <c r="W808" i="4" s="1" a="1"/>
  <c r="W808" i="4" s="1"/>
  <c r="V397" i="4"/>
  <c r="W397" i="4" s="1" a="1"/>
  <c r="W397" i="4" s="1"/>
  <c r="V951" i="4"/>
  <c r="W951" i="4" s="1" a="1"/>
  <c r="W951" i="4" s="1"/>
  <c r="V491" i="4"/>
  <c r="W491" i="4" s="1" a="1"/>
  <c r="W491" i="4" s="1"/>
  <c r="V411" i="4"/>
  <c r="W411" i="4" s="1" a="1"/>
  <c r="W411" i="4" s="1"/>
  <c r="V377" i="4"/>
  <c r="W377" i="4" s="1" a="1"/>
  <c r="W377" i="4" s="1"/>
  <c r="V402" i="4"/>
  <c r="W402" i="4" s="1" a="1"/>
  <c r="W402" i="4" s="1"/>
  <c r="V503" i="4"/>
  <c r="W503" i="4" s="1" a="1"/>
  <c r="W503" i="4" s="1"/>
  <c r="V976" i="4"/>
  <c r="V368" i="4"/>
  <c r="W368" i="4" s="1" a="1"/>
  <c r="W368" i="4" s="1"/>
  <c r="V380" i="4"/>
  <c r="W380" i="4" s="1" a="1"/>
  <c r="W380" i="4" s="1"/>
  <c r="V489" i="4"/>
  <c r="W489" i="4" s="1" a="1"/>
  <c r="W489" i="4" s="1"/>
  <c r="V838" i="4"/>
  <c r="W838" i="4" s="1" a="1"/>
  <c r="W838" i="4" s="1"/>
  <c r="V138" i="4"/>
  <c r="W138" i="4" s="1" a="1"/>
  <c r="W138" i="4" s="1"/>
  <c r="V627" i="4"/>
  <c r="W627" i="4" s="1" a="1"/>
  <c r="W627" i="4" s="1"/>
  <c r="V195" i="4"/>
  <c r="W195" i="4" s="1" a="1"/>
  <c r="W195" i="4" s="1"/>
  <c r="V668" i="4"/>
  <c r="W668" i="4" s="1" a="1"/>
  <c r="W668" i="4" s="1"/>
  <c r="V308" i="4"/>
  <c r="W308" i="4" s="1" a="1"/>
  <c r="W308" i="4" s="1"/>
  <c r="V139" i="4"/>
  <c r="V774" i="4"/>
  <c r="W774" i="4" s="1" a="1"/>
  <c r="W774" i="4" s="1"/>
  <c r="V596" i="4"/>
  <c r="W596" i="4" s="1" a="1"/>
  <c r="W596" i="4" s="1"/>
  <c r="V273" i="4"/>
  <c r="W273" i="4" s="1" a="1"/>
  <c r="W273" i="4" s="1"/>
  <c r="V251" i="4"/>
  <c r="W251" i="4" s="1" a="1"/>
  <c r="W251" i="4" s="1"/>
  <c r="V60" i="4"/>
  <c r="W60" i="4" s="1" a="1"/>
  <c r="W60" i="4" s="1"/>
  <c r="V733" i="4"/>
  <c r="W733" i="4" s="1" a="1"/>
  <c r="W733" i="4" s="1"/>
  <c r="V768" i="4"/>
  <c r="W768" i="4" s="1" a="1"/>
  <c r="W768" i="4" s="1"/>
  <c r="V179" i="4"/>
  <c r="W179" i="4" s="1" a="1"/>
  <c r="W179" i="4" s="1"/>
  <c r="V291" i="4"/>
  <c r="W291" i="4" s="1" a="1"/>
  <c r="W291" i="4" s="1"/>
  <c r="V446" i="4"/>
  <c r="W446" i="4" s="1" a="1"/>
  <c r="W446" i="4" s="1"/>
  <c r="V970" i="4"/>
  <c r="W970" i="4" s="1" a="1"/>
  <c r="W970" i="4" s="1"/>
  <c r="V664" i="4"/>
  <c r="W664" i="4" s="1" a="1"/>
  <c r="W664" i="4" s="1"/>
  <c r="V163" i="4"/>
  <c r="W163" i="4" s="1" a="1"/>
  <c r="W163" i="4" s="1"/>
  <c r="V580" i="4"/>
  <c r="W580" i="4" s="1" a="1"/>
  <c r="W580" i="4" s="1"/>
  <c r="V140" i="4"/>
  <c r="W140" i="4" s="1" a="1"/>
  <c r="W140" i="4" s="1"/>
  <c r="V711" i="4"/>
  <c r="W711" i="4" s="1" a="1"/>
  <c r="W711" i="4" s="1"/>
  <c r="V940" i="4"/>
  <c r="W940" i="4" s="1" a="1"/>
  <c r="W940" i="4" s="1"/>
  <c r="V941" i="4"/>
  <c r="W941" i="4" s="1" a="1"/>
  <c r="W941" i="4" s="1"/>
  <c r="V716" i="4"/>
  <c r="W716" i="4" s="1" a="1"/>
  <c r="W716" i="4" s="1"/>
  <c r="V270" i="4"/>
  <c r="W270" i="4" s="1" a="1"/>
  <c r="W270" i="4" s="1"/>
  <c r="V18" i="4"/>
  <c r="W18" i="4" s="1" a="1"/>
  <c r="W18" i="4" s="1"/>
  <c r="V56" i="4"/>
  <c r="W56" i="4" s="1" a="1"/>
  <c r="W56" i="4" s="1"/>
  <c r="V141" i="4"/>
  <c r="W141" i="4" s="1" a="1"/>
  <c r="W141" i="4" s="1"/>
  <c r="V706" i="4"/>
  <c r="W706" i="4" s="1" a="1"/>
  <c r="W706" i="4" s="1"/>
  <c r="V436" i="4"/>
  <c r="W436" i="4" s="1" a="1"/>
  <c r="W436" i="4" s="1"/>
  <c r="V778" i="4"/>
  <c r="W778" i="4" s="1" a="1"/>
  <c r="W778" i="4" s="1"/>
  <c r="V911" i="4"/>
  <c r="W911" i="4" s="1" a="1"/>
  <c r="W911" i="4" s="1"/>
  <c r="V497" i="4"/>
  <c r="W497" i="4" s="1" a="1"/>
  <c r="W497" i="4" s="1"/>
  <c r="V855" i="4"/>
  <c r="W855" i="4" s="1" a="1"/>
  <c r="W855" i="4" s="1"/>
  <c r="V322" i="4"/>
  <c r="W322" i="4" s="1" a="1"/>
  <c r="W322" i="4" s="1"/>
  <c r="V367" i="4"/>
  <c r="W367" i="4" s="1" a="1"/>
  <c r="W367" i="4" s="1"/>
  <c r="V713" i="4"/>
  <c r="W713" i="4" s="1" a="1"/>
  <c r="W713" i="4" s="1"/>
  <c r="V876" i="4"/>
  <c r="W876" i="4" s="1" a="1"/>
  <c r="W876" i="4" s="1"/>
  <c r="V376" i="4"/>
  <c r="W376" i="4" s="1" a="1"/>
  <c r="W376" i="4" s="1"/>
  <c r="V462" i="4"/>
  <c r="W462" i="4" s="1" a="1"/>
  <c r="W462" i="4" s="1"/>
  <c r="V772" i="4"/>
  <c r="W772" i="4" s="1" a="1"/>
  <c r="W772" i="4" s="1"/>
  <c r="V232" i="4"/>
  <c r="W232" i="4" s="1" a="1"/>
  <c r="W232" i="4" s="1"/>
  <c r="V444" i="4"/>
  <c r="W444" i="4" s="1" a="1"/>
  <c r="W444" i="4" s="1"/>
  <c r="V550" i="4"/>
  <c r="W550" i="4" s="1" a="1"/>
  <c r="W550" i="4" s="1"/>
  <c r="V852" i="4"/>
  <c r="W852" i="4" s="1" a="1"/>
  <c r="W852" i="4" s="1"/>
  <c r="V403" i="4"/>
  <c r="W403" i="4" s="1" a="1"/>
  <c r="W403" i="4" s="1"/>
  <c r="V222" i="4"/>
  <c r="W222" i="4" s="1" a="1"/>
  <c r="W222" i="4" s="1"/>
  <c r="V315" i="4"/>
  <c r="W315" i="4" s="1" a="1"/>
  <c r="W315" i="4" s="1"/>
  <c r="V829" i="4"/>
  <c r="W829" i="4" s="1" a="1"/>
  <c r="W829" i="4" s="1"/>
  <c r="V962" i="4"/>
  <c r="W962" i="4" s="1" a="1"/>
  <c r="W962" i="4" s="1"/>
  <c r="V142" i="4"/>
  <c r="W142" i="4" s="1" a="1"/>
  <c r="W142" i="4" s="1"/>
  <c r="V143" i="4"/>
  <c r="W143" i="4" s="1" a="1"/>
  <c r="W143" i="4" s="1"/>
  <c r="V423" i="4"/>
  <c r="W423" i="4" s="1" a="1"/>
  <c r="W423" i="4" s="1"/>
  <c r="V853" i="4"/>
  <c r="W853" i="4" s="1" a="1"/>
  <c r="W853" i="4" s="1"/>
  <c r="V735" i="4"/>
  <c r="W735" i="4" s="1" a="1"/>
  <c r="W735" i="4" s="1"/>
  <c r="V175" i="4"/>
  <c r="W175" i="4" s="1" a="1"/>
  <c r="W175" i="4" s="1"/>
  <c r="V144" i="4"/>
  <c r="W144" i="4" s="1" a="1"/>
  <c r="W144" i="4" s="1"/>
  <c r="V511" i="4"/>
  <c r="W511" i="4" s="1" a="1"/>
  <c r="W511" i="4" s="1"/>
  <c r="V395" i="4"/>
  <c r="W395" i="4" s="1" a="1"/>
  <c r="W395" i="4" s="1"/>
  <c r="V783" i="4"/>
  <c r="W783" i="4" s="1" a="1"/>
  <c r="W783" i="4" s="1"/>
  <c r="V637" i="4"/>
  <c r="W637" i="4" s="1" a="1"/>
  <c r="W637" i="4" s="1"/>
  <c r="V669" i="4"/>
  <c r="W669" i="4" s="1" a="1"/>
  <c r="W669" i="4" s="1"/>
  <c r="V872" i="4"/>
  <c r="W872" i="4" s="1" a="1"/>
  <c r="W872" i="4" s="1"/>
  <c r="V972" i="4"/>
  <c r="W972" i="4" s="1" a="1"/>
  <c r="W972" i="4" s="1"/>
  <c r="V191" i="4"/>
  <c r="V683" i="4"/>
  <c r="W683" i="4" s="1" a="1"/>
  <c r="W683" i="4" s="1"/>
  <c r="V145" i="4"/>
  <c r="W145" i="4" s="1" a="1"/>
  <c r="W145" i="4" s="1"/>
  <c r="V259" i="4"/>
  <c r="W259" i="4" s="1" a="1"/>
  <c r="W259" i="4" s="1"/>
  <c r="V936" i="4"/>
  <c r="W936" i="4" s="1" a="1"/>
  <c r="W936" i="4" s="1"/>
  <c r="V558" i="4"/>
  <c r="W558" i="4" s="1" a="1"/>
  <c r="W558" i="4" s="1"/>
  <c r="V267" i="4"/>
  <c r="W267" i="4" s="1" a="1"/>
  <c r="W267" i="4" s="1"/>
  <c r="V601" i="4"/>
  <c r="W601" i="4" s="1" a="1"/>
  <c r="W601" i="4" s="1"/>
  <c r="V476" i="4"/>
  <c r="W476" i="4" s="1" a="1"/>
  <c r="W476" i="4" s="1"/>
  <c r="V310" i="4"/>
  <c r="V7" i="4"/>
  <c r="V912" i="4"/>
  <c r="W912" i="4" s="1" a="1"/>
  <c r="W912" i="4" s="1"/>
  <c r="V539" i="4"/>
  <c r="W539" i="4" s="1" a="1"/>
  <c r="W539" i="4" s="1"/>
  <c r="V967" i="4"/>
  <c r="W967" i="4" s="1" a="1"/>
  <c r="W967" i="4" s="1"/>
  <c r="V791" i="4"/>
  <c r="W791" i="4" s="1" a="1"/>
  <c r="W791" i="4" s="1"/>
  <c r="V666" i="4"/>
  <c r="W666" i="4" s="1" a="1"/>
  <c r="W666" i="4" s="1"/>
  <c r="V330" i="4"/>
  <c r="W330" i="4" s="1" a="1"/>
  <c r="W330" i="4" s="1"/>
  <c r="V146" i="4"/>
  <c r="W146" i="4" s="1" a="1"/>
  <c r="W146" i="4" s="1"/>
  <c r="V413" i="4"/>
  <c r="W413" i="4" s="1" a="1"/>
  <c r="W413" i="4" s="1"/>
  <c r="V147" i="4"/>
  <c r="W147" i="4" s="1" a="1"/>
  <c r="W147" i="4" s="1"/>
  <c r="V696" i="4"/>
  <c r="W696" i="4" s="1" a="1"/>
  <c r="W696" i="4" s="1"/>
  <c r="V394" i="4"/>
  <c r="W394" i="4" s="1" a="1"/>
  <c r="W394" i="4" s="1"/>
  <c r="V793" i="4"/>
  <c r="W793" i="4" s="1" a="1"/>
  <c r="W793" i="4" s="1"/>
  <c r="V234" i="4"/>
  <c r="W234" i="4" s="1" a="1"/>
  <c r="W234" i="4" s="1"/>
  <c r="V384" i="4"/>
  <c r="W384" i="4" s="1" a="1"/>
  <c r="W384" i="4" s="1"/>
  <c r="V196" i="4"/>
  <c r="W196" i="4" s="1" a="1"/>
  <c r="W196" i="4" s="1"/>
  <c r="V32" i="4"/>
  <c r="W32" i="4" s="1" a="1"/>
  <c r="W32" i="4" s="1"/>
  <c r="V456" i="4"/>
  <c r="W456" i="4" s="1" a="1"/>
  <c r="W456" i="4" s="1"/>
  <c r="V508" i="4"/>
  <c r="W508" i="4" s="1" a="1"/>
  <c r="W508" i="4" s="1"/>
  <c r="V832" i="4"/>
  <c r="W832" i="4" s="1" a="1"/>
  <c r="W832" i="4" s="1"/>
  <c r="V738" i="4"/>
  <c r="W738" i="4" s="1" a="1"/>
  <c r="W738" i="4" s="1"/>
  <c r="V745" i="4"/>
  <c r="W745" i="4" s="1" a="1"/>
  <c r="W745" i="4" s="1"/>
  <c r="V159" i="4"/>
  <c r="W159" i="4" s="1" a="1"/>
  <c r="W159" i="4" s="1"/>
  <c r="V630" i="4"/>
  <c r="W630" i="4" s="1" a="1"/>
  <c r="W630" i="4" s="1"/>
  <c r="V929" i="4"/>
  <c r="W929" i="4" s="1" a="1"/>
  <c r="W929" i="4" s="1"/>
  <c r="V605" i="4"/>
  <c r="W605" i="4" s="1" a="1"/>
  <c r="W605" i="4" s="1"/>
  <c r="V954" i="4"/>
  <c r="W954" i="4" s="1" a="1"/>
  <c r="W954" i="4" s="1"/>
  <c r="V959" i="4"/>
  <c r="W959" i="4" s="1" a="1"/>
  <c r="W959" i="4" s="1"/>
  <c r="V392" i="4"/>
  <c r="W392" i="4" s="1" a="1"/>
  <c r="W392" i="4" s="1"/>
  <c r="V230" i="4"/>
  <c r="W230" i="4" s="1" a="1"/>
  <c r="W230" i="4" s="1"/>
  <c r="V209" i="4"/>
  <c r="W209" i="4" s="1" a="1"/>
  <c r="W209" i="4" s="1"/>
  <c r="V148" i="4"/>
  <c r="W148" i="4" s="1" a="1"/>
  <c r="W148" i="4" s="1"/>
  <c r="V299" i="4"/>
  <c r="W299" i="4" s="1" a="1"/>
  <c r="W299" i="4" s="1"/>
  <c r="V869" i="4"/>
  <c r="W869" i="4" s="1" a="1"/>
  <c r="W869" i="4" s="1"/>
  <c r="V34" i="4"/>
  <c r="W34" i="4" s="1" a="1"/>
  <c r="W34" i="4" s="1"/>
  <c r="V25" i="4"/>
  <c r="V810" i="4"/>
  <c r="W810" i="4" s="1" a="1"/>
  <c r="W810" i="4" s="1"/>
  <c r="V180" i="4"/>
  <c r="W180" i="4" s="1" a="1"/>
  <c r="W180" i="4" s="1"/>
  <c r="V295" i="4"/>
  <c r="V302" i="4"/>
  <c r="W302" i="4" s="1" a="1"/>
  <c r="W302" i="4" s="1"/>
  <c r="V396" i="4"/>
  <c r="W396" i="4" s="1" a="1"/>
  <c r="W396" i="4" s="1"/>
  <c r="V219" i="4"/>
  <c r="W219" i="4" s="1" a="1"/>
  <c r="W219" i="4" s="1"/>
  <c r="V197" i="4"/>
  <c r="W197" i="4" s="1" a="1"/>
  <c r="W197" i="4" s="1"/>
  <c r="V787" i="4"/>
  <c r="W787" i="4" s="1" a="1"/>
  <c r="W787" i="4" s="1"/>
  <c r="V828" i="4"/>
  <c r="W828" i="4" s="1" a="1"/>
  <c r="W828" i="4" s="1"/>
  <c r="V149" i="4"/>
  <c r="W149" i="4" s="1" a="1"/>
  <c r="W149" i="4" s="1"/>
  <c r="V150" i="4"/>
  <c r="W150" i="4" s="1" a="1"/>
  <c r="W150" i="4" s="1"/>
  <c r="V830" i="4"/>
  <c r="W830" i="4" s="1" a="1"/>
  <c r="W830" i="4" s="1"/>
  <c r="V151" i="4"/>
  <c r="W151" i="4" s="1" a="1"/>
  <c r="W151" i="4" s="1"/>
  <c r="V540" i="4"/>
  <c r="W540" i="4" s="1" a="1"/>
  <c r="W540" i="4" s="1"/>
  <c r="V20" i="4"/>
  <c r="V888" i="4"/>
  <c r="W888" i="4" s="1" a="1"/>
  <c r="W888" i="4" s="1"/>
  <c r="V977" i="4"/>
  <c r="W977" i="4" s="1" a="1"/>
  <c r="W977" i="4" s="1"/>
  <c r="V530" i="4"/>
  <c r="W530" i="4" s="1" a="1"/>
  <c r="W530" i="4" s="1"/>
  <c r="V870" i="4"/>
  <c r="W870" i="4" s="1" a="1"/>
  <c r="W870" i="4" s="1"/>
  <c r="V372" i="4"/>
  <c r="W372" i="4" s="1" a="1"/>
  <c r="W372" i="4" s="1"/>
  <c r="V673" i="4"/>
  <c r="W673" i="4" s="1" a="1"/>
  <c r="W673" i="4" s="1"/>
  <c r="V815" i="4"/>
  <c r="W815" i="4" s="1" a="1"/>
  <c r="W815" i="4" s="1"/>
  <c r="V253" i="4"/>
  <c r="W253" i="4" s="1" a="1"/>
  <c r="W253" i="4" s="1"/>
  <c r="V590" i="4"/>
  <c r="W590" i="4" s="1" a="1"/>
  <c r="W590" i="4" s="1"/>
  <c r="V287" i="4"/>
  <c r="W287" i="4" s="1" a="1"/>
  <c r="W287" i="4" s="1"/>
  <c r="V152" i="4"/>
  <c r="W152" i="4" s="1" a="1"/>
  <c r="W152" i="4" s="1"/>
  <c r="V453" i="4"/>
  <c r="W453" i="4" s="1" a="1"/>
  <c r="W453" i="4" s="1"/>
  <c r="V169" i="4"/>
  <c r="V859" i="4"/>
  <c r="W859" i="4" s="1" a="1"/>
  <c r="W859" i="4" s="1"/>
  <c r="V185" i="4"/>
  <c r="W185" i="4" s="1" a="1"/>
  <c r="W185" i="4" s="1"/>
  <c r="V597" i="4"/>
  <c r="W597" i="4" s="1" a="1"/>
  <c r="W597" i="4" s="1"/>
  <c r="V261" i="4"/>
  <c r="W261" i="4" s="1" a="1"/>
  <c r="W261" i="4" s="1"/>
  <c r="V562" i="4"/>
  <c r="W562" i="4" s="1" a="1"/>
  <c r="W562" i="4" s="1"/>
  <c r="V297" i="4"/>
  <c r="W297" i="4" s="1" a="1"/>
  <c r="W297" i="4" s="1"/>
  <c r="V153" i="4"/>
  <c r="W153" i="4" s="1" a="1"/>
  <c r="W153" i="4" s="1"/>
  <c r="V636" i="4"/>
  <c r="W636" i="4" s="1" a="1"/>
  <c r="W636" i="4" s="1"/>
  <c r="V406" i="4"/>
  <c r="W406" i="4" s="1" a="1"/>
  <c r="W406" i="4" s="1"/>
  <c r="V568" i="4"/>
  <c r="W568" i="4" s="1" a="1"/>
  <c r="W568" i="4" s="1"/>
  <c r="V332" i="4"/>
  <c r="V37" i="4"/>
  <c r="W37" i="4" s="1" a="1"/>
  <c r="W37" i="4" s="1"/>
  <c r="V836" i="4"/>
  <c r="W836" i="4" s="1" a="1"/>
  <c r="W836" i="4" s="1"/>
  <c r="V717" i="4"/>
  <c r="W717" i="4" s="1" a="1"/>
  <c r="W717" i="4" s="1"/>
  <c r="V275" i="4"/>
  <c r="W275" i="4" s="1" a="1"/>
  <c r="W275" i="4" s="1"/>
  <c r="V490" i="4"/>
  <c r="W490" i="4" s="1" a="1"/>
  <c r="W490" i="4" s="1"/>
  <c r="V825" i="4"/>
  <c r="W825" i="4" s="1" a="1"/>
  <c r="W825" i="4" s="1"/>
  <c r="V327" i="4"/>
  <c r="W327" i="4" s="1" a="1"/>
  <c r="W327" i="4" s="1"/>
  <c r="V383" i="4"/>
  <c r="W383" i="4" s="1" a="1"/>
  <c r="W383" i="4" s="1"/>
  <c r="V549" i="4"/>
  <c r="W549" i="4" s="1" a="1"/>
  <c r="W549" i="4" s="1"/>
  <c r="V324" i="4"/>
  <c r="W324" i="4" s="1" a="1"/>
  <c r="W324" i="4" s="1"/>
  <c r="V761" i="4"/>
  <c r="V840" i="4"/>
  <c r="W840" i="4" s="1" a="1"/>
  <c r="W840" i="4" s="1"/>
  <c r="V202" i="4"/>
  <c r="W202" i="4" s="1" a="1"/>
  <c r="W202" i="4" s="1"/>
  <c r="V682" i="4"/>
  <c r="W682" i="4" s="1" a="1"/>
  <c r="W682" i="4" s="1"/>
  <c r="V29" i="4"/>
  <c r="W29" i="4" s="1" a="1"/>
  <c r="W29" i="4" s="1"/>
  <c r="V957" i="4"/>
  <c r="W957" i="4" s="1" a="1"/>
  <c r="W957" i="4" s="1"/>
  <c r="V930" i="4"/>
  <c r="W930" i="4" s="1" a="1"/>
  <c r="W930" i="4" s="1"/>
  <c r="V649" i="4"/>
  <c r="W649" i="4" s="1" a="1"/>
  <c r="W649" i="4" s="1"/>
  <c r="V618" i="4"/>
  <c r="W618" i="4" s="1" a="1"/>
  <c r="W618" i="4" s="1"/>
  <c r="V607" i="4"/>
  <c r="W607" i="4" s="1" a="1"/>
  <c r="W607" i="4" s="1"/>
  <c r="V313" i="4"/>
  <c r="W313" i="4" s="1" a="1"/>
  <c r="W313" i="4" s="1"/>
  <c r="V573" i="4"/>
  <c r="W573" i="4" s="1" a="1"/>
  <c r="W573" i="4" s="1"/>
  <c r="V167" i="4"/>
  <c r="W167" i="4" s="1" a="1"/>
  <c r="W167" i="4" s="1"/>
  <c r="V643" i="4"/>
  <c r="V764" i="4"/>
  <c r="W764" i="4" s="1" a="1"/>
  <c r="W764" i="4" s="1"/>
  <c r="V353" i="4"/>
  <c r="W353" i="4" s="1" a="1"/>
  <c r="W353" i="4" s="1"/>
  <c r="V264" i="4"/>
  <c r="W264" i="4" s="1" a="1"/>
  <c r="W264" i="4" s="1"/>
  <c r="V26" i="4"/>
  <c r="W26" i="4" s="1" a="1"/>
  <c r="W26" i="4" s="1"/>
  <c r="V915" i="4"/>
  <c r="W915" i="4" s="1" a="1"/>
  <c r="W915" i="4" s="1"/>
  <c r="V301" i="4"/>
  <c r="W301" i="4" s="1" a="1"/>
  <c r="W301" i="4" s="1"/>
  <c r="V418" i="4"/>
  <c r="W418" i="4" s="1" a="1"/>
  <c r="W418" i="4" s="1"/>
  <c r="V576" i="4"/>
  <c r="W576" i="4" s="1" a="1"/>
  <c r="W576" i="4" s="1"/>
  <c r="V566" i="4"/>
  <c r="W566" i="4" s="1" a="1"/>
  <c r="W566" i="4" s="1"/>
  <c r="V721" i="4"/>
  <c r="W721" i="4" s="1" a="1"/>
  <c r="W721" i="4" s="1"/>
  <c r="V351" i="4"/>
  <c r="W351" i="4" s="1" a="1"/>
  <c r="W351" i="4" s="1"/>
  <c r="V154" i="4"/>
  <c r="W154" i="4" s="1" a="1"/>
  <c r="W154" i="4" s="1"/>
  <c r="V155" i="4"/>
  <c r="W155" i="4" s="1" a="1"/>
  <c r="W155" i="4" s="1"/>
  <c r="V272" i="4"/>
  <c r="W272" i="4" s="1" a="1"/>
  <c r="W272" i="4" s="1"/>
  <c r="V161" i="4"/>
  <c r="W161" i="4" s="1" a="1"/>
  <c r="W161" i="4" s="1"/>
  <c r="V382" i="4"/>
  <c r="W382" i="4" s="1" a="1"/>
  <c r="W382" i="4" s="1"/>
  <c r="V890" i="4"/>
  <c r="W890" i="4" s="1" a="1"/>
  <c r="W890" i="4" s="1"/>
  <c r="V352" i="4"/>
  <c r="W352" i="4" s="1" a="1"/>
  <c r="W352" i="4" s="1"/>
  <c r="V354" i="4"/>
  <c r="W354" i="4" s="1" a="1"/>
  <c r="W354" i="4" s="1"/>
  <c r="V463" i="4"/>
  <c r="W463" i="4" s="1" a="1"/>
  <c r="W463" i="4" s="1"/>
  <c r="V342" i="4"/>
  <c r="W342" i="4" s="1" a="1"/>
  <c r="W342" i="4" s="1"/>
  <c r="V443" i="4"/>
  <c r="W443" i="4" s="1" a="1"/>
  <c r="W443" i="4" s="1"/>
  <c r="V662" i="4"/>
  <c r="W662" i="4" s="1" a="1"/>
  <c r="W662" i="4" s="1"/>
  <c r="V769" i="4"/>
  <c r="W769" i="4" s="1" a="1"/>
  <c r="W769" i="4" s="1"/>
  <c r="V816" i="4"/>
  <c r="W816" i="4" s="1" a="1"/>
  <c r="W816" i="4" s="1"/>
  <c r="W985" i="4" a="1"/>
  <c r="W985" i="4" s="1"/>
  <c r="W687" i="4" a="1"/>
  <c r="W687" i="4" s="1"/>
  <c r="W796" i="4" a="1"/>
  <c r="W796" i="4" s="1"/>
  <c r="W659" i="4" a="1"/>
  <c r="W659" i="4" s="1"/>
  <c r="E2" i="5"/>
  <c r="W2" i="2" a="1"/>
  <c r="W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W332" i="4" l="1" a="1"/>
  <c r="W332" i="4" s="1"/>
  <c r="W643" i="4" a="1"/>
  <c r="W643" i="4" s="1"/>
  <c r="W20" i="4" a="1"/>
  <c r="W20" i="4" s="1"/>
  <c r="W295" i="4" a="1"/>
  <c r="W295" i="4" s="1"/>
  <c r="W191" i="4" a="1"/>
  <c r="W191" i="4" s="1"/>
  <c r="W139" i="4" a="1"/>
  <c r="W139" i="4" s="1"/>
  <c r="W592" i="4" a="1"/>
  <c r="W592" i="4" s="1"/>
  <c r="W545" i="4" a="1"/>
  <c r="W545" i="4" s="1"/>
  <c r="W130" i="4" a="1"/>
  <c r="W130" i="4" s="1"/>
  <c r="W408" i="4" a="1"/>
  <c r="W408" i="4" s="1"/>
  <c r="W233" i="4" a="1"/>
  <c r="W233" i="4" s="1"/>
  <c r="W891" i="4" a="1"/>
  <c r="W891" i="4" s="1"/>
  <c r="W83" i="4" a="1"/>
  <c r="W83" i="4" s="1"/>
  <c r="W76" i="4" a="1"/>
  <c r="W76" i="4" s="1"/>
  <c r="W385" i="4" a="1"/>
  <c r="W385" i="4" s="1"/>
  <c r="W280" i="4" a="1"/>
  <c r="W280" i="4" s="1"/>
  <c r="X396" i="4"/>
  <c r="X305" i="4"/>
  <c r="X194" i="4"/>
  <c r="X648" i="4"/>
  <c r="X750" i="4"/>
  <c r="X253" i="4"/>
  <c r="X486" i="4"/>
  <c r="X625" i="4"/>
  <c r="X521" i="4"/>
  <c r="X687" i="4"/>
  <c r="X499" i="4"/>
  <c r="X257" i="4"/>
  <c r="X727" i="4"/>
  <c r="X392" i="4"/>
  <c r="W22" i="4" a="1"/>
  <c r="W22" i="4" s="1"/>
  <c r="X872" i="4"/>
  <c r="W25" i="4" a="1"/>
  <c r="W25" i="4" s="1"/>
  <c r="W8" i="4" a="1"/>
  <c r="W8" i="4" s="1"/>
  <c r="X641" i="4"/>
  <c r="X187" i="4"/>
  <c r="X920" i="4"/>
  <c r="X381" i="4"/>
  <c r="W121" i="4" a="1"/>
  <c r="W121" i="4" s="1"/>
  <c r="W449" i="4" a="1"/>
  <c r="W449" i="4" s="1"/>
  <c r="X27" i="4"/>
  <c r="W761" i="4" a="1"/>
  <c r="W761" i="4" s="1"/>
  <c r="W210" i="4" a="1"/>
  <c r="W210" i="4" s="1"/>
  <c r="W70" i="4" a="1"/>
  <c r="W70" i="4" s="1"/>
  <c r="X181" i="4"/>
  <c r="W7" i="4" a="1"/>
  <c r="W7" i="4" s="1"/>
  <c r="W454" i="4" a="1"/>
  <c r="W454" i="4" s="1"/>
  <c r="X783" i="4"/>
  <c r="W561" i="4" a="1"/>
  <c r="W561" i="4" s="1"/>
  <c r="X707" i="4"/>
  <c r="W169" i="4" a="1"/>
  <c r="W169" i="4" s="1"/>
  <c r="W39" i="4" a="1"/>
  <c r="W39" i="4" s="1"/>
  <c r="X503" i="4"/>
  <c r="W122" i="4" a="1"/>
  <c r="W122" i="4" s="1"/>
  <c r="W523" i="4" a="1"/>
  <c r="W523" i="4" s="1"/>
  <c r="X26" i="4"/>
  <c r="W310" i="4" a="1"/>
  <c r="W310" i="4" s="1"/>
  <c r="W218" i="4" a="1"/>
  <c r="W218" i="4" s="1"/>
  <c r="W300" i="4" a="1"/>
  <c r="W300" i="4" s="1"/>
  <c r="X511" i="4"/>
  <c r="X815" i="4"/>
  <c r="W543" i="4" a="1"/>
  <c r="W543" i="4" s="1"/>
  <c r="X978" i="4"/>
  <c r="W976" i="4" a="1"/>
  <c r="W976" i="4" s="1"/>
  <c r="W42" i="4" a="1"/>
  <c r="W42" i="4" s="1"/>
  <c r="X443" i="4"/>
  <c r="X896" i="4"/>
  <c r="X803" i="4"/>
  <c r="X59" i="4"/>
  <c r="X131" i="4"/>
  <c r="X634" i="4"/>
  <c r="X623" i="4"/>
  <c r="X724" i="4"/>
  <c r="X869" i="4"/>
  <c r="X208" i="4"/>
  <c r="X79" i="4"/>
  <c r="X708" i="4"/>
  <c r="X98" i="4"/>
  <c r="X958" i="4"/>
  <c r="X717" i="4"/>
  <c r="X901" i="4"/>
  <c r="X568" i="4"/>
  <c r="X52" i="4"/>
  <c r="X209" i="4"/>
  <c r="X126" i="4"/>
  <c r="X78" i="4"/>
  <c r="X51" i="4"/>
  <c r="X291" i="4"/>
  <c r="X408" i="4"/>
  <c r="X256" i="4"/>
  <c r="X753" i="4"/>
  <c r="X953" i="4"/>
  <c r="X444" i="4"/>
  <c r="X768" i="4"/>
  <c r="X355" i="4"/>
  <c r="X802" i="4"/>
  <c r="X714" i="4"/>
  <c r="X170" i="4"/>
  <c r="X483" i="4"/>
  <c r="X733" i="4"/>
  <c r="X513" i="4"/>
  <c r="X92" i="4"/>
  <c r="X528" i="4"/>
  <c r="X461" i="4"/>
  <c r="X481" i="4"/>
  <c r="X327" i="4"/>
  <c r="X979" i="4"/>
  <c r="X115" i="4"/>
  <c r="X390" i="4"/>
  <c r="X248" i="4"/>
  <c r="X580" i="4"/>
  <c r="X7" i="4"/>
  <c r="X144" i="4"/>
  <c r="X788" i="4"/>
  <c r="X398" i="4"/>
  <c r="X983" i="4"/>
  <c r="X437" i="4"/>
  <c r="X32" i="4"/>
  <c r="X152" i="4"/>
  <c r="X876" i="4"/>
  <c r="X743" i="4"/>
  <c r="X123" i="4"/>
  <c r="X110" i="4"/>
  <c r="X415" i="4"/>
  <c r="X496" i="4"/>
  <c r="X31" i="4"/>
  <c r="X881" i="4"/>
  <c r="X322" i="4"/>
  <c r="X808" i="4"/>
  <c r="X586" i="4"/>
  <c r="X128" i="4"/>
  <c r="X217" i="4"/>
  <c r="X283" i="4"/>
  <c r="X109" i="4"/>
  <c r="X102" i="4"/>
  <c r="X531" i="4"/>
  <c r="X878" i="4"/>
  <c r="X538" i="4"/>
  <c r="X157" i="4"/>
  <c r="X338" i="4"/>
  <c r="X2" i="4"/>
  <c r="X316" i="4"/>
  <c r="X637" i="4"/>
  <c r="X306" i="4"/>
  <c r="X238" i="4"/>
  <c r="X495" i="4"/>
  <c r="X847" i="4"/>
  <c r="X204" i="4"/>
  <c r="X287" i="4"/>
  <c r="X596" i="4"/>
  <c r="X171" i="4"/>
  <c r="X114" i="4"/>
  <c r="X910" i="4"/>
  <c r="X404" i="4"/>
  <c r="X50" i="4"/>
  <c r="X885" i="4"/>
  <c r="X453" i="4"/>
  <c r="X232" i="4"/>
  <c r="X223" i="4"/>
  <c r="X120" i="4"/>
  <c r="X610" i="4"/>
  <c r="X824" i="4"/>
  <c r="X350" i="4"/>
  <c r="X617" i="4"/>
  <c r="X502" i="4"/>
  <c r="X643" i="4"/>
  <c r="X932" i="4"/>
  <c r="X747" i="4"/>
  <c r="X367" i="4"/>
  <c r="X554" i="4"/>
  <c r="X533" i="4"/>
  <c r="X313" i="4"/>
  <c r="X967" i="4"/>
  <c r="X855" i="4"/>
  <c r="X137" i="4"/>
  <c r="X577" i="4"/>
  <c r="X290" i="4"/>
  <c r="X921" i="4"/>
  <c r="X485" i="4"/>
  <c r="X298" i="4"/>
  <c r="X924" i="4"/>
  <c r="X535" i="4"/>
  <c r="X756" i="4"/>
  <c r="X498" i="4"/>
  <c r="X265" i="4"/>
  <c r="X547" i="4"/>
  <c r="X600" i="4"/>
  <c r="X479" i="4"/>
  <c r="X906" i="4"/>
  <c r="X605" i="4"/>
  <c r="X329" i="4"/>
  <c r="X218" i="4"/>
  <c r="X960" i="4"/>
  <c r="X425" i="4"/>
  <c r="X310" i="4"/>
  <c r="X929" i="4"/>
  <c r="X631" i="4"/>
  <c r="X656" i="4"/>
  <c r="X793" i="4"/>
  <c r="X512" i="4"/>
  <c r="X405" i="4"/>
  <c r="X817" i="4"/>
  <c r="X183" i="4"/>
  <c r="X565" i="4"/>
  <c r="X65" i="4"/>
  <c r="X681" i="4"/>
  <c r="X887" i="4"/>
  <c r="X429" i="4"/>
  <c r="X673" i="4"/>
  <c r="X607" i="4"/>
  <c r="X539" i="4"/>
  <c r="X911" i="4"/>
  <c r="X699" i="4"/>
  <c r="X947" i="4"/>
  <c r="X866" i="4"/>
  <c r="X168" i="4"/>
  <c r="X117" i="4"/>
  <c r="X108" i="4"/>
  <c r="X522" i="4"/>
  <c r="X333" i="4"/>
  <c r="X228" i="4"/>
  <c r="X667" i="4"/>
  <c r="X258" i="4"/>
  <c r="X741" i="4"/>
  <c r="X336" i="4"/>
  <c r="X267" i="4"/>
  <c r="X348" i="4"/>
  <c r="X280" i="4"/>
  <c r="X757" i="4"/>
  <c r="X663" i="4"/>
  <c r="X791" i="4"/>
  <c r="X848" i="4"/>
  <c r="X604" i="4"/>
  <c r="X951" i="4"/>
  <c r="X421" i="4"/>
  <c r="X775" i="4"/>
  <c r="X274" i="4"/>
  <c r="X275" i="4"/>
  <c r="X161" i="4"/>
  <c r="X570" i="4"/>
  <c r="X21" i="4"/>
  <c r="X23" i="4"/>
  <c r="X918" i="4"/>
  <c r="X245" i="4"/>
  <c r="X375" i="4"/>
  <c r="X304" i="4"/>
  <c r="X837" i="4"/>
  <c r="X356" i="4"/>
  <c r="X276" i="4"/>
  <c r="X412" i="4"/>
  <c r="X38" i="4"/>
  <c r="X598" i="4"/>
  <c r="X805" i="4"/>
  <c r="X716" i="4"/>
  <c r="X296" i="4"/>
  <c r="X376" i="4"/>
  <c r="X48" i="4"/>
  <c r="X211" i="4"/>
  <c r="X442" i="4"/>
  <c r="X212" i="4"/>
  <c r="X268" i="4"/>
  <c r="X323" i="4"/>
  <c r="X597" i="4"/>
  <c r="X816" i="4"/>
  <c r="X63" i="4"/>
  <c r="X819" i="4"/>
  <c r="X507" i="4"/>
  <c r="X868" i="4"/>
  <c r="X200" i="4"/>
  <c r="X595" i="4"/>
  <c r="X73" i="4"/>
  <c r="X784" i="4"/>
  <c r="X794" i="4"/>
  <c r="X763" i="4"/>
  <c r="X288" i="4"/>
  <c r="X77" i="4"/>
  <c r="X364" i="4"/>
  <c r="X773" i="4"/>
  <c r="X916" i="4"/>
  <c r="X84" i="4"/>
  <c r="X728" i="4"/>
  <c r="X938" i="4"/>
  <c r="X559" i="4"/>
  <c r="X965" i="4"/>
  <c r="X963" i="4"/>
  <c r="X387" i="4"/>
  <c r="X900" i="4"/>
  <c r="X13" i="4"/>
  <c r="X758" i="4"/>
  <c r="X373" i="4"/>
  <c r="X207" i="4"/>
  <c r="X22" i="4"/>
  <c r="X378" i="4"/>
  <c r="X259" i="4"/>
  <c r="X325" i="4"/>
  <c r="X352" i="4"/>
  <c r="X158" i="4"/>
  <c r="X865" i="4"/>
  <c r="X915" i="4"/>
  <c r="X377" i="4"/>
  <c r="X273" i="4"/>
  <c r="X619" i="4"/>
  <c r="X721" i="4"/>
  <c r="X527" i="4"/>
  <c r="X582" i="4"/>
  <c r="X39" i="4"/>
  <c r="X44" i="4"/>
  <c r="X49" i="4"/>
  <c r="X337" i="4"/>
  <c r="X53" i="4"/>
  <c r="X55" i="4"/>
  <c r="X812" i="4"/>
  <c r="X949" i="4"/>
  <c r="X693" i="4"/>
  <c r="X945" i="4"/>
  <c r="X738" i="4"/>
  <c r="X589" i="4"/>
  <c r="X465" i="4"/>
  <c r="X542" i="4"/>
  <c r="X439" i="4"/>
  <c r="X420" i="4"/>
  <c r="X672" i="4"/>
  <c r="X835" i="4"/>
  <c r="X702" i="4"/>
  <c r="X613" i="4"/>
  <c r="X692" i="4"/>
  <c r="X344" i="4"/>
  <c r="X854" i="4"/>
  <c r="X80" i="4"/>
  <c r="X922" i="4"/>
  <c r="X675" i="4"/>
  <c r="X473" i="4"/>
  <c r="X884" i="4"/>
  <c r="X182" i="4"/>
  <c r="X839" i="4"/>
  <c r="X96" i="4"/>
  <c r="X792" i="4"/>
  <c r="X457" i="4"/>
  <c r="X101" i="4"/>
  <c r="X277" i="4"/>
  <c r="X822" i="4"/>
  <c r="X331" i="4"/>
  <c r="X964" i="4"/>
  <c r="X240" i="4"/>
  <c r="X118" i="4"/>
  <c r="X300" i="4"/>
  <c r="X845" i="4"/>
  <c r="X944" i="4"/>
  <c r="X309" i="4"/>
  <c r="X751" i="4"/>
  <c r="X561" i="4"/>
  <c r="X3" i="4"/>
  <c r="X470" i="4"/>
  <c r="X10" i="4"/>
  <c r="X797" i="4"/>
  <c r="X16" i="4"/>
  <c r="X284" i="4"/>
  <c r="X19" i="4"/>
  <c r="X745" i="4"/>
  <c r="X266" i="4"/>
  <c r="X190" i="4"/>
  <c r="X615" i="4"/>
  <c r="X426" i="4"/>
  <c r="X466" i="4"/>
  <c r="X189" i="4"/>
  <c r="X30" i="4"/>
  <c r="X33" i="4"/>
  <c r="X424" i="4"/>
  <c r="X244" i="4"/>
  <c r="X894" i="4"/>
  <c r="X434" i="4"/>
  <c r="X759" i="4"/>
  <c r="X40" i="4"/>
  <c r="X363" i="4"/>
  <c r="X642" i="4"/>
  <c r="X478" i="4"/>
  <c r="X482" i="4"/>
  <c r="X890" i="4"/>
  <c r="X889" i="4"/>
  <c r="X393" i="4"/>
  <c r="X726" i="4"/>
  <c r="X286" i="4"/>
  <c r="X576" i="4"/>
  <c r="X386" i="4"/>
  <c r="X70" i="4"/>
  <c r="X620" i="4"/>
  <c r="X379" i="4"/>
  <c r="X72" i="4"/>
  <c r="X198" i="4"/>
  <c r="X849" i="4"/>
  <c r="X846" i="4"/>
  <c r="X691" i="4"/>
  <c r="X925" i="4"/>
  <c r="X731" i="4"/>
  <c r="X612" i="4"/>
  <c r="X934" i="4"/>
  <c r="X515" i="4"/>
  <c r="X602" i="4"/>
  <c r="X927" i="4"/>
  <c r="X543" i="4"/>
  <c r="X90" i="4"/>
  <c r="X671" i="4"/>
  <c r="X487" i="4"/>
  <c r="X591" i="4"/>
  <c r="X99" i="4"/>
  <c r="X484" i="4"/>
  <c r="X739" i="4"/>
  <c r="X674" i="4"/>
  <c r="X233" i="4"/>
  <c r="X720" i="4"/>
  <c r="X4" i="4"/>
  <c r="X8" i="4"/>
  <c r="X863" i="4"/>
  <c r="X705" i="4"/>
  <c r="X776" i="4"/>
  <c r="X237" i="4"/>
  <c r="X905" i="4"/>
  <c r="X827" i="4"/>
  <c r="X873" i="4"/>
  <c r="X308" i="4"/>
  <c r="X328" i="4"/>
  <c r="X858" i="4"/>
  <c r="X628" i="4"/>
  <c r="X215" i="4"/>
  <c r="X224" i="4"/>
  <c r="X34" i="4"/>
  <c r="X36" i="4"/>
  <c r="X566" i="4"/>
  <c r="X427" i="4"/>
  <c r="X455" i="4"/>
  <c r="X380" i="4"/>
  <c r="X41" i="4"/>
  <c r="X555" i="4"/>
  <c r="X684" i="4"/>
  <c r="X765" i="4"/>
  <c r="X180" i="4"/>
  <c r="X491" i="4"/>
  <c r="X767" i="4"/>
  <c r="X58" i="4"/>
  <c r="X360" i="4"/>
  <c r="X62" i="4"/>
  <c r="X64" i="4"/>
  <c r="X688" i="4"/>
  <c r="X335" i="4"/>
  <c r="X661" i="4"/>
  <c r="X698" i="4"/>
  <c r="X818" i="4"/>
  <c r="X416" i="4"/>
  <c r="X685" i="4"/>
  <c r="X260" i="4"/>
  <c r="X842" i="4"/>
  <c r="X593" i="4"/>
  <c r="X701" i="4"/>
  <c r="X704" i="4"/>
  <c r="X871" i="4"/>
  <c r="X655" i="4"/>
  <c r="X279" i="4"/>
  <c r="X799" i="4"/>
  <c r="X88" i="4"/>
  <c r="X923" i="4"/>
  <c r="X931" i="4"/>
  <c r="X506" i="4"/>
  <c r="X742" i="4"/>
  <c r="X581" i="4"/>
  <c r="X730" i="4"/>
  <c r="X633" i="4"/>
  <c r="X105" i="4"/>
  <c r="X782" i="4"/>
  <c r="X860" i="4"/>
  <c r="X307" i="4"/>
  <c r="X119" i="4"/>
  <c r="X199" i="4"/>
  <c r="X904" i="4"/>
  <c r="X606" i="4"/>
  <c r="X647" i="4"/>
  <c r="X556" i="4"/>
  <c r="X130" i="4"/>
  <c r="X362" i="4"/>
  <c r="X186" i="4"/>
  <c r="X188" i="4"/>
  <c r="X609" i="4"/>
  <c r="X139" i="4"/>
  <c r="X940" i="4"/>
  <c r="X852" i="4"/>
  <c r="X972" i="4"/>
  <c r="X330" i="4"/>
  <c r="X959" i="4"/>
  <c r="X830" i="4"/>
  <c r="X261" i="4"/>
  <c r="X840" i="4"/>
  <c r="X301" i="4"/>
  <c r="X583" i="4"/>
  <c r="X771" i="4"/>
  <c r="X464" i="4"/>
  <c r="X651" i="4"/>
  <c r="X395" i="4"/>
  <c r="X216" i="4"/>
  <c r="X820" i="4"/>
  <c r="X250" i="4"/>
  <c r="X650" i="4"/>
  <c r="X510" i="4"/>
  <c r="X898" i="4"/>
  <c r="X195" i="4"/>
  <c r="X540" i="4"/>
  <c r="X696" i="4"/>
  <c r="X448" i="4"/>
  <c r="X254" i="4"/>
  <c r="X432" i="4"/>
  <c r="X525" i="4"/>
  <c r="X319" i="4"/>
  <c r="X430" i="4"/>
  <c r="X201" i="4"/>
  <c r="X462" i="4"/>
  <c r="X264" i="4"/>
  <c r="X159" i="4"/>
  <c r="X272" i="4"/>
  <c r="X372" i="4"/>
  <c r="X735" i="4"/>
  <c r="X537" i="4"/>
  <c r="X332" i="4"/>
  <c r="X60" i="4"/>
  <c r="X524" i="4"/>
  <c r="X177" i="4"/>
  <c r="X629" i="4"/>
  <c r="X334" i="4"/>
  <c r="X371" i="4"/>
  <c r="X574" i="4"/>
  <c r="X902" i="4"/>
  <c r="X755" i="4"/>
  <c r="X75" i="4"/>
  <c r="X864" i="4"/>
  <c r="X417" i="4"/>
  <c r="X162" i="4"/>
  <c r="X400" i="4"/>
  <c r="X452" i="4"/>
  <c r="X520" i="4"/>
  <c r="X494" i="4"/>
  <c r="X966" i="4"/>
  <c r="X311" i="4"/>
  <c r="X892" i="4"/>
  <c r="X174" i="4"/>
  <c r="X660" i="4"/>
  <c r="X732" i="4"/>
  <c r="X744" i="4"/>
  <c r="X359" i="4"/>
  <c r="X984" i="4"/>
  <c r="X225" i="4"/>
  <c r="X969" i="4"/>
  <c r="X361" i="4"/>
  <c r="X826" i="4"/>
  <c r="X112" i="4"/>
  <c r="X560" i="4"/>
  <c r="X943" i="4"/>
  <c r="X340" i="4"/>
  <c r="X227" i="4"/>
  <c r="X749" i="4"/>
  <c r="X236" i="4"/>
  <c r="X469" i="4"/>
  <c r="X973" i="4"/>
  <c r="X680" i="4"/>
  <c r="X536" i="4"/>
  <c r="X544" i="4"/>
  <c r="X411" i="4"/>
  <c r="X251" i="4"/>
  <c r="X706" i="4"/>
  <c r="X142" i="4"/>
  <c r="X145" i="4"/>
  <c r="X394" i="4"/>
  <c r="X148" i="4"/>
  <c r="X530" i="4"/>
  <c r="X153" i="4"/>
  <c r="X957" i="4"/>
  <c r="X154" i="4"/>
  <c r="X828" i="4"/>
  <c r="X764" i="4"/>
  <c r="X11" i="4"/>
  <c r="X746" i="4"/>
  <c r="X302" i="4"/>
  <c r="X221" i="4"/>
  <c r="X659" i="4"/>
  <c r="X210" i="4"/>
  <c r="X184" i="4"/>
  <c r="X664" i="4"/>
  <c r="X475" i="4"/>
  <c r="X532" i="4"/>
  <c r="X213" i="4"/>
  <c r="X42" i="4"/>
  <c r="X676" i="4"/>
  <c r="X907" i="4"/>
  <c r="X621" i="4"/>
  <c r="X686" i="4"/>
  <c r="X480" i="4"/>
  <c r="X391" i="4"/>
  <c r="X914" i="4"/>
  <c r="X703" i="4"/>
  <c r="X281" i="4"/>
  <c r="X501" i="4"/>
  <c r="X585" i="4"/>
  <c r="X652" i="4"/>
  <c r="X624" i="4"/>
  <c r="X919" i="4"/>
  <c r="X86" i="4"/>
  <c r="X770" i="4"/>
  <c r="X93" i="4"/>
  <c r="X644" i="4"/>
  <c r="X529" i="4"/>
  <c r="X271" i="4"/>
  <c r="X106" i="4"/>
  <c r="X928" i="4"/>
  <c r="X247" i="4"/>
  <c r="X917" i="4"/>
  <c r="X564" i="4"/>
  <c r="X614" i="4"/>
  <c r="X893" i="4"/>
  <c r="X474" i="4"/>
  <c r="X722" i="4"/>
  <c r="X813" i="4"/>
  <c r="X752" i="4"/>
  <c r="X489" i="4"/>
  <c r="X163" i="4"/>
  <c r="X550" i="4"/>
  <c r="X683" i="4"/>
  <c r="X234" i="4"/>
  <c r="X219" i="4"/>
  <c r="X169" i="4"/>
  <c r="X761" i="4"/>
  <c r="X351" i="4"/>
  <c r="X203" i="4"/>
  <c r="X658" i="4"/>
  <c r="X774" i="4"/>
  <c r="X175" i="4"/>
  <c r="X151" i="4"/>
  <c r="X618" i="4"/>
  <c r="X662" i="4"/>
  <c r="X823" i="4"/>
  <c r="X836" i="4"/>
  <c r="X422" i="4"/>
  <c r="X877" i="4"/>
  <c r="X867" i="4"/>
  <c r="X804" i="4"/>
  <c r="X441" i="4"/>
  <c r="X843" i="4"/>
  <c r="X12" i="4"/>
  <c r="X946" i="4"/>
  <c r="X516" i="4"/>
  <c r="X563" i="4"/>
  <c r="X811" i="4"/>
  <c r="X505" i="4"/>
  <c r="X29" i="4"/>
  <c r="X635" i="4"/>
  <c r="X578" i="4"/>
  <c r="X779" i="4"/>
  <c r="X897" i="4"/>
  <c r="X43" i="4"/>
  <c r="X497" i="4"/>
  <c r="X517" i="4"/>
  <c r="X176" i="4"/>
  <c r="X493" i="4"/>
  <c r="X974" i="4"/>
  <c r="X831" i="4"/>
  <c r="X599" i="4"/>
  <c r="X899" i="4"/>
  <c r="X569" i="4"/>
  <c r="X882" i="4"/>
  <c r="X252" i="4"/>
  <c r="X723" i="4"/>
  <c r="X156" i="4"/>
  <c r="X942" i="4"/>
  <c r="X622" i="4"/>
  <c r="X91" i="4"/>
  <c r="X94" i="4"/>
  <c r="X345" i="4"/>
  <c r="X509" i="4"/>
  <c r="X103" i="4"/>
  <c r="X165" i="4"/>
  <c r="X638" i="4"/>
  <c r="X748" i="4"/>
  <c r="X809" i="4"/>
  <c r="X695" i="4"/>
  <c r="X278" i="4"/>
  <c r="X518" i="4"/>
  <c r="X178" i="4"/>
  <c r="X834" i="4"/>
  <c r="X134" i="4"/>
  <c r="X734" i="4"/>
  <c r="X838" i="4"/>
  <c r="X140" i="4"/>
  <c r="X829" i="4"/>
  <c r="X936" i="4"/>
  <c r="X384" i="4"/>
  <c r="X197" i="4"/>
  <c r="X859" i="4"/>
  <c r="X202" i="4"/>
  <c r="X155" i="4"/>
  <c r="X85" i="4"/>
  <c r="X594" i="4"/>
  <c r="X125" i="4"/>
  <c r="X632" i="4"/>
  <c r="X985" i="4"/>
  <c r="X9" i="4"/>
  <c r="X339" i="4"/>
  <c r="X737" i="4"/>
  <c r="X20" i="4"/>
  <c r="X24" i="4"/>
  <c r="X230" i="4"/>
  <c r="X341" i="4"/>
  <c r="X954" i="4"/>
  <c r="X353" i="4"/>
  <c r="X982" i="4"/>
  <c r="X354" i="4"/>
  <c r="X713" i="4"/>
  <c r="X226" i="4"/>
  <c r="X851" i="4"/>
  <c r="X54" i="4"/>
  <c r="X357" i="4"/>
  <c r="X841" i="4"/>
  <c r="X926" i="4"/>
  <c r="X68" i="4"/>
  <c r="X762" i="4"/>
  <c r="X821" i="4"/>
  <c r="X74" i="4"/>
  <c r="X467" i="4"/>
  <c r="X534" i="4"/>
  <c r="X639" i="4"/>
  <c r="X81" i="4"/>
  <c r="X833" i="4"/>
  <c r="X87" i="4"/>
  <c r="X282" i="4"/>
  <c r="X640" i="4"/>
  <c r="X579" i="4"/>
  <c r="X100" i="4"/>
  <c r="X552" i="4"/>
  <c r="X229" i="4"/>
  <c r="X262" i="4"/>
  <c r="X235" i="4"/>
  <c r="X980" i="4"/>
  <c r="X263" i="4"/>
  <c r="X347" i="4"/>
  <c r="X679" i="4"/>
  <c r="X801" i="4"/>
  <c r="X132" i="4"/>
  <c r="X407" i="4"/>
  <c r="X694" i="4"/>
  <c r="X138" i="4"/>
  <c r="X711" i="4"/>
  <c r="X962" i="4"/>
  <c r="X558" i="4"/>
  <c r="X456" i="4"/>
  <c r="X787" i="4"/>
  <c r="X185" i="4"/>
  <c r="X682" i="4"/>
  <c r="X382" i="4"/>
  <c r="X888" i="4"/>
  <c r="X709" i="4"/>
  <c r="X433" i="4"/>
  <c r="X445" i="4"/>
  <c r="X772" i="4"/>
  <c r="X908" i="4"/>
  <c r="X697" i="4"/>
  <c r="X798" i="4"/>
  <c r="X61" i="4"/>
  <c r="X385" i="4"/>
  <c r="X800" i="4"/>
  <c r="X289" i="4"/>
  <c r="X504" i="4"/>
  <c r="X857" i="4"/>
  <c r="X875" i="4"/>
  <c r="X239" i="4"/>
  <c r="X778" i="4"/>
  <c r="X630" i="4"/>
  <c r="X410" i="4"/>
  <c r="X654" i="4"/>
  <c r="X587" i="4"/>
  <c r="X369" i="4"/>
  <c r="X790" i="4"/>
  <c r="X950" i="4"/>
  <c r="X572" i="4"/>
  <c r="X321" i="4"/>
  <c r="X766" i="4"/>
  <c r="X449" i="4"/>
  <c r="X14" i="4"/>
  <c r="X670" i="4"/>
  <c r="X414" i="4"/>
  <c r="X941" i="4"/>
  <c r="X388" i="4"/>
  <c r="X324" i="4"/>
  <c r="X454" i="4"/>
  <c r="X459" i="4"/>
  <c r="X37" i="4"/>
  <c r="X383" i="4"/>
  <c r="X164" i="4"/>
  <c r="X971" i="4"/>
  <c r="X205" i="4"/>
  <c r="X719" i="4"/>
  <c r="X242" i="4"/>
  <c r="X269" i="4"/>
  <c r="X435" i="4"/>
  <c r="X69" i="4"/>
  <c r="X409" i="4"/>
  <c r="X514" i="4"/>
  <c r="X626" i="4"/>
  <c r="X458" i="4"/>
  <c r="X814" i="4"/>
  <c r="X492" i="4"/>
  <c r="X861" i="4"/>
  <c r="X365" i="4"/>
  <c r="X241" i="4"/>
  <c r="X956" i="4"/>
  <c r="X95" i="4"/>
  <c r="X795" i="4"/>
  <c r="X611" i="4"/>
  <c r="X616" i="4"/>
  <c r="X725" i="4"/>
  <c r="X689" i="4"/>
  <c r="X575" i="4"/>
  <c r="X780" i="4"/>
  <c r="X122" i="4"/>
  <c r="X903" i="4"/>
  <c r="X646" i="4"/>
  <c r="X754" i="4"/>
  <c r="X545" i="4"/>
  <c r="X895" i="4"/>
  <c r="X135" i="4"/>
  <c r="X627" i="4"/>
  <c r="X270" i="4"/>
  <c r="X143" i="4"/>
  <c r="X601" i="4"/>
  <c r="X508" i="4"/>
  <c r="X149" i="4"/>
  <c r="X562" i="4"/>
  <c r="X930" i="4"/>
  <c r="X463" i="4"/>
  <c r="X700" i="4"/>
  <c r="X35" i="4"/>
  <c r="X423" i="4"/>
  <c r="X292" i="4"/>
  <c r="X172" i="4"/>
  <c r="X83" i="4"/>
  <c r="X192" i="4"/>
  <c r="X107" i="4"/>
  <c r="X116" i="4"/>
  <c r="X541" i="4"/>
  <c r="X777" i="4"/>
  <c r="X912" i="4"/>
  <c r="X636" i="4"/>
  <c r="X15" i="4"/>
  <c r="X25" i="4"/>
  <c r="X358" i="4"/>
  <c r="X57" i="4"/>
  <c r="X567" i="4"/>
  <c r="X413" i="4"/>
  <c r="X314" i="4"/>
  <c r="X196" i="4"/>
  <c r="X17" i="4"/>
  <c r="X806" i="4"/>
  <c r="X935" i="4"/>
  <c r="X255" i="4"/>
  <c r="X769" i="4"/>
  <c r="X166" i="4"/>
  <c r="X370" i="4"/>
  <c r="X293" i="4"/>
  <c r="X948" i="4"/>
  <c r="X220" i="4"/>
  <c r="X45" i="4"/>
  <c r="X981" i="4"/>
  <c r="X551" i="4"/>
  <c r="X913" i="4"/>
  <c r="X315" i="4"/>
  <c r="X349" i="4"/>
  <c r="X690" i="4"/>
  <c r="X653" i="4"/>
  <c r="X500" i="4"/>
  <c r="X401" i="4"/>
  <c r="X645" i="4"/>
  <c r="X451" i="4"/>
  <c r="X856" i="4"/>
  <c r="X82" i="4"/>
  <c r="X786" i="4"/>
  <c r="X312" i="4"/>
  <c r="X678" i="4"/>
  <c r="X571" i="4"/>
  <c r="X97" i="4"/>
  <c r="X608" i="4"/>
  <c r="X104" i="4"/>
  <c r="X523" i="4"/>
  <c r="X113" i="4"/>
  <c r="X471" i="4"/>
  <c r="X785" i="4"/>
  <c r="X760" i="4"/>
  <c r="X886" i="4"/>
  <c r="X127" i="4"/>
  <c r="X460" i="4"/>
  <c r="X193" i="4"/>
  <c r="X553" i="4"/>
  <c r="X136" i="4"/>
  <c r="X668" i="4"/>
  <c r="X141" i="4"/>
  <c r="X853" i="4"/>
  <c r="X476" i="4"/>
  <c r="X832" i="4"/>
  <c r="X150" i="4"/>
  <c r="X297" i="4"/>
  <c r="X649" i="4"/>
  <c r="X342" i="4"/>
  <c r="X781" i="4"/>
  <c r="X249" i="4"/>
  <c r="X825" i="4"/>
  <c r="X468" i="4"/>
  <c r="X438" i="4"/>
  <c r="X56" i="4"/>
  <c r="X428" i="4"/>
  <c r="X246" i="4"/>
  <c r="X909" i="4"/>
  <c r="X346" i="4"/>
  <c r="X718" i="4"/>
  <c r="X715" i="4"/>
  <c r="X665" i="4"/>
  <c r="X5" i="4"/>
  <c r="X406" i="4"/>
  <c r="X592" i="4"/>
  <c r="X844" i="4"/>
  <c r="X961" i="4"/>
  <c r="X450" i="4"/>
  <c r="X67" i="4"/>
  <c r="X519" i="4"/>
  <c r="X403" i="4"/>
  <c r="X326" i="4"/>
  <c r="X418" i="4"/>
  <c r="X368" i="4"/>
  <c r="X548" i="4"/>
  <c r="X124" i="4"/>
  <c r="X111" i="4"/>
  <c r="X952" i="4"/>
  <c r="X76" i="4"/>
  <c r="X66" i="4"/>
  <c r="X47" i="4"/>
  <c r="X970" i="4"/>
  <c r="X147" i="4"/>
  <c r="X976" i="4"/>
  <c r="X880" i="4"/>
  <c r="X472" i="4"/>
  <c r="X588" i="4"/>
  <c r="X89" i="4"/>
  <c r="X862" i="4"/>
  <c r="X71" i="4"/>
  <c r="X160" i="4"/>
  <c r="X939" i="4"/>
  <c r="X167" i="4"/>
  <c r="X590" i="4"/>
  <c r="X146" i="4"/>
  <c r="X402" i="4"/>
  <c r="X133" i="4"/>
  <c r="X129" i="4"/>
  <c r="X214" i="4"/>
  <c r="X294" i="4"/>
  <c r="X488" i="4"/>
  <c r="X343" i="4"/>
  <c r="X933" i="4"/>
  <c r="X891" i="4"/>
  <c r="X657" i="4"/>
  <c r="X366" i="4"/>
  <c r="X729" i="4"/>
  <c r="X46" i="4"/>
  <c r="X173" i="4"/>
  <c r="X389" i="4"/>
  <c r="X18" i="4"/>
  <c r="X436" i="4"/>
  <c r="X573" i="4"/>
  <c r="X666" i="4"/>
  <c r="X870" i="4"/>
  <c r="X977" i="4"/>
  <c r="X549" i="4"/>
  <c r="X810" i="4"/>
  <c r="X191" i="4"/>
  <c r="X446" i="4"/>
  <c r="X546" i="4"/>
  <c r="X374" i="4"/>
  <c r="X419" i="4"/>
  <c r="X121" i="4"/>
  <c r="X736" i="4"/>
  <c r="X975" i="4"/>
  <c r="X526" i="4"/>
  <c r="X317" i="4"/>
  <c r="X677" i="4"/>
  <c r="X584" i="4"/>
  <c r="X320" i="4"/>
  <c r="X879" i="4"/>
  <c r="X710" i="4"/>
  <c r="X231" i="4"/>
  <c r="X222" i="4"/>
  <c r="X206" i="4"/>
  <c r="X295" i="4"/>
  <c r="X28" i="4"/>
  <c r="X557" i="4"/>
  <c r="X955" i="4"/>
  <c r="X440" i="4"/>
  <c r="X490" i="4"/>
  <c r="X299" i="4"/>
  <c r="X669" i="4"/>
  <c r="X179" i="4"/>
  <c r="X937" i="4"/>
  <c r="X303" i="4"/>
  <c r="X968" i="4"/>
  <c r="X712" i="4"/>
  <c r="X603" i="4"/>
  <c r="X399" i="4"/>
  <c r="X883" i="4"/>
  <c r="X318" i="4"/>
  <c r="X874" i="4"/>
  <c r="X789" i="4"/>
  <c r="X477" i="4"/>
  <c r="X850" i="4"/>
  <c r="X796" i="4"/>
  <c r="X285" i="4"/>
  <c r="X431" i="4"/>
  <c r="X397" i="4"/>
  <c r="X447" i="4"/>
  <c r="X243" i="4"/>
  <c r="X807" i="4"/>
  <c r="X740" i="4"/>
  <c r="X6" i="4"/>
  <c r="W951" i="2" l="1" a="1"/>
  <c r="W951" i="2" s="1"/>
  <c r="W742" i="2" a="1"/>
  <c r="W742" i="2" s="1"/>
  <c r="W899" i="2" a="1"/>
  <c r="W899" i="2" s="1"/>
  <c r="W313" i="2" a="1"/>
  <c r="W313" i="2" s="1"/>
  <c r="W448" i="2" a="1"/>
  <c r="W448" i="2" s="1"/>
  <c r="W85" i="2" a="1"/>
  <c r="W85" i="2" s="1"/>
  <c r="W903" i="2" a="1"/>
  <c r="W903" i="2" s="1"/>
  <c r="W258" i="2" a="1"/>
  <c r="W258" i="2" s="1"/>
  <c r="W793" i="2" a="1"/>
  <c r="W793" i="2" s="1"/>
  <c r="W229" i="2" a="1"/>
  <c r="W229" i="2" s="1"/>
  <c r="W394" i="2" a="1"/>
  <c r="W394" i="2" s="1"/>
  <c r="W306" i="2" a="1"/>
  <c r="W306" i="2" s="1"/>
  <c r="W145" i="2" a="1"/>
  <c r="W145" i="2" s="1"/>
  <c r="W984" i="2" a="1"/>
  <c r="W984" i="2" s="1"/>
  <c r="W492" i="2" a="1"/>
  <c r="W492" i="2" s="1"/>
  <c r="W355" i="2" a="1"/>
  <c r="W355" i="2" s="1"/>
  <c r="W478" i="2" a="1"/>
  <c r="W478" i="2" s="1"/>
  <c r="W151" i="2" a="1"/>
  <c r="W151" i="2" s="1"/>
  <c r="W789" i="2" a="1"/>
  <c r="W789" i="2" s="1"/>
  <c r="W982" i="2" a="1"/>
  <c r="W982" i="2" s="1"/>
  <c r="W828" i="2" a="1"/>
  <c r="W828" i="2" s="1"/>
  <c r="W827" i="2" a="1"/>
  <c r="W827" i="2" s="1"/>
  <c r="W307" i="2" a="1"/>
  <c r="W307" i="2" s="1"/>
  <c r="W985" i="2" a="1"/>
  <c r="W985" i="2" s="1"/>
  <c r="W733" i="2" a="1"/>
  <c r="W733" i="2" s="1"/>
  <c r="W954" i="2" a="1"/>
  <c r="W954" i="2" s="1"/>
  <c r="W865" i="2" a="1"/>
  <c r="W865" i="2" s="1"/>
  <c r="W513" i="2" a="1"/>
  <c r="W513" i="2" s="1"/>
  <c r="W781" i="2" a="1"/>
  <c r="W781" i="2" s="1"/>
  <c r="W705" i="2" a="1"/>
  <c r="W705" i="2" s="1"/>
  <c r="W406" i="2" a="1"/>
  <c r="W406" i="2" s="1"/>
  <c r="W192" i="2" a="1"/>
  <c r="W192" i="2" s="1"/>
  <c r="W935" i="2" a="1"/>
  <c r="W935" i="2" s="1"/>
  <c r="W952" i="2" a="1"/>
  <c r="W952" i="2" s="1"/>
  <c r="W655" i="2" a="1"/>
  <c r="W655" i="2" s="1"/>
  <c r="W817" i="2" a="1"/>
  <c r="W817" i="2" s="1"/>
  <c r="W450" i="2" a="1"/>
  <c r="W450" i="2" s="1"/>
  <c r="W909" i="2" a="1"/>
  <c r="W909" i="2" s="1"/>
  <c r="W778" i="2" a="1"/>
  <c r="W778" i="2" s="1"/>
  <c r="W265" i="2" a="1"/>
  <c r="W265" i="2" s="1"/>
  <c r="W34" i="2" a="1"/>
  <c r="W34" i="2" s="1"/>
  <c r="W538" i="2" a="1"/>
  <c r="W538" i="2" s="1"/>
  <c r="W657" i="2" a="1"/>
  <c r="W657" i="2" s="1"/>
  <c r="W403" i="2" a="1"/>
  <c r="W403" i="2" s="1"/>
  <c r="W343" i="2" a="1"/>
  <c r="W343" i="2" s="1"/>
  <c r="W318" i="2" a="1"/>
  <c r="W318" i="2" s="1"/>
  <c r="W859" i="2" a="1"/>
  <c r="W859" i="2" s="1"/>
  <c r="W574" i="2" a="1"/>
  <c r="W574" i="2" s="1"/>
  <c r="W968" i="2" a="1"/>
  <c r="W968" i="2" s="1"/>
  <c r="W908" i="2" a="1"/>
  <c r="W908" i="2" s="1"/>
  <c r="W697" i="2" a="1"/>
  <c r="W697" i="2" s="1"/>
  <c r="W621" i="2" a="1"/>
  <c r="W621" i="2" s="1"/>
  <c r="W321" i="2" a="1"/>
  <c r="W321" i="2" s="1"/>
  <c r="W852" i="2" a="1"/>
  <c r="W852" i="2" s="1"/>
  <c r="W597" i="2" a="1"/>
  <c r="W597" i="2" s="1"/>
  <c r="W512" i="2" a="1"/>
  <c r="W512" i="2" s="1"/>
  <c r="W342" i="2" a="1"/>
  <c r="W342" i="2" s="1"/>
  <c r="W298" i="2" a="1"/>
  <c r="W298" i="2" s="1"/>
  <c r="W172" i="2" a="1"/>
  <c r="W172" i="2" s="1"/>
  <c r="W750" i="2" a="1"/>
  <c r="W750" i="2" s="1"/>
  <c r="W466" i="2" a="1"/>
  <c r="W466" i="2" s="1"/>
  <c r="W228" i="2" a="1"/>
  <c r="W228" i="2" s="1"/>
  <c r="W451" i="2" a="1"/>
  <c r="W451" i="2" s="1"/>
  <c r="W91" i="2" a="1"/>
  <c r="W91" i="2" s="1"/>
  <c r="W979" i="2" a="1"/>
  <c r="W979" i="2" s="1"/>
  <c r="W811" i="2" a="1"/>
  <c r="W811" i="2" s="1"/>
  <c r="W732" i="2" a="1"/>
  <c r="W732" i="2" s="1"/>
  <c r="W656" i="2" a="1"/>
  <c r="W656" i="2" s="1"/>
  <c r="W572" i="2" a="1"/>
  <c r="W572" i="2" s="1"/>
  <c r="W535" i="2" a="1"/>
  <c r="W535" i="2" s="1"/>
  <c r="W391" i="2" a="1"/>
  <c r="W391" i="2" s="1"/>
  <c r="W891" i="2" a="1"/>
  <c r="W891" i="2" s="1"/>
  <c r="W850" i="2" a="1"/>
  <c r="W850" i="2" s="1"/>
  <c r="W720" i="2" a="1"/>
  <c r="W720" i="2" s="1"/>
  <c r="W595" i="2" a="1"/>
  <c r="W595" i="2" s="1"/>
  <c r="W511" i="2" a="1"/>
  <c r="W511" i="2" s="1"/>
  <c r="W427" i="2" a="1"/>
  <c r="W427" i="2" s="1"/>
  <c r="W366" i="2" a="1"/>
  <c r="W366" i="2" s="1"/>
  <c r="W978" i="2" a="1"/>
  <c r="W978" i="2" s="1"/>
  <c r="W876" i="2" a="1"/>
  <c r="W876" i="2" s="1"/>
  <c r="W769" i="2" a="1"/>
  <c r="W769" i="2" s="1"/>
  <c r="W337" i="2" a="1"/>
  <c r="W337" i="2" s="1"/>
  <c r="W235" i="2" a="1"/>
  <c r="W235" i="2" s="1"/>
  <c r="W964" i="2" a="1"/>
  <c r="W964" i="2" s="1"/>
  <c r="W928" i="2" a="1"/>
  <c r="W928" i="2" s="1"/>
  <c r="W888" i="2" a="1"/>
  <c r="W888" i="2" s="1"/>
  <c r="W849" i="2" a="1"/>
  <c r="W849" i="2" s="1"/>
  <c r="W718" i="2" a="1"/>
  <c r="W718" i="2" s="1"/>
  <c r="W679" i="2" a="1"/>
  <c r="W679" i="2" s="1"/>
  <c r="W634" i="2" a="1"/>
  <c r="W634" i="2" s="1"/>
  <c r="W594" i="2" a="1"/>
  <c r="W594" i="2" s="1"/>
  <c r="W510" i="2" a="1"/>
  <c r="W510" i="2" s="1"/>
  <c r="W421" i="2" a="1"/>
  <c r="W421" i="2" s="1"/>
  <c r="W205" i="2" a="1"/>
  <c r="W205" i="2" s="1"/>
  <c r="W22" i="2" a="1"/>
  <c r="W22" i="2" s="1"/>
  <c r="W222" i="2" a="1"/>
  <c r="W222" i="2" s="1"/>
  <c r="W174" i="2" a="1"/>
  <c r="W174" i="2" s="1"/>
  <c r="W400" i="2" a="1"/>
  <c r="W400" i="2" s="1"/>
  <c r="W875" i="2" a="1"/>
  <c r="W875" i="2" s="1"/>
  <c r="W768" i="2" a="1"/>
  <c r="W768" i="2" s="1"/>
  <c r="W610" i="2" a="1"/>
  <c r="W610" i="2" s="1"/>
  <c r="W562" i="2" a="1"/>
  <c r="W562" i="2" s="1"/>
  <c r="W486" i="2" a="1"/>
  <c r="W486" i="2" s="1"/>
  <c r="W442" i="2" a="1"/>
  <c r="W442" i="2" s="1"/>
  <c r="W381" i="2" a="1"/>
  <c r="W381" i="2" s="1"/>
  <c r="W336" i="2" a="1"/>
  <c r="W336" i="2" s="1"/>
  <c r="W276" i="2" a="1"/>
  <c r="W276" i="2" s="1"/>
  <c r="W169" i="2" a="1"/>
  <c r="W169" i="2" s="1"/>
  <c r="W127" i="2" a="1"/>
  <c r="W127" i="2" s="1"/>
  <c r="W960" i="2" a="1"/>
  <c r="W960" i="2" s="1"/>
  <c r="W927" i="2" a="1"/>
  <c r="W927" i="2" s="1"/>
  <c r="W882" i="2" a="1"/>
  <c r="W882" i="2" s="1"/>
  <c r="W799" i="2" a="1"/>
  <c r="W799" i="2" s="1"/>
  <c r="W715" i="2" a="1"/>
  <c r="W715" i="2" s="1"/>
  <c r="W678" i="2" a="1"/>
  <c r="W678" i="2" s="1"/>
  <c r="W625" i="2" a="1"/>
  <c r="W625" i="2" s="1"/>
  <c r="W592" i="2" a="1"/>
  <c r="W592" i="2" s="1"/>
  <c r="W541" i="2" a="1"/>
  <c r="W541" i="2" s="1"/>
  <c r="W508" i="2" a="1"/>
  <c r="W508" i="2" s="1"/>
  <c r="W457" i="2" a="1"/>
  <c r="W457" i="2" s="1"/>
  <c r="W420" i="2" a="1"/>
  <c r="W420" i="2" s="1"/>
  <c r="W370" i="2" a="1"/>
  <c r="W370" i="2" s="1"/>
  <c r="W202" i="2" a="1"/>
  <c r="W202" i="2" s="1"/>
  <c r="W165" i="2" a="1"/>
  <c r="W165" i="2" s="1"/>
  <c r="W21" i="2" a="1"/>
  <c r="W21" i="2" s="1"/>
  <c r="W166" i="2" a="1"/>
  <c r="W166" i="2" s="1"/>
  <c r="W802" i="2" a="1"/>
  <c r="W802" i="2" s="1"/>
  <c r="W682" i="2" a="1"/>
  <c r="W682" i="2" s="1"/>
  <c r="W646" i="2" a="1"/>
  <c r="W646" i="2" s="1"/>
  <c r="W598" i="2" a="1"/>
  <c r="W598" i="2" s="1"/>
  <c r="W561" i="2" a="1"/>
  <c r="W561" i="2" s="1"/>
  <c r="W428" i="2" a="1"/>
  <c r="W428" i="2" s="1"/>
  <c r="W957" i="2" a="1"/>
  <c r="W957" i="2" s="1"/>
  <c r="W918" i="2" a="1"/>
  <c r="W918" i="2" s="1"/>
  <c r="W880" i="2" a="1"/>
  <c r="W880" i="2" s="1"/>
  <c r="W835" i="2" a="1"/>
  <c r="W835" i="2" s="1"/>
  <c r="W798" i="2" a="1"/>
  <c r="W798" i="2" s="1"/>
  <c r="W751" i="2" a="1"/>
  <c r="W751" i="2" s="1"/>
  <c r="W667" i="2" a="1"/>
  <c r="W667" i="2" s="1"/>
  <c r="W624" i="2" a="1"/>
  <c r="W624" i="2" s="1"/>
  <c r="W369" i="2" a="1"/>
  <c r="W369" i="2" s="1"/>
  <c r="W322" i="2" a="1"/>
  <c r="W322" i="2" s="1"/>
  <c r="W285" i="2" a="1"/>
  <c r="W285" i="2" s="1"/>
  <c r="W238" i="2" a="1"/>
  <c r="W238" i="2" s="1"/>
  <c r="W199" i="2" a="1"/>
  <c r="W199" i="2" s="1"/>
  <c r="W109" i="2" a="1"/>
  <c r="W109" i="2" s="1"/>
  <c r="W60" i="2" a="1"/>
  <c r="W60" i="2" s="1"/>
  <c r="W13" i="2" a="1"/>
  <c r="W13" i="2" s="1"/>
  <c r="W934" i="2" a="1"/>
  <c r="W934" i="2" s="1"/>
  <c r="W913" i="2" a="1"/>
  <c r="W913" i="2" s="1"/>
  <c r="W862" i="2" a="1"/>
  <c r="W862" i="2" s="1"/>
  <c r="W767" i="2" a="1"/>
  <c r="W767" i="2" s="1"/>
  <c r="W637" i="2" a="1"/>
  <c r="W637" i="2" s="1"/>
  <c r="W577" i="2" a="1"/>
  <c r="W577" i="2" s="1"/>
  <c r="W397" i="2" a="1"/>
  <c r="W397" i="2" s="1"/>
  <c r="W335" i="2" a="1"/>
  <c r="W335" i="2" s="1"/>
  <c r="W924" i="2" a="1"/>
  <c r="W924" i="2" s="1"/>
  <c r="W643" i="2" a="1"/>
  <c r="W643" i="2" s="1"/>
  <c r="W589" i="2" a="1"/>
  <c r="W589" i="2" s="1"/>
  <c r="W559" i="2" a="1"/>
  <c r="W559" i="2" s="1"/>
  <c r="W529" i="2" a="1"/>
  <c r="W529" i="2" s="1"/>
  <c r="W445" i="2" a="1"/>
  <c r="W445" i="2" s="1"/>
  <c r="W418" i="2" a="1"/>
  <c r="W418" i="2" s="1"/>
  <c r="W301" i="2" a="1"/>
  <c r="W301" i="2" s="1"/>
  <c r="W163" i="2" a="1"/>
  <c r="W163" i="2" s="1"/>
  <c r="W79" i="2" a="1"/>
  <c r="W79" i="2" s="1"/>
  <c r="W46" i="2" a="1"/>
  <c r="W46" i="2" s="1"/>
  <c r="W19" i="2" a="1"/>
  <c r="W19" i="2" s="1"/>
  <c r="W910" i="2" a="1"/>
  <c r="W910" i="2" s="1"/>
  <c r="W834" i="2" a="1"/>
  <c r="W834" i="2" s="1"/>
  <c r="W573" i="2" a="1"/>
  <c r="W573" i="2" s="1"/>
  <c r="W143" i="2" a="1"/>
  <c r="W143" i="2" s="1"/>
  <c r="W319" i="2" a="1"/>
  <c r="W319" i="2" s="1"/>
  <c r="W992" i="2" a="1"/>
  <c r="W992" i="2" s="1"/>
  <c r="W933" i="2" a="1"/>
  <c r="W933" i="2" s="1"/>
  <c r="W764" i="2" a="1"/>
  <c r="W764" i="2" s="1"/>
  <c r="W739" i="2" a="1"/>
  <c r="W739" i="2" s="1"/>
  <c r="W685" i="2" a="1"/>
  <c r="W685" i="2" s="1"/>
  <c r="W636" i="2" a="1"/>
  <c r="W636" i="2" s="1"/>
  <c r="W601" i="2" a="1"/>
  <c r="W601" i="2" s="1"/>
  <c r="W576" i="2" a="1"/>
  <c r="W576" i="2" s="1"/>
  <c r="W364" i="2" a="1"/>
  <c r="W364" i="2" s="1"/>
  <c r="W223" i="2" a="1"/>
  <c r="W223" i="2" s="1"/>
  <c r="W43" i="2" a="1"/>
  <c r="W43" i="2" s="1"/>
  <c r="W995" i="2" a="1"/>
  <c r="W995" i="2" s="1"/>
  <c r="W971" i="2" a="1"/>
  <c r="W971" i="2" s="1"/>
  <c r="W948" i="2" a="1"/>
  <c r="W948" i="2" s="1"/>
  <c r="W921" i="2" a="1"/>
  <c r="W921" i="2" s="1"/>
  <c r="W895" i="2" a="1"/>
  <c r="W895" i="2" s="1"/>
  <c r="W871" i="2" a="1"/>
  <c r="W871" i="2" s="1"/>
  <c r="W841" i="2" a="1"/>
  <c r="W841" i="2" s="1"/>
  <c r="W813" i="2" a="1"/>
  <c r="W813" i="2" s="1"/>
  <c r="W786" i="2" a="1"/>
  <c r="W786" i="2" s="1"/>
  <c r="W754" i="2" a="1"/>
  <c r="W754" i="2" s="1"/>
  <c r="W727" i="2" a="1"/>
  <c r="W727" i="2" s="1"/>
  <c r="W642" i="2" a="1"/>
  <c r="W642" i="2" s="1"/>
  <c r="W613" i="2" a="1"/>
  <c r="W613" i="2" s="1"/>
  <c r="W586" i="2" a="1"/>
  <c r="W586" i="2" s="1"/>
  <c r="W558" i="2" a="1"/>
  <c r="W558" i="2" s="1"/>
  <c r="W528" i="2" a="1"/>
  <c r="W528" i="2" s="1"/>
  <c r="W499" i="2" a="1"/>
  <c r="W499" i="2" s="1"/>
  <c r="W444" i="2" a="1"/>
  <c r="W444" i="2" s="1"/>
  <c r="W384" i="2" a="1"/>
  <c r="W384" i="2" s="1"/>
  <c r="W358" i="2" a="1"/>
  <c r="W358" i="2" s="1"/>
  <c r="W273" i="2" a="1"/>
  <c r="W273" i="2" s="1"/>
  <c r="W241" i="2" a="1"/>
  <c r="W241" i="2" s="1"/>
  <c r="W189" i="2" a="1"/>
  <c r="W189" i="2" s="1"/>
  <c r="W157" i="2" a="1"/>
  <c r="W157" i="2" s="1"/>
  <c r="W129" i="2" a="1"/>
  <c r="W129" i="2" s="1"/>
  <c r="W103" i="2" a="1"/>
  <c r="W103" i="2" s="1"/>
  <c r="W18" i="2" a="1"/>
  <c r="W18" i="2" s="1"/>
  <c r="W907" i="2" a="1"/>
  <c r="W907" i="2" s="1"/>
  <c r="W816" i="2" a="1"/>
  <c r="W816" i="2" s="1"/>
  <c r="W553" i="2" a="1"/>
  <c r="W553" i="2" s="1"/>
  <c r="W469" i="2" a="1"/>
  <c r="W469" i="2" s="1"/>
  <c r="W367" i="2" a="1"/>
  <c r="W367" i="2" s="1"/>
  <c r="W295" i="2" a="1"/>
  <c r="W295" i="2" s="1"/>
  <c r="W226" i="2" a="1"/>
  <c r="W226" i="2" s="1"/>
  <c r="W975" i="2" a="1"/>
  <c r="W975" i="2" s="1"/>
  <c r="W896" i="2" a="1"/>
  <c r="W896" i="2" s="1"/>
  <c r="W874" i="2" a="1"/>
  <c r="W874" i="2" s="1"/>
  <c r="W847" i="2" a="1"/>
  <c r="W847" i="2" s="1"/>
  <c r="W730" i="2" a="1"/>
  <c r="W730" i="2" s="1"/>
  <c r="W703" i="2" a="1"/>
  <c r="W703" i="2" s="1"/>
  <c r="W673" i="2" a="1"/>
  <c r="W673" i="2" s="1"/>
  <c r="W988" i="2" a="1"/>
  <c r="W988" i="2" s="1"/>
  <c r="W939" i="2" a="1"/>
  <c r="W939" i="2" s="1"/>
  <c r="W316" i="2" a="1"/>
  <c r="W316" i="2" s="1"/>
  <c r="W991" i="2" a="1"/>
  <c r="W991" i="2" s="1"/>
  <c r="W949" i="2" a="1"/>
  <c r="W949" i="2" s="1"/>
  <c r="W932" i="2" a="1"/>
  <c r="W932" i="2" s="1"/>
  <c r="W814" i="2" a="1"/>
  <c r="W814" i="2" s="1"/>
  <c r="W790" i="2" a="1"/>
  <c r="W790" i="2" s="1"/>
  <c r="W763" i="2" a="1"/>
  <c r="W763" i="2" s="1"/>
  <c r="W709" i="2" a="1"/>
  <c r="W709" i="2" s="1"/>
  <c r="W684" i="2" a="1"/>
  <c r="W684" i="2" s="1"/>
  <c r="W658" i="2" a="1"/>
  <c r="W658" i="2" s="1"/>
  <c r="W550" i="2" a="1"/>
  <c r="W550" i="2" s="1"/>
  <c r="W523" i="2" a="1"/>
  <c r="W523" i="2" s="1"/>
  <c r="W493" i="2" a="1"/>
  <c r="W493" i="2" s="1"/>
  <c r="W361" i="2" a="1"/>
  <c r="W361" i="2" s="1"/>
  <c r="W259" i="2" a="1"/>
  <c r="W259" i="2" s="1"/>
  <c r="W217" i="2" a="1"/>
  <c r="W217" i="2" s="1"/>
  <c r="W187" i="2" a="1"/>
  <c r="W187" i="2" s="1"/>
  <c r="W108" i="2" a="1"/>
  <c r="W108" i="2" s="1"/>
  <c r="W994" i="2" a="1"/>
  <c r="W994" i="2" s="1"/>
  <c r="W970" i="2" a="1"/>
  <c r="W970" i="2" s="1"/>
  <c r="W947" i="2" a="1"/>
  <c r="W947" i="2" s="1"/>
  <c r="W920" i="2" a="1"/>
  <c r="W920" i="2" s="1"/>
  <c r="W894" i="2" a="1"/>
  <c r="W894" i="2" s="1"/>
  <c r="W870" i="2" a="1"/>
  <c r="W870" i="2" s="1"/>
  <c r="W838" i="2" a="1"/>
  <c r="W838" i="2" s="1"/>
  <c r="W812" i="2" a="1"/>
  <c r="W812" i="2" s="1"/>
  <c r="W784" i="2" a="1"/>
  <c r="W784" i="2" s="1"/>
  <c r="W753" i="2" a="1"/>
  <c r="W753" i="2" s="1"/>
  <c r="W726" i="2" a="1"/>
  <c r="W726" i="2" s="1"/>
  <c r="W700" i="2" a="1"/>
  <c r="W700" i="2" s="1"/>
  <c r="W640" i="2" a="1"/>
  <c r="W640" i="2" s="1"/>
  <c r="W612" i="2" a="1"/>
  <c r="W612" i="2" s="1"/>
  <c r="W583" i="2" a="1"/>
  <c r="W583" i="2" s="1"/>
  <c r="W556" i="2" a="1"/>
  <c r="W556" i="2" s="1"/>
  <c r="W527" i="2" a="1"/>
  <c r="W527" i="2" s="1"/>
  <c r="W498" i="2" a="1"/>
  <c r="W498" i="2" s="1"/>
  <c r="W468" i="2" a="1"/>
  <c r="W468" i="2" s="1"/>
  <c r="W443" i="2" a="1"/>
  <c r="W443" i="2" s="1"/>
  <c r="W414" i="2" a="1"/>
  <c r="W414" i="2" s="1"/>
  <c r="W325" i="2" a="1"/>
  <c r="W325" i="2" s="1"/>
  <c r="W240" i="2" a="1"/>
  <c r="W240" i="2" s="1"/>
  <c r="W188" i="2" a="1"/>
  <c r="W188" i="2" s="1"/>
  <c r="W156" i="2" a="1"/>
  <c r="W156" i="2" s="1"/>
  <c r="W128" i="2" a="1"/>
  <c r="W128" i="2" s="1"/>
  <c r="W102" i="2" a="1"/>
  <c r="W102" i="2" s="1"/>
  <c r="W70" i="2" a="1"/>
  <c r="W70" i="2" s="1"/>
  <c r="W44" i="2" a="1"/>
  <c r="W44" i="2" s="1"/>
  <c r="W16" i="2" a="1"/>
  <c r="W16" i="2" s="1"/>
  <c r="W126" i="2" a="1"/>
  <c r="W126" i="2" s="1"/>
  <c r="W94" i="2" a="1"/>
  <c r="W94" i="2" s="1"/>
  <c r="W66" i="2" a="1"/>
  <c r="W66" i="2" s="1"/>
  <c r="W37" i="2" a="1"/>
  <c r="W37" i="2" s="1"/>
  <c r="W10" i="2" a="1"/>
  <c r="W10" i="2" s="1"/>
  <c r="W892" i="2" a="1"/>
  <c r="W892" i="2" s="1"/>
  <c r="W465" i="2" a="1"/>
  <c r="W465" i="2" s="1"/>
  <c r="W475" i="2" a="1"/>
  <c r="W475" i="2" s="1"/>
  <c r="W256" i="2" a="1"/>
  <c r="W256" i="2" s="1"/>
  <c r="W967" i="2" a="1"/>
  <c r="W967" i="2" s="1"/>
  <c r="W946" i="2" a="1"/>
  <c r="W946" i="2" s="1"/>
  <c r="W877" i="2" a="1"/>
  <c r="W877" i="2" s="1"/>
  <c r="W853" i="2" a="1"/>
  <c r="W853" i="2" s="1"/>
  <c r="W829" i="2" a="1"/>
  <c r="W829" i="2" s="1"/>
  <c r="W704" i="2" a="1"/>
  <c r="W704" i="2" s="1"/>
  <c r="W620" i="2" a="1"/>
  <c r="W620" i="2" s="1"/>
  <c r="W571" i="2" a="1"/>
  <c r="W571" i="2" s="1"/>
  <c r="W540" i="2" a="1"/>
  <c r="W540" i="2" s="1"/>
  <c r="W490" i="2" a="1"/>
  <c r="W490" i="2" s="1"/>
  <c r="W283" i="2" a="1"/>
  <c r="W283" i="2" s="1"/>
  <c r="W211" i="2" a="1"/>
  <c r="W211" i="2" s="1"/>
  <c r="W97" i="2" a="1"/>
  <c r="W97" i="2" s="1"/>
  <c r="W30" i="2" a="1"/>
  <c r="W30" i="2" s="1"/>
  <c r="W990" i="2" a="1"/>
  <c r="W990" i="2" s="1"/>
  <c r="W966" i="2" a="1"/>
  <c r="W966" i="2" s="1"/>
  <c r="W937" i="2" a="1"/>
  <c r="W937" i="2" s="1"/>
  <c r="W912" i="2" a="1"/>
  <c r="W912" i="2" s="1"/>
  <c r="W889" i="2" a="1"/>
  <c r="W889" i="2" s="1"/>
  <c r="W861" i="2" a="1"/>
  <c r="W861" i="2" s="1"/>
  <c r="W832" i="2" a="1"/>
  <c r="W832" i="2" s="1"/>
  <c r="W804" i="2" a="1"/>
  <c r="W804" i="2" s="1"/>
  <c r="W775" i="2" a="1"/>
  <c r="W775" i="2" s="1"/>
  <c r="W748" i="2" a="1"/>
  <c r="W748" i="2" s="1"/>
  <c r="W719" i="2" a="1"/>
  <c r="W719" i="2" s="1"/>
  <c r="W660" i="2" a="1"/>
  <c r="W660" i="2" s="1"/>
  <c r="W635" i="2" a="1"/>
  <c r="W635" i="2" s="1"/>
  <c r="W606" i="2" a="1"/>
  <c r="W606" i="2" s="1"/>
  <c r="W575" i="2" a="1"/>
  <c r="W575" i="2" s="1"/>
  <c r="W549" i="2" a="1"/>
  <c r="W549" i="2" s="1"/>
  <c r="W517" i="2" a="1"/>
  <c r="W517" i="2" s="1"/>
  <c r="W491" i="2" a="1"/>
  <c r="W491" i="2" s="1"/>
  <c r="W464" i="2" a="1"/>
  <c r="W464" i="2" s="1"/>
  <c r="W405" i="2" a="1"/>
  <c r="W405" i="2" s="1"/>
  <c r="W380" i="2" a="1"/>
  <c r="W380" i="2" s="1"/>
  <c r="W348" i="2" a="1"/>
  <c r="W348" i="2" s="1"/>
  <c r="W320" i="2" a="1"/>
  <c r="W320" i="2" s="1"/>
  <c r="W262" i="2" a="1"/>
  <c r="W262" i="2" s="1"/>
  <c r="W208" i="2" a="1"/>
  <c r="W208" i="2" s="1"/>
  <c r="W150" i="2" a="1"/>
  <c r="W150" i="2" s="1"/>
  <c r="W124" i="2" a="1"/>
  <c r="W124" i="2" s="1"/>
  <c r="W93" i="2" a="1"/>
  <c r="W93" i="2" s="1"/>
  <c r="W64" i="2" a="1"/>
  <c r="W64" i="2" s="1"/>
  <c r="W848" i="2" a="1"/>
  <c r="W848" i="2" s="1"/>
  <c r="W826" i="2" a="1"/>
  <c r="W826" i="2" s="1"/>
  <c r="W805" i="2" a="1"/>
  <c r="W805" i="2" s="1"/>
  <c r="W766" i="2" a="1"/>
  <c r="W766" i="2" s="1"/>
  <c r="W745" i="2" a="1"/>
  <c r="W745" i="2" s="1"/>
  <c r="W691" i="2" a="1"/>
  <c r="W691" i="2" s="1"/>
  <c r="W670" i="2" a="1"/>
  <c r="W670" i="2" s="1"/>
  <c r="W649" i="2" a="1"/>
  <c r="W649" i="2" s="1"/>
  <c r="W526" i="2" a="1"/>
  <c r="W526" i="2" s="1"/>
  <c r="W505" i="2" a="1"/>
  <c r="W505" i="2" s="1"/>
  <c r="W463" i="2" a="1"/>
  <c r="W463" i="2" s="1"/>
  <c r="W409" i="2" a="1"/>
  <c r="W409" i="2" s="1"/>
  <c r="W383" i="2" a="1"/>
  <c r="W383" i="2" s="1"/>
  <c r="W357" i="2" a="1"/>
  <c r="W357" i="2" s="1"/>
  <c r="W300" i="2" a="1"/>
  <c r="W300" i="2" s="1"/>
  <c r="W251" i="2" a="1"/>
  <c r="W251" i="2" s="1"/>
  <c r="W177" i="2" a="1"/>
  <c r="W177" i="2" s="1"/>
  <c r="W144" i="2" a="1"/>
  <c r="W144" i="2" s="1"/>
  <c r="W121" i="2" a="1"/>
  <c r="W121" i="2" s="1"/>
  <c r="W82" i="2" a="1"/>
  <c r="W82" i="2" s="1"/>
  <c r="W59" i="2" a="1"/>
  <c r="W59" i="2" s="1"/>
  <c r="W36" i="2" a="1"/>
  <c r="W36" i="2" s="1"/>
  <c r="W981" i="2" a="1"/>
  <c r="W981" i="2" s="1"/>
  <c r="W963" i="2" a="1"/>
  <c r="W963" i="2" s="1"/>
  <c r="W943" i="2" a="1"/>
  <c r="W943" i="2" s="1"/>
  <c r="W923" i="2" a="1"/>
  <c r="W923" i="2" s="1"/>
  <c r="W906" i="2" a="1"/>
  <c r="W906" i="2" s="1"/>
  <c r="W885" i="2" a="1"/>
  <c r="W885" i="2" s="1"/>
  <c r="W864" i="2" a="1"/>
  <c r="W864" i="2" s="1"/>
  <c r="W846" i="2" a="1"/>
  <c r="W846" i="2" s="1"/>
  <c r="W823" i="2" a="1"/>
  <c r="W823" i="2" s="1"/>
  <c r="W780" i="2" a="1"/>
  <c r="W780" i="2" s="1"/>
  <c r="W757" i="2" a="1"/>
  <c r="W757" i="2" s="1"/>
  <c r="W738" i="2" a="1"/>
  <c r="W738" i="2" s="1"/>
  <c r="W717" i="2" a="1"/>
  <c r="W717" i="2" s="1"/>
  <c r="W694" i="2" a="1"/>
  <c r="W694" i="2" s="1"/>
  <c r="W672" i="2" a="1"/>
  <c r="W672" i="2" s="1"/>
  <c r="W654" i="2" a="1"/>
  <c r="W654" i="2" s="1"/>
  <c r="W631" i="2" a="1"/>
  <c r="W631" i="2" s="1"/>
  <c r="W609" i="2" a="1"/>
  <c r="W609" i="2" s="1"/>
  <c r="W588" i="2" a="1"/>
  <c r="W588" i="2" s="1"/>
  <c r="W565" i="2" a="1"/>
  <c r="W565" i="2" s="1"/>
  <c r="W546" i="2" a="1"/>
  <c r="W546" i="2" s="1"/>
  <c r="W502" i="2" a="1"/>
  <c r="W502" i="2" s="1"/>
  <c r="W480" i="2" a="1"/>
  <c r="W480" i="2" s="1"/>
  <c r="W417" i="2" a="1"/>
  <c r="W417" i="2" s="1"/>
  <c r="W396" i="2" a="1"/>
  <c r="W396" i="2" s="1"/>
  <c r="W373" i="2" a="1"/>
  <c r="W373" i="2" s="1"/>
  <c r="W354" i="2" a="1"/>
  <c r="W354" i="2" s="1"/>
  <c r="W288" i="2" a="1"/>
  <c r="W288" i="2" s="1"/>
  <c r="W270" i="2" a="1"/>
  <c r="W270" i="2" s="1"/>
  <c r="W247" i="2" a="1"/>
  <c r="W247" i="2" s="1"/>
  <c r="W225" i="2" a="1"/>
  <c r="W225" i="2" s="1"/>
  <c r="W204" i="2" a="1"/>
  <c r="W204" i="2" s="1"/>
  <c r="W181" i="2" a="1"/>
  <c r="W181" i="2" s="1"/>
  <c r="W162" i="2" a="1"/>
  <c r="W162" i="2" s="1"/>
  <c r="W141" i="2" a="1"/>
  <c r="W141" i="2" s="1"/>
  <c r="W96" i="2" a="1"/>
  <c r="W96" i="2" s="1"/>
  <c r="W78" i="2" a="1"/>
  <c r="W78" i="2" s="1"/>
  <c r="W12" i="2" a="1"/>
  <c r="W12" i="2" s="1"/>
  <c r="W787" i="2" a="1"/>
  <c r="W787" i="2" s="1"/>
  <c r="W765" i="2" a="1"/>
  <c r="W765" i="2" s="1"/>
  <c r="W706" i="2" a="1"/>
  <c r="W706" i="2" s="1"/>
  <c r="W690" i="2" a="1"/>
  <c r="W690" i="2" s="1"/>
  <c r="W669" i="2" a="1"/>
  <c r="W669" i="2" s="1"/>
  <c r="W622" i="2" a="1"/>
  <c r="W622" i="2" s="1"/>
  <c r="W607" i="2" a="1"/>
  <c r="W607" i="2" s="1"/>
  <c r="W547" i="2" a="1"/>
  <c r="W547" i="2" s="1"/>
  <c r="W525" i="2" a="1"/>
  <c r="W525" i="2" s="1"/>
  <c r="W487" i="2" a="1"/>
  <c r="W487" i="2" s="1"/>
  <c r="W462" i="2" a="1"/>
  <c r="W462" i="2" s="1"/>
  <c r="W439" i="2" a="1"/>
  <c r="W439" i="2" s="1"/>
  <c r="W382" i="2" a="1"/>
  <c r="W382" i="2" s="1"/>
  <c r="W331" i="2" a="1"/>
  <c r="W331" i="2" s="1"/>
  <c r="W299" i="2" a="1"/>
  <c r="W299" i="2" s="1"/>
  <c r="W277" i="2" a="1"/>
  <c r="W277" i="2" s="1"/>
  <c r="W250" i="2" a="1"/>
  <c r="W250" i="2" s="1"/>
  <c r="W142" i="2" a="1"/>
  <c r="W142" i="2" s="1"/>
  <c r="W118" i="2" a="1"/>
  <c r="W118" i="2" s="1"/>
  <c r="W81" i="2" a="1"/>
  <c r="W81" i="2" s="1"/>
  <c r="W58" i="2" a="1"/>
  <c r="W58" i="2" s="1"/>
  <c r="W997" i="2" a="1"/>
  <c r="W997" i="2" s="1"/>
  <c r="W980" i="2" a="1"/>
  <c r="W980" i="2" s="1"/>
  <c r="W961" i="2" a="1"/>
  <c r="W961" i="2" s="1"/>
  <c r="W942" i="2" a="1"/>
  <c r="W942" i="2" s="1"/>
  <c r="W922" i="2" a="1"/>
  <c r="W922" i="2" s="1"/>
  <c r="W904" i="2" a="1"/>
  <c r="W904" i="2" s="1"/>
  <c r="W884" i="2" a="1"/>
  <c r="W884" i="2" s="1"/>
  <c r="W863" i="2" a="1"/>
  <c r="W863" i="2" s="1"/>
  <c r="W844" i="2" a="1"/>
  <c r="W844" i="2" s="1"/>
  <c r="W800" i="2" a="1"/>
  <c r="W800" i="2" s="1"/>
  <c r="W756" i="2" a="1"/>
  <c r="W756" i="2" s="1"/>
  <c r="W736" i="2" a="1"/>
  <c r="W736" i="2" s="1"/>
  <c r="W716" i="2" a="1"/>
  <c r="W716" i="2" s="1"/>
  <c r="W693" i="2" a="1"/>
  <c r="W693" i="2" s="1"/>
  <c r="W671" i="2" a="1"/>
  <c r="W671" i="2" s="1"/>
  <c r="W652" i="2" a="1"/>
  <c r="W652" i="2" s="1"/>
  <c r="W630" i="2" a="1"/>
  <c r="W630" i="2" s="1"/>
  <c r="W608" i="2" a="1"/>
  <c r="W608" i="2" s="1"/>
  <c r="W587" i="2" a="1"/>
  <c r="W587" i="2" s="1"/>
  <c r="W564" i="2" a="1"/>
  <c r="W564" i="2" s="1"/>
  <c r="W544" i="2" a="1"/>
  <c r="W544" i="2" s="1"/>
  <c r="W524" i="2" a="1"/>
  <c r="W524" i="2" s="1"/>
  <c r="W479" i="2" a="1"/>
  <c r="W479" i="2" s="1"/>
  <c r="W460" i="2" a="1"/>
  <c r="W460" i="2" s="1"/>
  <c r="W438" i="2" a="1"/>
  <c r="W438" i="2" s="1"/>
  <c r="W395" i="2" a="1"/>
  <c r="W395" i="2" s="1"/>
  <c r="W332" i="2" a="1"/>
  <c r="W332" i="2" s="1"/>
  <c r="W287" i="2" a="1"/>
  <c r="W287" i="2" s="1"/>
  <c r="W268" i="2" a="1"/>
  <c r="W268" i="2" s="1"/>
  <c r="W224" i="2" a="1"/>
  <c r="W224" i="2" s="1"/>
  <c r="W203" i="2" a="1"/>
  <c r="W203" i="2" s="1"/>
  <c r="W180" i="2" a="1"/>
  <c r="W180" i="2" s="1"/>
  <c r="W160" i="2" a="1"/>
  <c r="W160" i="2" s="1"/>
  <c r="W140" i="2" a="1"/>
  <c r="W140" i="2" s="1"/>
  <c r="W117" i="2" a="1"/>
  <c r="W117" i="2" s="1"/>
  <c r="W95" i="2" a="1"/>
  <c r="W95" i="2" s="1"/>
  <c r="W76" i="2" a="1"/>
  <c r="W76" i="2" s="1"/>
  <c r="W54" i="2" a="1"/>
  <c r="W54" i="2" s="1"/>
  <c r="W822" i="2" a="1"/>
  <c r="W822" i="2" s="1"/>
  <c r="W801" i="2" a="1"/>
  <c r="W801" i="2" s="1"/>
  <c r="W779" i="2" a="1"/>
  <c r="W779" i="2" s="1"/>
  <c r="W741" i="2" a="1"/>
  <c r="W741" i="2" s="1"/>
  <c r="W721" i="2" a="1"/>
  <c r="W721" i="2" s="1"/>
  <c r="W702" i="2" a="1"/>
  <c r="W702" i="2" s="1"/>
  <c r="W683" i="2" a="1"/>
  <c r="W683" i="2" s="1"/>
  <c r="W661" i="2" a="1"/>
  <c r="W661" i="2" s="1"/>
  <c r="W619" i="2" a="1"/>
  <c r="W619" i="2" s="1"/>
  <c r="W501" i="2" a="1"/>
  <c r="W501" i="2" s="1"/>
  <c r="W481" i="2" a="1"/>
  <c r="W481" i="2" s="1"/>
  <c r="W430" i="2" a="1"/>
  <c r="W430" i="2" s="1"/>
  <c r="W402" i="2" a="1"/>
  <c r="W402" i="2" s="1"/>
  <c r="W379" i="2" a="1"/>
  <c r="W379" i="2" s="1"/>
  <c r="W272" i="2" a="1"/>
  <c r="W272" i="2" s="1"/>
  <c r="W246" i="2" a="1"/>
  <c r="W246" i="2" s="1"/>
  <c r="W191" i="2" a="1"/>
  <c r="W191" i="2" s="1"/>
  <c r="W139" i="2" a="1"/>
  <c r="W139" i="2" s="1"/>
  <c r="W107" i="2" a="1"/>
  <c r="W107" i="2" s="1"/>
  <c r="W73" i="2" a="1"/>
  <c r="W73" i="2" s="1"/>
  <c r="W55" i="2" a="1"/>
  <c r="W55" i="2" s="1"/>
  <c r="W25" i="2" a="1"/>
  <c r="W25" i="2" s="1"/>
  <c r="W993" i="2" a="1"/>
  <c r="W993" i="2" s="1"/>
  <c r="W976" i="2" a="1"/>
  <c r="W976" i="2" s="1"/>
  <c r="W956" i="2" a="1"/>
  <c r="W956" i="2" s="1"/>
  <c r="W936" i="2" a="1"/>
  <c r="W936" i="2" s="1"/>
  <c r="W919" i="2" a="1"/>
  <c r="W919" i="2" s="1"/>
  <c r="W898" i="2" a="1"/>
  <c r="W898" i="2" s="1"/>
  <c r="W879" i="2" a="1"/>
  <c r="W879" i="2" s="1"/>
  <c r="W860" i="2" a="1"/>
  <c r="W860" i="2" s="1"/>
  <c r="W837" i="2" a="1"/>
  <c r="W837" i="2" s="1"/>
  <c r="W815" i="2" a="1"/>
  <c r="W815" i="2" s="1"/>
  <c r="W796" i="2" a="1"/>
  <c r="W796" i="2" s="1"/>
  <c r="W774" i="2" a="1"/>
  <c r="W774" i="2" s="1"/>
  <c r="W752" i="2" a="1"/>
  <c r="W752" i="2" s="1"/>
  <c r="W731" i="2" a="1"/>
  <c r="W731" i="2" s="1"/>
  <c r="W708" i="2" a="1"/>
  <c r="W708" i="2" s="1"/>
  <c r="W688" i="2" a="1"/>
  <c r="W688" i="2" s="1"/>
  <c r="W668" i="2" a="1"/>
  <c r="W668" i="2" s="1"/>
  <c r="W645" i="2" a="1"/>
  <c r="W645" i="2" s="1"/>
  <c r="W623" i="2" a="1"/>
  <c r="W623" i="2" s="1"/>
  <c r="W604" i="2" a="1"/>
  <c r="W604" i="2" s="1"/>
  <c r="W582" i="2" a="1"/>
  <c r="W582" i="2" s="1"/>
  <c r="W560" i="2" a="1"/>
  <c r="W560" i="2" s="1"/>
  <c r="W539" i="2" a="1"/>
  <c r="W539" i="2" s="1"/>
  <c r="W516" i="2" a="1"/>
  <c r="W516" i="2" s="1"/>
  <c r="W476" i="2" a="1"/>
  <c r="W476" i="2" s="1"/>
  <c r="W453" i="2" a="1"/>
  <c r="W453" i="2" s="1"/>
  <c r="W431" i="2" a="1"/>
  <c r="W431" i="2" s="1"/>
  <c r="W412" i="2" a="1"/>
  <c r="W412" i="2" s="1"/>
  <c r="W390" i="2" a="1"/>
  <c r="W390" i="2" s="1"/>
  <c r="W347" i="2" a="1"/>
  <c r="W347" i="2" s="1"/>
  <c r="W324" i="2" a="1"/>
  <c r="W324" i="2" s="1"/>
  <c r="W284" i="2" a="1"/>
  <c r="W284" i="2" s="1"/>
  <c r="W261" i="2" a="1"/>
  <c r="W261" i="2" s="1"/>
  <c r="W239" i="2" a="1"/>
  <c r="W239" i="2" s="1"/>
  <c r="W220" i="2" a="1"/>
  <c r="W220" i="2" s="1"/>
  <c r="W176" i="2" a="1"/>
  <c r="W176" i="2" s="1"/>
  <c r="W155" i="2" a="1"/>
  <c r="W155" i="2" s="1"/>
  <c r="W132" i="2" a="1"/>
  <c r="W132" i="2" s="1"/>
  <c r="W112" i="2" a="1"/>
  <c r="W112" i="2" s="1"/>
  <c r="W92" i="2" a="1"/>
  <c r="W92" i="2" s="1"/>
  <c r="W69" i="2" a="1"/>
  <c r="W69" i="2" s="1"/>
  <c r="W47" i="2" a="1"/>
  <c r="W47" i="2" s="1"/>
  <c r="W28" i="2" a="1"/>
  <c r="W28" i="2" s="1"/>
  <c r="W6" i="2" a="1"/>
  <c r="W6" i="2" s="1"/>
  <c r="W433" i="2" a="1"/>
  <c r="W433" i="2" s="1"/>
  <c r="W416" i="2" a="1"/>
  <c r="W416" i="2" s="1"/>
  <c r="W372" i="2" a="1"/>
  <c r="W372" i="2" s="1"/>
  <c r="W352" i="2" a="1"/>
  <c r="W352" i="2" s="1"/>
  <c r="W334" i="2" a="1"/>
  <c r="W334" i="2" s="1"/>
  <c r="W310" i="2" a="1"/>
  <c r="W310" i="2" s="1"/>
  <c r="W294" i="2" a="1"/>
  <c r="W294" i="2" s="1"/>
  <c r="W253" i="2" a="1"/>
  <c r="W253" i="2" s="1"/>
  <c r="W237" i="2" a="1"/>
  <c r="W237" i="2" s="1"/>
  <c r="W214" i="2" a="1"/>
  <c r="W214" i="2" s="1"/>
  <c r="W198" i="2" a="1"/>
  <c r="W198" i="2" s="1"/>
  <c r="W154" i="2" a="1"/>
  <c r="W154" i="2" s="1"/>
  <c r="W115" i="2" a="1"/>
  <c r="W115" i="2" s="1"/>
  <c r="W84" i="2" a="1"/>
  <c r="W84" i="2" s="1"/>
  <c r="W49" i="2" a="1"/>
  <c r="W49" i="2" s="1"/>
  <c r="W33" i="2" a="1"/>
  <c r="W33" i="2" s="1"/>
  <c r="W987" i="2" a="1"/>
  <c r="W987" i="2" s="1"/>
  <c r="W973" i="2" a="1"/>
  <c r="W973" i="2" s="1"/>
  <c r="W959" i="2" a="1"/>
  <c r="W959" i="2" s="1"/>
  <c r="W945" i="2" a="1"/>
  <c r="W945" i="2" s="1"/>
  <c r="W931" i="2" a="1"/>
  <c r="W931" i="2" s="1"/>
  <c r="W916" i="2" a="1"/>
  <c r="W916" i="2" s="1"/>
  <c r="W901" i="2" a="1"/>
  <c r="W901" i="2" s="1"/>
  <c r="W887" i="2" a="1"/>
  <c r="W887" i="2" s="1"/>
  <c r="W873" i="2" a="1"/>
  <c r="W873" i="2" s="1"/>
  <c r="W858" i="2" a="1"/>
  <c r="W858" i="2" s="1"/>
  <c r="W840" i="2" a="1"/>
  <c r="W840" i="2" s="1"/>
  <c r="W825" i="2" a="1"/>
  <c r="W825" i="2" s="1"/>
  <c r="W810" i="2" a="1"/>
  <c r="W810" i="2" s="1"/>
  <c r="W792" i="2" a="1"/>
  <c r="W792" i="2" s="1"/>
  <c r="W777" i="2" a="1"/>
  <c r="W777" i="2" s="1"/>
  <c r="W762" i="2" a="1"/>
  <c r="W762" i="2" s="1"/>
  <c r="W744" i="2" a="1"/>
  <c r="W744" i="2" s="1"/>
  <c r="W729" i="2" a="1"/>
  <c r="W729" i="2" s="1"/>
  <c r="W714" i="2" a="1"/>
  <c r="W714" i="2" s="1"/>
  <c r="W696" i="2" a="1"/>
  <c r="W696" i="2" s="1"/>
  <c r="W681" i="2" a="1"/>
  <c r="W681" i="2" s="1"/>
  <c r="W666" i="2" a="1"/>
  <c r="W666" i="2" s="1"/>
  <c r="W648" i="2" a="1"/>
  <c r="W648" i="2" s="1"/>
  <c r="W633" i="2" a="1"/>
  <c r="W633" i="2" s="1"/>
  <c r="W618" i="2" a="1"/>
  <c r="W618" i="2" s="1"/>
  <c r="W600" i="2" a="1"/>
  <c r="W600" i="2" s="1"/>
  <c r="W585" i="2" a="1"/>
  <c r="W585" i="2" s="1"/>
  <c r="W552" i="2" a="1"/>
  <c r="W552" i="2" s="1"/>
  <c r="W537" i="2" a="1"/>
  <c r="W537" i="2" s="1"/>
  <c r="W522" i="2" a="1"/>
  <c r="W522" i="2" s="1"/>
  <c r="W504" i="2" a="1"/>
  <c r="W504" i="2" s="1"/>
  <c r="W489" i="2" a="1"/>
  <c r="W489" i="2" s="1"/>
  <c r="W474" i="2" a="1"/>
  <c r="W474" i="2" s="1"/>
  <c r="W456" i="2" a="1"/>
  <c r="W456" i="2" s="1"/>
  <c r="W441" i="2" a="1"/>
  <c r="W441" i="2" s="1"/>
  <c r="W426" i="2" a="1"/>
  <c r="W426" i="2" s="1"/>
  <c r="W408" i="2" a="1"/>
  <c r="W408" i="2" s="1"/>
  <c r="W393" i="2" a="1"/>
  <c r="W393" i="2" s="1"/>
  <c r="W378" i="2" a="1"/>
  <c r="W378" i="2" s="1"/>
  <c r="W360" i="2" a="1"/>
  <c r="W360" i="2" s="1"/>
  <c r="W345" i="2" a="1"/>
  <c r="W345" i="2" s="1"/>
  <c r="W312" i="2" a="1"/>
  <c r="W312" i="2" s="1"/>
  <c r="W297" i="2" a="1"/>
  <c r="W297" i="2" s="1"/>
  <c r="W282" i="2" a="1"/>
  <c r="W282" i="2" s="1"/>
  <c r="W264" i="2" a="1"/>
  <c r="W264" i="2" s="1"/>
  <c r="W234" i="2" a="1"/>
  <c r="W234" i="2" s="1"/>
  <c r="W216" i="2" a="1"/>
  <c r="W216" i="2" s="1"/>
  <c r="W201" i="2" a="1"/>
  <c r="W201" i="2" s="1"/>
  <c r="W186" i="2" a="1"/>
  <c r="W186" i="2" s="1"/>
  <c r="W168" i="2" a="1"/>
  <c r="W168" i="2" s="1"/>
  <c r="W138" i="2" a="1"/>
  <c r="W138" i="2" s="1"/>
  <c r="W120" i="2" a="1"/>
  <c r="W120" i="2" s="1"/>
  <c r="W105" i="2" a="1"/>
  <c r="W105" i="2" s="1"/>
  <c r="W90" i="2" a="1"/>
  <c r="W90" i="2" s="1"/>
  <c r="W72" i="2" a="1"/>
  <c r="W72" i="2" s="1"/>
  <c r="W57" i="2" a="1"/>
  <c r="W57" i="2" s="1"/>
  <c r="W42" i="2" a="1"/>
  <c r="W42" i="2" s="1"/>
  <c r="W9" i="2" a="1"/>
  <c r="W9" i="2" s="1"/>
  <c r="W570" i="2" a="1"/>
  <c r="W570" i="2" s="1"/>
  <c r="W534" i="2" a="1"/>
  <c r="W534" i="2" s="1"/>
  <c r="W514" i="2" a="1"/>
  <c r="W514" i="2" s="1"/>
  <c r="W496" i="2" a="1"/>
  <c r="W496" i="2" s="1"/>
  <c r="W477" i="2" a="1"/>
  <c r="W477" i="2" s="1"/>
  <c r="W454" i="2" a="1"/>
  <c r="W454" i="2" s="1"/>
  <c r="W432" i="2" a="1"/>
  <c r="W432" i="2" s="1"/>
  <c r="W415" i="2" a="1"/>
  <c r="W415" i="2" s="1"/>
  <c r="W349" i="2" a="1"/>
  <c r="W349" i="2" s="1"/>
  <c r="W333" i="2" a="1"/>
  <c r="W333" i="2" s="1"/>
  <c r="W309" i="2" a="1"/>
  <c r="W309" i="2" s="1"/>
  <c r="W289" i="2" a="1"/>
  <c r="W289" i="2" s="1"/>
  <c r="W274" i="2" a="1"/>
  <c r="W274" i="2" s="1"/>
  <c r="W252" i="2" a="1"/>
  <c r="W252" i="2" s="1"/>
  <c r="W236" i="2" a="1"/>
  <c r="W236" i="2" s="1"/>
  <c r="W213" i="2" a="1"/>
  <c r="W213" i="2" s="1"/>
  <c r="W193" i="2" a="1"/>
  <c r="W193" i="2" s="1"/>
  <c r="W178" i="2" a="1"/>
  <c r="W178" i="2" s="1"/>
  <c r="W153" i="2" a="1"/>
  <c r="W153" i="2" s="1"/>
  <c r="W133" i="2" a="1"/>
  <c r="W133" i="2" s="1"/>
  <c r="W114" i="2" a="1"/>
  <c r="W114" i="2" s="1"/>
  <c r="W67" i="2" a="1"/>
  <c r="W67" i="2" s="1"/>
  <c r="W48" i="2" a="1"/>
  <c r="W48" i="2" s="1"/>
  <c r="W31" i="2" a="1"/>
  <c r="W31" i="2" s="1"/>
  <c r="W7" i="2" a="1"/>
  <c r="W7" i="2" s="1"/>
  <c r="W986" i="2" a="1"/>
  <c r="W986" i="2" s="1"/>
  <c r="W972" i="2" a="1"/>
  <c r="W972" i="2" s="1"/>
  <c r="W958" i="2" a="1"/>
  <c r="W958" i="2" s="1"/>
  <c r="W944" i="2" a="1"/>
  <c r="W944" i="2" s="1"/>
  <c r="W930" i="2" a="1"/>
  <c r="W930" i="2" s="1"/>
  <c r="W915" i="2" a="1"/>
  <c r="W915" i="2" s="1"/>
  <c r="W900" i="2" a="1"/>
  <c r="W900" i="2" s="1"/>
  <c r="W886" i="2" a="1"/>
  <c r="W886" i="2" s="1"/>
  <c r="W872" i="2" a="1"/>
  <c r="W872" i="2" s="1"/>
  <c r="W856" i="2" a="1"/>
  <c r="W856" i="2" s="1"/>
  <c r="W839" i="2" a="1"/>
  <c r="W839" i="2" s="1"/>
  <c r="W824" i="2" a="1"/>
  <c r="W824" i="2" s="1"/>
  <c r="W808" i="2" a="1"/>
  <c r="W808" i="2" s="1"/>
  <c r="W791" i="2" a="1"/>
  <c r="W791" i="2" s="1"/>
  <c r="W776" i="2" a="1"/>
  <c r="W776" i="2" s="1"/>
  <c r="W760" i="2" a="1"/>
  <c r="W760" i="2" s="1"/>
  <c r="W743" i="2" a="1"/>
  <c r="W743" i="2" s="1"/>
  <c r="W728" i="2" a="1"/>
  <c r="W728" i="2" s="1"/>
  <c r="W712" i="2" a="1"/>
  <c r="W712" i="2" s="1"/>
  <c r="W695" i="2" a="1"/>
  <c r="W695" i="2" s="1"/>
  <c r="W680" i="2" a="1"/>
  <c r="W680" i="2" s="1"/>
  <c r="W664" i="2" a="1"/>
  <c r="W664" i="2" s="1"/>
  <c r="W647" i="2" a="1"/>
  <c r="W647" i="2" s="1"/>
  <c r="W632" i="2" a="1"/>
  <c r="W632" i="2" s="1"/>
  <c r="W616" i="2" a="1"/>
  <c r="W616" i="2" s="1"/>
  <c r="W599" i="2" a="1"/>
  <c r="W599" i="2" s="1"/>
  <c r="W584" i="2" a="1"/>
  <c r="W584" i="2" s="1"/>
  <c r="W568" i="2" a="1"/>
  <c r="W568" i="2" s="1"/>
  <c r="W551" i="2" a="1"/>
  <c r="W551" i="2" s="1"/>
  <c r="W536" i="2" a="1"/>
  <c r="W536" i="2" s="1"/>
  <c r="W520" i="2" a="1"/>
  <c r="W520" i="2" s="1"/>
  <c r="W503" i="2" a="1"/>
  <c r="W503" i="2" s="1"/>
  <c r="W488" i="2" a="1"/>
  <c r="W488" i="2" s="1"/>
  <c r="W472" i="2" a="1"/>
  <c r="W472" i="2" s="1"/>
  <c r="W455" i="2" a="1"/>
  <c r="W455" i="2" s="1"/>
  <c r="W440" i="2" a="1"/>
  <c r="W440" i="2" s="1"/>
  <c r="W424" i="2" a="1"/>
  <c r="W424" i="2" s="1"/>
  <c r="W392" i="2" a="1"/>
  <c r="W392" i="2" s="1"/>
  <c r="W376" i="2" a="1"/>
  <c r="W376" i="2" s="1"/>
  <c r="W359" i="2" a="1"/>
  <c r="W359" i="2" s="1"/>
  <c r="W344" i="2" a="1"/>
  <c r="W344" i="2" s="1"/>
  <c r="W328" i="2" a="1"/>
  <c r="W328" i="2" s="1"/>
  <c r="W311" i="2" a="1"/>
  <c r="W311" i="2" s="1"/>
  <c r="W296" i="2" a="1"/>
  <c r="W296" i="2" s="1"/>
  <c r="W280" i="2" a="1"/>
  <c r="W280" i="2" s="1"/>
  <c r="W263" i="2" a="1"/>
  <c r="W263" i="2" s="1"/>
  <c r="W248" i="2" a="1"/>
  <c r="W248" i="2" s="1"/>
  <c r="W232" i="2" a="1"/>
  <c r="W232" i="2" s="1"/>
  <c r="W215" i="2" a="1"/>
  <c r="W215" i="2" s="1"/>
  <c r="W200" i="2" a="1"/>
  <c r="W200" i="2" s="1"/>
  <c r="W184" i="2" a="1"/>
  <c r="W184" i="2" s="1"/>
  <c r="W167" i="2" a="1"/>
  <c r="W167" i="2" s="1"/>
  <c r="W152" i="2" a="1"/>
  <c r="W152" i="2" s="1"/>
  <c r="W136" i="2" a="1"/>
  <c r="W136" i="2" s="1"/>
  <c r="W119" i="2" a="1"/>
  <c r="W119" i="2" s="1"/>
  <c r="W104" i="2" a="1"/>
  <c r="W104" i="2" s="1"/>
  <c r="W88" i="2" a="1"/>
  <c r="W88" i="2" s="1"/>
  <c r="W71" i="2" a="1"/>
  <c r="W71" i="2" s="1"/>
  <c r="W56" i="2" a="1"/>
  <c r="W56" i="2" s="1"/>
  <c r="W40" i="2" a="1"/>
  <c r="W40" i="2" s="1"/>
  <c r="W23" i="2" a="1"/>
  <c r="W23" i="2" s="1"/>
  <c r="W8" i="2" a="1"/>
  <c r="W8" i="2" s="1"/>
  <c r="W429" i="2" a="1"/>
  <c r="W429" i="2" s="1"/>
  <c r="W407" i="2" a="1"/>
  <c r="W407" i="2" s="1"/>
  <c r="W385" i="2" a="1"/>
  <c r="W385" i="2" s="1"/>
  <c r="W368" i="2" a="1"/>
  <c r="W368" i="2" s="1"/>
  <c r="W346" i="2" a="1"/>
  <c r="W346" i="2" s="1"/>
  <c r="W330" i="2" a="1"/>
  <c r="W330" i="2" s="1"/>
  <c r="W304" i="2" a="1"/>
  <c r="W304" i="2" s="1"/>
  <c r="W286" i="2" a="1"/>
  <c r="W286" i="2" s="1"/>
  <c r="W271" i="2" a="1"/>
  <c r="W271" i="2" s="1"/>
  <c r="W249" i="2" a="1"/>
  <c r="W249" i="2" s="1"/>
  <c r="W210" i="2" a="1"/>
  <c r="W210" i="2" s="1"/>
  <c r="W190" i="2" a="1"/>
  <c r="W190" i="2" s="1"/>
  <c r="W175" i="2" a="1"/>
  <c r="W175" i="2" s="1"/>
  <c r="W130" i="2" a="1"/>
  <c r="W130" i="2" s="1"/>
  <c r="W106" i="2" a="1"/>
  <c r="W106" i="2" s="1"/>
  <c r="W80" i="2" a="1"/>
  <c r="W80" i="2" s="1"/>
  <c r="W61" i="2" a="1"/>
  <c r="W61" i="2" s="1"/>
  <c r="W45" i="2" a="1"/>
  <c r="W45" i="2" s="1"/>
  <c r="W24" i="2" a="1"/>
  <c r="W24" i="2" s="1"/>
  <c r="W996" i="2" a="1"/>
  <c r="W996" i="2" s="1"/>
  <c r="W983" i="2" a="1"/>
  <c r="W983" i="2" s="1"/>
  <c r="W969" i="2" a="1"/>
  <c r="W969" i="2" s="1"/>
  <c r="W955" i="2" a="1"/>
  <c r="W955" i="2" s="1"/>
  <c r="W940" i="2" a="1"/>
  <c r="W940" i="2" s="1"/>
  <c r="W925" i="2" a="1"/>
  <c r="W925" i="2" s="1"/>
  <c r="W911" i="2" a="1"/>
  <c r="W911" i="2" s="1"/>
  <c r="W897" i="2" a="1"/>
  <c r="W897" i="2" s="1"/>
  <c r="W883" i="2" a="1"/>
  <c r="W883" i="2" s="1"/>
  <c r="W868" i="2" a="1"/>
  <c r="W868" i="2" s="1"/>
  <c r="W851" i="2" a="1"/>
  <c r="W851" i="2" s="1"/>
  <c r="W836" i="2" a="1"/>
  <c r="W836" i="2" s="1"/>
  <c r="W820" i="2" a="1"/>
  <c r="W820" i="2" s="1"/>
  <c r="W803" i="2" a="1"/>
  <c r="W803" i="2" s="1"/>
  <c r="W788" i="2" a="1"/>
  <c r="W788" i="2" s="1"/>
  <c r="W772" i="2" a="1"/>
  <c r="W772" i="2" s="1"/>
  <c r="W755" i="2" a="1"/>
  <c r="W755" i="2" s="1"/>
  <c r="W740" i="2" a="1"/>
  <c r="W740" i="2" s="1"/>
  <c r="W724" i="2" a="1"/>
  <c r="W724" i="2" s="1"/>
  <c r="W707" i="2" a="1"/>
  <c r="W707" i="2" s="1"/>
  <c r="W692" i="2" a="1"/>
  <c r="W692" i="2" s="1"/>
  <c r="W676" i="2" a="1"/>
  <c r="W676" i="2" s="1"/>
  <c r="W659" i="2" a="1"/>
  <c r="W659" i="2" s="1"/>
  <c r="W644" i="2" a="1"/>
  <c r="W644" i="2" s="1"/>
  <c r="W628" i="2" a="1"/>
  <c r="W628" i="2" s="1"/>
  <c r="W611" i="2" a="1"/>
  <c r="W611" i="2" s="1"/>
  <c r="W596" i="2" a="1"/>
  <c r="W596" i="2" s="1"/>
  <c r="W580" i="2" a="1"/>
  <c r="W580" i="2" s="1"/>
  <c r="W563" i="2" a="1"/>
  <c r="W563" i="2" s="1"/>
  <c r="W548" i="2" a="1"/>
  <c r="W548" i="2" s="1"/>
  <c r="W532" i="2" a="1"/>
  <c r="W532" i="2" s="1"/>
  <c r="W515" i="2" a="1"/>
  <c r="W515" i="2" s="1"/>
  <c r="W500" i="2" a="1"/>
  <c r="W500" i="2" s="1"/>
  <c r="W484" i="2" a="1"/>
  <c r="W484" i="2" s="1"/>
  <c r="W467" i="2" a="1"/>
  <c r="W467" i="2" s="1"/>
  <c r="W452" i="2" a="1"/>
  <c r="W452" i="2" s="1"/>
  <c r="W436" i="2" a="1"/>
  <c r="W436" i="2" s="1"/>
  <c r="W419" i="2" a="1"/>
  <c r="W419" i="2" s="1"/>
  <c r="W404" i="2" a="1"/>
  <c r="W404" i="2" s="1"/>
  <c r="W388" i="2" a="1"/>
  <c r="W388" i="2" s="1"/>
  <c r="W371" i="2" a="1"/>
  <c r="W371" i="2" s="1"/>
  <c r="W356" i="2" a="1"/>
  <c r="W356" i="2" s="1"/>
  <c r="W340" i="2" a="1"/>
  <c r="W340" i="2" s="1"/>
  <c r="W323" i="2" a="1"/>
  <c r="W323" i="2" s="1"/>
  <c r="W308" i="2" a="1"/>
  <c r="W308" i="2" s="1"/>
  <c r="W292" i="2" a="1"/>
  <c r="W292" i="2" s="1"/>
  <c r="W275" i="2" a="1"/>
  <c r="W275" i="2" s="1"/>
  <c r="W260" i="2" a="1"/>
  <c r="W260" i="2" s="1"/>
  <c r="W244" i="2" a="1"/>
  <c r="W244" i="2" s="1"/>
  <c r="W227" i="2" a="1"/>
  <c r="W227" i="2" s="1"/>
  <c r="W212" i="2" a="1"/>
  <c r="W212" i="2" s="1"/>
  <c r="W196" i="2" a="1"/>
  <c r="W196" i="2" s="1"/>
  <c r="W179" i="2" a="1"/>
  <c r="W179" i="2" s="1"/>
  <c r="W164" i="2" a="1"/>
  <c r="W164" i="2" s="1"/>
  <c r="W148" i="2" a="1"/>
  <c r="W148" i="2" s="1"/>
  <c r="W131" i="2" a="1"/>
  <c r="W131" i="2" s="1"/>
  <c r="W116" i="2" a="1"/>
  <c r="W116" i="2" s="1"/>
  <c r="W100" i="2" a="1"/>
  <c r="W100" i="2" s="1"/>
  <c r="W83" i="2" a="1"/>
  <c r="W83" i="2" s="1"/>
  <c r="W68" i="2" a="1"/>
  <c r="W68" i="2" s="1"/>
  <c r="W52" i="2" a="1"/>
  <c r="W52" i="2" s="1"/>
  <c r="W35" i="2" a="1"/>
  <c r="W35" i="2" s="1"/>
  <c r="W20" i="2" a="1"/>
  <c r="W20" i="2" s="1"/>
  <c r="W4" i="2" a="1"/>
  <c r="W4" i="2" s="1"/>
  <c r="W32" i="2" a="1"/>
  <c r="W32" i="2" s="1"/>
  <c r="W11" i="2" a="1"/>
  <c r="W11" i="2" s="1"/>
  <c r="W989" i="2" a="1"/>
  <c r="W989" i="2" s="1"/>
  <c r="W977" i="2" a="1"/>
  <c r="W977" i="2" s="1"/>
  <c r="W965" i="2" a="1"/>
  <c r="W965" i="2" s="1"/>
  <c r="W953" i="2" a="1"/>
  <c r="W953" i="2" s="1"/>
  <c r="W941" i="2" a="1"/>
  <c r="W941" i="2" s="1"/>
  <c r="W929" i="2" a="1"/>
  <c r="W929" i="2" s="1"/>
  <c r="W917" i="2" a="1"/>
  <c r="W917" i="2" s="1"/>
  <c r="W905" i="2" a="1"/>
  <c r="W905" i="2" s="1"/>
  <c r="W893" i="2" a="1"/>
  <c r="W893" i="2" s="1"/>
  <c r="W881" i="2" a="1"/>
  <c r="W881" i="2" s="1"/>
  <c r="W869" i="2" a="1"/>
  <c r="W869" i="2" s="1"/>
  <c r="W857" i="2" a="1"/>
  <c r="W857" i="2" s="1"/>
  <c r="W845" i="2" a="1"/>
  <c r="W845" i="2" s="1"/>
  <c r="W833" i="2" a="1"/>
  <c r="W833" i="2" s="1"/>
  <c r="W821" i="2" a="1"/>
  <c r="W821" i="2" s="1"/>
  <c r="W809" i="2" a="1"/>
  <c r="W809" i="2" s="1"/>
  <c r="W797" i="2" a="1"/>
  <c r="W797" i="2" s="1"/>
  <c r="W785" i="2" a="1"/>
  <c r="W785" i="2" s="1"/>
  <c r="W773" i="2" a="1"/>
  <c r="W773" i="2" s="1"/>
  <c r="W761" i="2" a="1"/>
  <c r="W761" i="2" s="1"/>
  <c r="W749" i="2" a="1"/>
  <c r="W749" i="2" s="1"/>
  <c r="W737" i="2" a="1"/>
  <c r="W737" i="2" s="1"/>
  <c r="W725" i="2" a="1"/>
  <c r="W725" i="2" s="1"/>
  <c r="W713" i="2" a="1"/>
  <c r="W713" i="2" s="1"/>
  <c r="W701" i="2" a="1"/>
  <c r="W701" i="2" s="1"/>
  <c r="W689" i="2" a="1"/>
  <c r="W689" i="2" s="1"/>
  <c r="W677" i="2" a="1"/>
  <c r="W677" i="2" s="1"/>
  <c r="W665" i="2" a="1"/>
  <c r="W665" i="2" s="1"/>
  <c r="W653" i="2" a="1"/>
  <c r="W653" i="2" s="1"/>
  <c r="W641" i="2" a="1"/>
  <c r="W641" i="2" s="1"/>
  <c r="W629" i="2" a="1"/>
  <c r="W629" i="2" s="1"/>
  <c r="W617" i="2" a="1"/>
  <c r="W617" i="2" s="1"/>
  <c r="W605" i="2" a="1"/>
  <c r="W605" i="2" s="1"/>
  <c r="W593" i="2" a="1"/>
  <c r="W593" i="2" s="1"/>
  <c r="W581" i="2" a="1"/>
  <c r="W581" i="2" s="1"/>
  <c r="W569" i="2" a="1"/>
  <c r="W569" i="2" s="1"/>
  <c r="W557" i="2" a="1"/>
  <c r="W557" i="2" s="1"/>
  <c r="W545" i="2" a="1"/>
  <c r="W545" i="2" s="1"/>
  <c r="W533" i="2" a="1"/>
  <c r="W533" i="2" s="1"/>
  <c r="W521" i="2" a="1"/>
  <c r="W521" i="2" s="1"/>
  <c r="W509" i="2" a="1"/>
  <c r="W509" i="2" s="1"/>
  <c r="W497" i="2" a="1"/>
  <c r="W497" i="2" s="1"/>
  <c r="W485" i="2" a="1"/>
  <c r="W485" i="2" s="1"/>
  <c r="W473" i="2" a="1"/>
  <c r="W473" i="2" s="1"/>
  <c r="W461" i="2" a="1"/>
  <c r="W461" i="2" s="1"/>
  <c r="W449" i="2" a="1"/>
  <c r="W449" i="2" s="1"/>
  <c r="W437" i="2" a="1"/>
  <c r="W437" i="2" s="1"/>
  <c r="W425" i="2" a="1"/>
  <c r="W425" i="2" s="1"/>
  <c r="W413" i="2" a="1"/>
  <c r="W413" i="2" s="1"/>
  <c r="W401" i="2" a="1"/>
  <c r="W401" i="2" s="1"/>
  <c r="W389" i="2" a="1"/>
  <c r="W389" i="2" s="1"/>
  <c r="W377" i="2" a="1"/>
  <c r="W377" i="2" s="1"/>
  <c r="W365" i="2" a="1"/>
  <c r="W365" i="2" s="1"/>
  <c r="W353" i="2" a="1"/>
  <c r="W353" i="2" s="1"/>
  <c r="W341" i="2" a="1"/>
  <c r="W341" i="2" s="1"/>
  <c r="W329" i="2" a="1"/>
  <c r="W329" i="2" s="1"/>
  <c r="W317" i="2" a="1"/>
  <c r="W317" i="2" s="1"/>
  <c r="W305" i="2" a="1"/>
  <c r="W305" i="2" s="1"/>
  <c r="W293" i="2" a="1"/>
  <c r="W293" i="2" s="1"/>
  <c r="W281" i="2" a="1"/>
  <c r="W281" i="2" s="1"/>
  <c r="W269" i="2" a="1"/>
  <c r="W269" i="2" s="1"/>
  <c r="W257" i="2" a="1"/>
  <c r="W257" i="2" s="1"/>
  <c r="W245" i="2" a="1"/>
  <c r="W245" i="2" s="1"/>
  <c r="W233" i="2" a="1"/>
  <c r="W233" i="2" s="1"/>
  <c r="W221" i="2" a="1"/>
  <c r="W221" i="2" s="1"/>
  <c r="W209" i="2" a="1"/>
  <c r="W209" i="2" s="1"/>
  <c r="W197" i="2" a="1"/>
  <c r="W197" i="2" s="1"/>
  <c r="W185" i="2" a="1"/>
  <c r="W185" i="2" s="1"/>
  <c r="W173" i="2" a="1"/>
  <c r="W173" i="2" s="1"/>
  <c r="W161" i="2" a="1"/>
  <c r="W161" i="2" s="1"/>
  <c r="W149" i="2" a="1"/>
  <c r="W149" i="2" s="1"/>
  <c r="W137" i="2" a="1"/>
  <c r="W137" i="2" s="1"/>
  <c r="W125" i="2" a="1"/>
  <c r="W125" i="2" s="1"/>
  <c r="W113" i="2" a="1"/>
  <c r="W113" i="2" s="1"/>
  <c r="W101" i="2" a="1"/>
  <c r="W101" i="2" s="1"/>
  <c r="W89" i="2" a="1"/>
  <c r="W89" i="2" s="1"/>
  <c r="W77" i="2" a="1"/>
  <c r="W77" i="2" s="1"/>
  <c r="W65" i="2" a="1"/>
  <c r="W65" i="2" s="1"/>
  <c r="W53" i="2" a="1"/>
  <c r="W53" i="2" s="1"/>
  <c r="W41" i="2" a="1"/>
  <c r="W41" i="2" s="1"/>
  <c r="W29" i="2" a="1"/>
  <c r="W29" i="2" s="1"/>
  <c r="W17" i="2" a="1"/>
  <c r="W17" i="2" s="1"/>
  <c r="W5" i="2" a="1"/>
  <c r="W5" i="2" s="1"/>
  <c r="W867" i="2" a="1"/>
  <c r="W867" i="2" s="1"/>
  <c r="W855" i="2" a="1"/>
  <c r="W855" i="2" s="1"/>
  <c r="W843" i="2" a="1"/>
  <c r="W843" i="2" s="1"/>
  <c r="W831" i="2" a="1"/>
  <c r="W831" i="2" s="1"/>
  <c r="W819" i="2" a="1"/>
  <c r="W819" i="2" s="1"/>
  <c r="W807" i="2" a="1"/>
  <c r="W807" i="2" s="1"/>
  <c r="W795" i="2" a="1"/>
  <c r="W795" i="2" s="1"/>
  <c r="W783" i="2" a="1"/>
  <c r="W783" i="2" s="1"/>
  <c r="W771" i="2" a="1"/>
  <c r="W771" i="2" s="1"/>
  <c r="W759" i="2" a="1"/>
  <c r="W759" i="2" s="1"/>
  <c r="W747" i="2" a="1"/>
  <c r="W747" i="2" s="1"/>
  <c r="W735" i="2" a="1"/>
  <c r="W735" i="2" s="1"/>
  <c r="W723" i="2" a="1"/>
  <c r="W723" i="2" s="1"/>
  <c r="W711" i="2" a="1"/>
  <c r="W711" i="2" s="1"/>
  <c r="W699" i="2" a="1"/>
  <c r="W699" i="2" s="1"/>
  <c r="W687" i="2" a="1"/>
  <c r="W687" i="2" s="1"/>
  <c r="W675" i="2" a="1"/>
  <c r="W675" i="2" s="1"/>
  <c r="W663" i="2" a="1"/>
  <c r="W663" i="2" s="1"/>
  <c r="W651" i="2" a="1"/>
  <c r="W651" i="2" s="1"/>
  <c r="W639" i="2" a="1"/>
  <c r="W639" i="2" s="1"/>
  <c r="W627" i="2" a="1"/>
  <c r="W627" i="2" s="1"/>
  <c r="W615" i="2" a="1"/>
  <c r="W615" i="2" s="1"/>
  <c r="W603" i="2" a="1"/>
  <c r="W603" i="2" s="1"/>
  <c r="W591" i="2" a="1"/>
  <c r="W591" i="2" s="1"/>
  <c r="W579" i="2" a="1"/>
  <c r="W579" i="2" s="1"/>
  <c r="W567" i="2" a="1"/>
  <c r="W567" i="2" s="1"/>
  <c r="W555" i="2" a="1"/>
  <c r="W555" i="2" s="1"/>
  <c r="W543" i="2" a="1"/>
  <c r="W543" i="2" s="1"/>
  <c r="W531" i="2" a="1"/>
  <c r="W531" i="2" s="1"/>
  <c r="W519" i="2" a="1"/>
  <c r="W519" i="2" s="1"/>
  <c r="W507" i="2" a="1"/>
  <c r="W507" i="2" s="1"/>
  <c r="W495" i="2" a="1"/>
  <c r="W495" i="2" s="1"/>
  <c r="W483" i="2" a="1"/>
  <c r="W483" i="2" s="1"/>
  <c r="W471" i="2" a="1"/>
  <c r="W471" i="2" s="1"/>
  <c r="W459" i="2" a="1"/>
  <c r="W459" i="2" s="1"/>
  <c r="W447" i="2" a="1"/>
  <c r="W447" i="2" s="1"/>
  <c r="W435" i="2" a="1"/>
  <c r="W435" i="2" s="1"/>
  <c r="W423" i="2" a="1"/>
  <c r="W423" i="2" s="1"/>
  <c r="W411" i="2" a="1"/>
  <c r="W411" i="2" s="1"/>
  <c r="W399" i="2" a="1"/>
  <c r="W399" i="2" s="1"/>
  <c r="W387" i="2" a="1"/>
  <c r="W387" i="2" s="1"/>
  <c r="W375" i="2" a="1"/>
  <c r="W375" i="2" s="1"/>
  <c r="W363" i="2" a="1"/>
  <c r="W363" i="2" s="1"/>
  <c r="W351" i="2" a="1"/>
  <c r="W351" i="2" s="1"/>
  <c r="W339" i="2" a="1"/>
  <c r="W339" i="2" s="1"/>
  <c r="W327" i="2" a="1"/>
  <c r="W327" i="2" s="1"/>
  <c r="W315" i="2" a="1"/>
  <c r="W315" i="2" s="1"/>
  <c r="W303" i="2" a="1"/>
  <c r="W303" i="2" s="1"/>
  <c r="W291" i="2" a="1"/>
  <c r="W291" i="2" s="1"/>
  <c r="W279" i="2" a="1"/>
  <c r="W279" i="2" s="1"/>
  <c r="W267" i="2" a="1"/>
  <c r="W267" i="2" s="1"/>
  <c r="W255" i="2" a="1"/>
  <c r="W255" i="2" s="1"/>
  <c r="W243" i="2" a="1"/>
  <c r="W243" i="2" s="1"/>
  <c r="W231" i="2" a="1"/>
  <c r="W231" i="2" s="1"/>
  <c r="W219" i="2" a="1"/>
  <c r="W219" i="2" s="1"/>
  <c r="W207" i="2" a="1"/>
  <c r="W207" i="2" s="1"/>
  <c r="W195" i="2" a="1"/>
  <c r="W195" i="2" s="1"/>
  <c r="W183" i="2" a="1"/>
  <c r="W183" i="2" s="1"/>
  <c r="W171" i="2" a="1"/>
  <c r="W171" i="2" s="1"/>
  <c r="W159" i="2" a="1"/>
  <c r="W159" i="2" s="1"/>
  <c r="W147" i="2" a="1"/>
  <c r="W147" i="2" s="1"/>
  <c r="W135" i="2" a="1"/>
  <c r="W135" i="2" s="1"/>
  <c r="W123" i="2" a="1"/>
  <c r="W123" i="2" s="1"/>
  <c r="W111" i="2" a="1"/>
  <c r="W111" i="2" s="1"/>
  <c r="W99" i="2" a="1"/>
  <c r="W99" i="2" s="1"/>
  <c r="W87" i="2" a="1"/>
  <c r="W87" i="2" s="1"/>
  <c r="W75" i="2" a="1"/>
  <c r="W75" i="2" s="1"/>
  <c r="W63" i="2" a="1"/>
  <c r="W63" i="2" s="1"/>
  <c r="W51" i="2" a="1"/>
  <c r="W51" i="2" s="1"/>
  <c r="W39" i="2" a="1"/>
  <c r="W39" i="2" s="1"/>
  <c r="W27" i="2" a="1"/>
  <c r="W27" i="2" s="1"/>
  <c r="W15" i="2" a="1"/>
  <c r="W15" i="2" s="1"/>
  <c r="W3" i="2" a="1"/>
  <c r="W3" i="2" s="1"/>
  <c r="W974" i="2" a="1"/>
  <c r="W974" i="2" s="1"/>
  <c r="W962" i="2" a="1"/>
  <c r="W962" i="2" s="1"/>
  <c r="W950" i="2" a="1"/>
  <c r="W950" i="2" s="1"/>
  <c r="W938" i="2" a="1"/>
  <c r="W938" i="2" s="1"/>
  <c r="W926" i="2" a="1"/>
  <c r="W926" i="2" s="1"/>
  <c r="W914" i="2" a="1"/>
  <c r="W914" i="2" s="1"/>
  <c r="W902" i="2" a="1"/>
  <c r="W902" i="2" s="1"/>
  <c r="W890" i="2" a="1"/>
  <c r="W890" i="2" s="1"/>
  <c r="W878" i="2" a="1"/>
  <c r="W878" i="2" s="1"/>
  <c r="W866" i="2" a="1"/>
  <c r="W866" i="2" s="1"/>
  <c r="W854" i="2" a="1"/>
  <c r="W854" i="2" s="1"/>
  <c r="W842" i="2" a="1"/>
  <c r="W842" i="2" s="1"/>
  <c r="W830" i="2" a="1"/>
  <c r="W830" i="2" s="1"/>
  <c r="W818" i="2" a="1"/>
  <c r="W818" i="2" s="1"/>
  <c r="W806" i="2" a="1"/>
  <c r="W806" i="2" s="1"/>
  <c r="W794" i="2" a="1"/>
  <c r="W794" i="2" s="1"/>
  <c r="W782" i="2" a="1"/>
  <c r="W782" i="2" s="1"/>
  <c r="W770" i="2" a="1"/>
  <c r="W770" i="2" s="1"/>
  <c r="W758" i="2" a="1"/>
  <c r="W758" i="2" s="1"/>
  <c r="W746" i="2" a="1"/>
  <c r="W746" i="2" s="1"/>
  <c r="W734" i="2" a="1"/>
  <c r="W734" i="2" s="1"/>
  <c r="W722" i="2" a="1"/>
  <c r="W722" i="2" s="1"/>
  <c r="W710" i="2" a="1"/>
  <c r="W710" i="2" s="1"/>
  <c r="W698" i="2" a="1"/>
  <c r="W698" i="2" s="1"/>
  <c r="W686" i="2" a="1"/>
  <c r="W686" i="2" s="1"/>
  <c r="W674" i="2" a="1"/>
  <c r="W674" i="2" s="1"/>
  <c r="W662" i="2" a="1"/>
  <c r="W662" i="2" s="1"/>
  <c r="W650" i="2" a="1"/>
  <c r="W650" i="2" s="1"/>
  <c r="W638" i="2" a="1"/>
  <c r="W638" i="2" s="1"/>
  <c r="W626" i="2" a="1"/>
  <c r="W626" i="2" s="1"/>
  <c r="W614" i="2" a="1"/>
  <c r="W614" i="2" s="1"/>
  <c r="W602" i="2" a="1"/>
  <c r="W602" i="2" s="1"/>
  <c r="W590" i="2" a="1"/>
  <c r="W590" i="2" s="1"/>
  <c r="W578" i="2" a="1"/>
  <c r="W578" i="2" s="1"/>
  <c r="W566" i="2" a="1"/>
  <c r="W566" i="2" s="1"/>
  <c r="W554" i="2" a="1"/>
  <c r="W554" i="2" s="1"/>
  <c r="W542" i="2" a="1"/>
  <c r="W542" i="2" s="1"/>
  <c r="W530" i="2" a="1"/>
  <c r="W530" i="2" s="1"/>
  <c r="W518" i="2" a="1"/>
  <c r="W518" i="2" s="1"/>
  <c r="W506" i="2" a="1"/>
  <c r="W506" i="2" s="1"/>
  <c r="W494" i="2" a="1"/>
  <c r="W494" i="2" s="1"/>
  <c r="W482" i="2" a="1"/>
  <c r="W482" i="2" s="1"/>
  <c r="W470" i="2" a="1"/>
  <c r="W470" i="2" s="1"/>
  <c r="W458" i="2" a="1"/>
  <c r="W458" i="2" s="1"/>
  <c r="W446" i="2" a="1"/>
  <c r="W446" i="2" s="1"/>
  <c r="W434" i="2" a="1"/>
  <c r="W434" i="2" s="1"/>
  <c r="W422" i="2" a="1"/>
  <c r="W422" i="2" s="1"/>
  <c r="W410" i="2" a="1"/>
  <c r="W410" i="2" s="1"/>
  <c r="W398" i="2" a="1"/>
  <c r="W398" i="2" s="1"/>
  <c r="W386" i="2" a="1"/>
  <c r="W386" i="2" s="1"/>
  <c r="W374" i="2" a="1"/>
  <c r="W374" i="2" s="1"/>
  <c r="W362" i="2" a="1"/>
  <c r="W362" i="2" s="1"/>
  <c r="W350" i="2" a="1"/>
  <c r="W350" i="2" s="1"/>
  <c r="W338" i="2" a="1"/>
  <c r="W338" i="2" s="1"/>
  <c r="W326" i="2" a="1"/>
  <c r="W326" i="2" s="1"/>
  <c r="W314" i="2" a="1"/>
  <c r="W314" i="2" s="1"/>
  <c r="W302" i="2" a="1"/>
  <c r="W302" i="2" s="1"/>
  <c r="W290" i="2" a="1"/>
  <c r="W290" i="2" s="1"/>
  <c r="W278" i="2" a="1"/>
  <c r="W278" i="2" s="1"/>
  <c r="W266" i="2" a="1"/>
  <c r="W266" i="2" s="1"/>
  <c r="W254" i="2" a="1"/>
  <c r="W254" i="2" s="1"/>
  <c r="W242" i="2" a="1"/>
  <c r="W242" i="2" s="1"/>
  <c r="W230" i="2" a="1"/>
  <c r="W230" i="2" s="1"/>
  <c r="W218" i="2" a="1"/>
  <c r="W218" i="2" s="1"/>
  <c r="W206" i="2" a="1"/>
  <c r="W206" i="2" s="1"/>
  <c r="W194" i="2" a="1"/>
  <c r="W194" i="2" s="1"/>
  <c r="W182" i="2" a="1"/>
  <c r="W182" i="2" s="1"/>
  <c r="W170" i="2" a="1"/>
  <c r="W170" i="2" s="1"/>
  <c r="W158" i="2" a="1"/>
  <c r="W158" i="2" s="1"/>
  <c r="W146" i="2" a="1"/>
  <c r="W146" i="2" s="1"/>
  <c r="W134" i="2" a="1"/>
  <c r="W134" i="2" s="1"/>
  <c r="W122" i="2" a="1"/>
  <c r="W122" i="2" s="1"/>
  <c r="W110" i="2" a="1"/>
  <c r="W110" i="2" s="1"/>
  <c r="W98" i="2" a="1"/>
  <c r="W98" i="2" s="1"/>
  <c r="W86" i="2" a="1"/>
  <c r="W86" i="2" s="1"/>
  <c r="W74" i="2" a="1"/>
  <c r="W74" i="2" s="1"/>
  <c r="W62" i="2" a="1"/>
  <c r="W62" i="2" s="1"/>
  <c r="W50" i="2" a="1"/>
  <c r="W50" i="2" s="1"/>
  <c r="W38" i="2" a="1"/>
  <c r="W38" i="2" s="1"/>
  <c r="W26" i="2" a="1"/>
  <c r="W26" i="2" s="1"/>
  <c r="W14" i="2" a="1"/>
  <c r="W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41E1A5-2787-4393-85BE-ED3C68E07E74}" keepAlive="1" name="Query - Real Sales" description="Connection to the 'Real Sales' query in the workbook." type="5" refreshedVersion="8" background="1" saveData="1">
    <dbPr connection="Provider=Microsoft.Mashup.OleDb.1;Data Source=$Workbook$;Location=&quot;Real Sales&quot;;Extended Properties=&quot;&quot;" command="SELECT * FROM [Real Sales]"/>
  </connection>
  <connection id="2" xr16:uid="{69A432B6-815F-4A7E-B0FD-42215BC343D0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039522A9-4170-46B8-924C-5AA6130AC274}" keepAlive="1" name="Query - Sales (2)" description="Connection to the 'Sales (2)' query in the workbook." type="5" refreshedVersion="0" background="1">
    <dbPr connection="Provider=Microsoft.Mashup.OleDb.1;Data Source=$Workbook$;Location=&quot;Sales (2)&quot;;Extended Properties=&quot;&quot;" command="SELECT * FROM [Sales (2)]"/>
  </connection>
  <connection id="4" xr16:uid="{D98C14D9-F509-4304-9071-00BCC65ADC0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B1EA65EA-F9E7-4CBB-98DA-5D15F6DD74D4}" name="WorksheetConnection_zalando_de_tshirts_practice.xlsx!Sales__3" type="102" refreshedVersion="8" minRefreshableVersion="5">
    <extLst>
      <ext xmlns:x15="http://schemas.microsoft.com/office/spreadsheetml/2010/11/main" uri="{DE250136-89BD-433C-8126-D09CA5730AF9}">
        <x15:connection id="Sales__3" autoDelete="1">
          <x15:rangePr sourceName="_xlcn.WorksheetConnection_zalando_de_tshirts_practice.xlsxSales__3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<sst xmlns="http://schemas.openxmlformats.org/spreadsheetml/2006/main" count="30123" uniqueCount="3472">
  <si>
    <t>ZL100000</t>
  </si>
  <si>
    <t>https://www.zalando.de/petrol-industries-slim-fit-polo---red-zl100000/</t>
  </si>
  <si>
    <t>Petrol Industries</t>
  </si>
  <si>
    <t>Slim Fit POLO - RED</t>
  </si>
  <si>
    <t>Men's T-Shirts &amp; Polos</t>
  </si>
  <si>
    <t>Polo Shirts</t>
  </si>
  <si>
    <t>Pique Polos</t>
  </si>
  <si>
    <t>Red</t>
  </si>
  <si>
    <t>SALE</t>
  </si>
  <si>
    <t>EUR</t>
  </si>
  <si>
    <t>5.0</t>
  </si>
  <si>
    <t>47.0</t>
  </si>
  <si>
    <t>No</t>
  </si>
  <si>
    <t>https://img01.ztat.net/article/ZL100000.jpg</t>
  </si>
  <si>
    <t>ZL100001</t>
  </si>
  <si>
    <t>https://www.zalando.de/only-and-sons-denim-print-t-shirt---rust-zl100001/</t>
  </si>
  <si>
    <t>Print T-SHIRT - RUST</t>
  </si>
  <si>
    <t>T-Shirts</t>
  </si>
  <si>
    <t>Long Sleeve T-Shirts</t>
  </si>
  <si>
    <t>Rust</t>
  </si>
  <si>
    <t>3.8</t>
  </si>
  <si>
    <t>Yes</t>
  </si>
  <si>
    <t>https://img01.ztat.net/article/ZL100001.jpg</t>
  </si>
  <si>
    <t>ZL100002</t>
  </si>
  <si>
    <t>https://www.zalando.de/anerkjendt-essential-t-shirt---grey-melange-zl100002/</t>
  </si>
  <si>
    <t>Anerkjendt</t>
  </si>
  <si>
    <t>Essential T-SHIRT - GREY MELANGE</t>
  </si>
  <si>
    <t>Slim Fit T-Shirts</t>
  </si>
  <si>
    <t>Grey Melange</t>
  </si>
  <si>
    <t>3.1</t>
  </si>
  <si>
    <t>29.0</t>
  </si>
  <si>
    <t>https://img01.ztat.net/article/ZL100002.jpg</t>
  </si>
  <si>
    <t>ZL100003</t>
  </si>
  <si>
    <t>https://www.zalando.de/adidas-performance-regular-fit-t-shirt---khaki-zl100003/</t>
  </si>
  <si>
    <t>Regular Fit T-SHIRT - KHAKI</t>
  </si>
  <si>
    <t>Khaki</t>
  </si>
  <si>
    <t>3.9</t>
  </si>
  <si>
    <t>31.0</t>
  </si>
  <si>
    <t>https://img01.ztat.net/article/ZL100003.jpg</t>
  </si>
  <si>
    <t>ZL100288</t>
  </si>
  <si>
    <t>https://www.zalando.de/lacoste-essential-polo---rust-zl100004/</t>
  </si>
  <si>
    <t>Lacoste</t>
  </si>
  <si>
    <t>Essential POLO - RUST</t>
  </si>
  <si>
    <t>3.3</t>
  </si>
  <si>
    <t>34.0</t>
  </si>
  <si>
    <t>https://img01.ztat.net/article/ZL100004.jpg</t>
  </si>
  <si>
    <t>ZL100005</t>
  </si>
  <si>
    <t>https://www.zalando.de/wrangler-basic-t-shirt---mint-zl100005/</t>
  </si>
  <si>
    <t>Wrangler</t>
  </si>
  <si>
    <t>Basic T-SHIRT - MINT</t>
  </si>
  <si>
    <t>Basic T-Shirts</t>
  </si>
  <si>
    <t>Mint</t>
  </si>
  <si>
    <t>4.6</t>
  </si>
  <si>
    <t>32.0</t>
  </si>
  <si>
    <t>https://img01.ztat.net/article/ZL100005.jpg</t>
  </si>
  <si>
    <t>ZL100006</t>
  </si>
  <si>
    <t>https://www.zalando.de/eterna-regular-fit-t-shirt---white-zl100006/</t>
  </si>
  <si>
    <t>Eterna</t>
  </si>
  <si>
    <t>Regular Fit T-SHIRT - WHITE</t>
  </si>
  <si>
    <t>White</t>
  </si>
  <si>
    <t>3.5</t>
  </si>
  <si>
    <t>27.0</t>
  </si>
  <si>
    <t>https://img01.ztat.net/article/ZL100006.jpg</t>
  </si>
  <si>
    <t>ZL100007</t>
  </si>
  <si>
    <t>https://www.zalando.de/nike-basic-t-shirt---bordeaux-zl100007/</t>
  </si>
  <si>
    <t>Nike</t>
  </si>
  <si>
    <t>Basic T-SHIRT - BORDEAUX</t>
  </si>
  <si>
    <t>Print T-Shirts</t>
  </si>
  <si>
    <t>Bordeaux</t>
  </si>
  <si>
    <t>3.7</t>
  </si>
  <si>
    <t>38.0</t>
  </si>
  <si>
    <t>https://img01.ztat.net/article/ZL100007.jpg</t>
  </si>
  <si>
    <t>ZL100008</t>
  </si>
  <si>
    <t>https://www.zalando.de/adidas-performance-print-t-shirt---khaki-zl100008/</t>
  </si>
  <si>
    <t>Print T-SHIRT - KHAKI</t>
  </si>
  <si>
    <t>3.4</t>
  </si>
  <si>
    <t>41.0</t>
  </si>
  <si>
    <t>https://img01.ztat.net/article/ZL100008.jpg</t>
  </si>
  <si>
    <t>ZL100009</t>
  </si>
  <si>
    <t>https://www.zalando.de/jack-and-jones-slim-fit-polo---denim-blue-zl100009/</t>
  </si>
  <si>
    <t>Jack &amp; Jones</t>
  </si>
  <si>
    <t>Slim Fit POLO - DENIM BLUE</t>
  </si>
  <si>
    <t>Slim Fit Polos</t>
  </si>
  <si>
    <t>Denim Blue</t>
  </si>
  <si>
    <t>43.0</t>
  </si>
  <si>
    <t>https://img01.ztat.net/article/ZL100009.jpg</t>
  </si>
  <si>
    <t>ZL100010</t>
  </si>
  <si>
    <t>https://www.zalando.de/j.lindeberg-slim-fit-polo---beige-zl100010/</t>
  </si>
  <si>
    <t>J.Lindeberg</t>
  </si>
  <si>
    <t>Slim Fit POLO - BEIGE</t>
  </si>
  <si>
    <t>Beige</t>
  </si>
  <si>
    <t>3.2</t>
  </si>
  <si>
    <t>35.0</t>
  </si>
  <si>
    <t>https://img01.ztat.net/article/ZL100010.jpg</t>
  </si>
  <si>
    <t>ZL100011</t>
  </si>
  <si>
    <t>https://www.zalando.de/teddy-smith-regular-fit-polo---beige-zl100011/</t>
  </si>
  <si>
    <t>Teddy Smith</t>
  </si>
  <si>
    <t>Regular Fit POLO - BEIGE</t>
  </si>
  <si>
    <t>4.1</t>
  </si>
  <si>
    <t>https://img01.ztat.net/article/ZL100011.jpg</t>
  </si>
  <si>
    <t>ZL100012</t>
  </si>
  <si>
    <t>https://www.zalando.de/pier-one-regular-fit-t-shirt---rust-zl100012/</t>
  </si>
  <si>
    <t>Pier One</t>
  </si>
  <si>
    <t>Regular Fit T-SHIRT - RUST</t>
  </si>
  <si>
    <t>4.2</t>
  </si>
  <si>
    <t>https://img01.ztat.net/article/ZL100012.jpg</t>
  </si>
  <si>
    <t>ZL100013</t>
  </si>
  <si>
    <t>https://www.zalando.de/guess-basic-polo---dark-blue-zl100013/</t>
  </si>
  <si>
    <t>Guess</t>
  </si>
  <si>
    <t>Basic POLO - DARK BLUE</t>
  </si>
  <si>
    <t>Dark Blue</t>
  </si>
  <si>
    <t>https://img01.ztat.net/article/ZL100013.jpg</t>
  </si>
  <si>
    <t>ZL100014</t>
  </si>
  <si>
    <t>https://www.zalando.de/timberland-regular-fit-t-shirt---beige-zl100014/</t>
  </si>
  <si>
    <t>Timberland</t>
  </si>
  <si>
    <t>Regular Fit T-SHIRT - BEIGE</t>
  </si>
  <si>
    <t>https://img01.ztat.net/article/ZL100014.jpg</t>
  </si>
  <si>
    <t>ZL100015</t>
  </si>
  <si>
    <t>https://www.zalando.de/umbro-print-polo---khaki-zl100015/</t>
  </si>
  <si>
    <t>Umbro</t>
  </si>
  <si>
    <t>Print POLO - KHAKI</t>
  </si>
  <si>
    <t>Basic Polos</t>
  </si>
  <si>
    <t>23.0</t>
  </si>
  <si>
    <t>https://img01.ztat.net/article/ZL100015.jpg</t>
  </si>
  <si>
    <t>ZL100016</t>
  </si>
  <si>
    <t>https://www.zalando.de/new-look-slim-fit-polo---dark-blue-zl100016/</t>
  </si>
  <si>
    <t>New Look</t>
  </si>
  <si>
    <t>Slim Fit POLO - DARK BLUE</t>
  </si>
  <si>
    <t>39.0</t>
  </si>
  <si>
    <t>https://img01.ztat.net/article/ZL100016.jpg</t>
  </si>
  <si>
    <t>ZL100017</t>
  </si>
  <si>
    <t>https://www.zalando.de/cleptomanicx-regular-fit-t-shirt---black-zl100017/</t>
  </si>
  <si>
    <t>Cleptomanicx</t>
  </si>
  <si>
    <t>Regular Fit T-SHIRT - BLACK</t>
  </si>
  <si>
    <t>Black</t>
  </si>
  <si>
    <t>https://img01.ztat.net/article/ZL100017.jpg</t>
  </si>
  <si>
    <t>ZL100018</t>
  </si>
  <si>
    <t>https://www.zalando.de/umbro-basic-polo---royal-blue-zl100018/</t>
  </si>
  <si>
    <t>Basic POLO - ROYAL BLUE</t>
  </si>
  <si>
    <t>Royal Blue</t>
  </si>
  <si>
    <t>4.7</t>
  </si>
  <si>
    <t>https://img01.ztat.net/article/ZL100018.jpg</t>
  </si>
  <si>
    <t>ZL100019</t>
  </si>
  <si>
    <t>https://www.zalando.de/adidas-performance-regular-fit-t-shirt---dark-green-zl100019/</t>
  </si>
  <si>
    <t>Regular Fit T-SHIRT - DARK GREEN</t>
  </si>
  <si>
    <t>Dark Green</t>
  </si>
  <si>
    <t>https://img01.ztat.net/article/ZL100019.jpg</t>
  </si>
  <si>
    <t>ZL100020</t>
  </si>
  <si>
    <t>https://www.zalando.de/new-look-basic-polo---grey-melange-zl100020/</t>
  </si>
  <si>
    <t>Basic POLO - GREY MELANGE</t>
  </si>
  <si>
    <t>https://img01.ztat.net/article/ZL100020.jpg</t>
  </si>
  <si>
    <t>ZL100021</t>
  </si>
  <si>
    <t>https://www.zalando.de/adidas-performance-print-t-shirt---grey-melange-zl100021/</t>
  </si>
  <si>
    <t>Print T-SHIRT - GREY MELANGE</t>
  </si>
  <si>
    <t>https://img01.ztat.net/article/ZL100021.jpg</t>
  </si>
  <si>
    <t>ZL100022</t>
  </si>
  <si>
    <t>https://www.zalando.de/herrlicher-print-polo---dark-green-zl100022/</t>
  </si>
  <si>
    <t>Herrlicher</t>
  </si>
  <si>
    <t>Print POLO - DARK GREEN</t>
  </si>
  <si>
    <t>https://img01.ztat.net/article/ZL100022.jpg</t>
  </si>
  <si>
    <t>ZL100023</t>
  </si>
  <si>
    <t>https://www.zalando.de/nike-slim-fit-t-shirt---khaki-zl100023/</t>
  </si>
  <si>
    <t>Slim Fit T-SHIRT - KHAKI</t>
  </si>
  <si>
    <t>N/A</t>
  </si>
  <si>
    <t>https://img01.ztat.net/article/ZL100023.jpg</t>
  </si>
  <si>
    <t>ZL100024</t>
  </si>
  <si>
    <t>https://www.zalando.de/guess-slim-fit-t-shirt---light-grey-zl100024/</t>
  </si>
  <si>
    <t>Slim Fit T-SHIRT - LIGHT GREY</t>
  </si>
  <si>
    <t>Light Grey</t>
  </si>
  <si>
    <t>42.0</t>
  </si>
  <si>
    <t>https://img01.ztat.net/article/ZL100024.jpg</t>
  </si>
  <si>
    <t>ZL100025</t>
  </si>
  <si>
    <t>https://www.zalando.de/nike-slim-fit-t-shirt---red-zl100025/</t>
  </si>
  <si>
    <t>Slim Fit T-SHIRT - RED</t>
  </si>
  <si>
    <t>https://img01.ztat.net/article/ZL100025.jpg</t>
  </si>
  <si>
    <t>ZL100026</t>
  </si>
  <si>
    <t>https://www.zalando.de/adidas-originals-basic-t-shirt---bordeaux-zl100026/</t>
  </si>
  <si>
    <t>40.0</t>
  </si>
  <si>
    <t>https://img01.ztat.net/article/ZL100026.jpg</t>
  </si>
  <si>
    <t>ZL100027</t>
  </si>
  <si>
    <t>https://www.zalando.de/nike-regular-fit-polo---bordeaux-zl100027/</t>
  </si>
  <si>
    <t>Regular Fit POLO - BORDEAUX</t>
  </si>
  <si>
    <t>https://img01.ztat.net/article/ZL100027.jpg</t>
  </si>
  <si>
    <t>ZL100028</t>
  </si>
  <si>
    <t>https://www.zalando.de/jack-jones-junior-essential-polo---off-white-zl100028/</t>
  </si>
  <si>
    <t>Off White</t>
  </si>
  <si>
    <t>36.0</t>
  </si>
  <si>
    <t>https://img01.ztat.net/article/ZL100028.jpg</t>
  </si>
  <si>
    <t>ZL100029</t>
  </si>
  <si>
    <t>https://www.zalando.de/nike-basic-polo---black-zl100029/</t>
  </si>
  <si>
    <t>Basic POLO - BLACK</t>
  </si>
  <si>
    <t>4.3</t>
  </si>
  <si>
    <t>30.0</t>
  </si>
  <si>
    <t>https://img01.ztat.net/article/ZL100029.jpg</t>
  </si>
  <si>
    <t>ZL100030</t>
  </si>
  <si>
    <t>https://www.zalando.de/umbro-essential-t-shirt---red-zl100030/</t>
  </si>
  <si>
    <t>Essential T-SHIRT - RED</t>
  </si>
  <si>
    <t>https://img01.ztat.net/article/ZL100030.jpg</t>
  </si>
  <si>
    <t>ZL100031</t>
  </si>
  <si>
    <t>https://www.zalando.de/boss-regular-fit-polo---off-white-zl100031/</t>
  </si>
  <si>
    <t>Boss</t>
  </si>
  <si>
    <t>Regular Fit POLO - OFF WHITE</t>
  </si>
  <si>
    <t>https://img01.ztat.net/article/ZL100031.jpg</t>
  </si>
  <si>
    <t>ZL100032</t>
  </si>
  <si>
    <t>https://www.zalando.de/timberland-slim-fit-t-shirt---dark-green-zl100032/</t>
  </si>
  <si>
    <t>Slim Fit T-SHIRT - DARK GREEN</t>
  </si>
  <si>
    <t>https://img01.ztat.net/article/ZL100032.jpg</t>
  </si>
  <si>
    <t>ZL100033</t>
  </si>
  <si>
    <t>https://www.zalando.de/only-and-sons-denim-regular-fit-polo---khaki-zl100033/</t>
  </si>
  <si>
    <t>Regular Fit POLO - KHAKI</t>
  </si>
  <si>
    <t>https://img01.ztat.net/article/ZL100033.jpg</t>
  </si>
  <si>
    <t>ZL100034</t>
  </si>
  <si>
    <t>https://www.zalando.de/diesel-slim-fit-polo---royal-blue-zl100034/</t>
  </si>
  <si>
    <t>Diesel</t>
  </si>
  <si>
    <t>Slim Fit POLO - ROYAL BLUE</t>
  </si>
  <si>
    <t>28.0</t>
  </si>
  <si>
    <t>https://img01.ztat.net/article/ZL100034.jpg</t>
  </si>
  <si>
    <t>ZL100035</t>
  </si>
  <si>
    <t>https://www.zalando.de/kappa-print-t-shirt---royal-blue-zl100035/</t>
  </si>
  <si>
    <t>Kappa</t>
  </si>
  <si>
    <t>Print T-SHIRT - ROYAL BLUE</t>
  </si>
  <si>
    <t>33.0</t>
  </si>
  <si>
    <t>https://img01.ztat.net/article/ZL100035.jpg</t>
  </si>
  <si>
    <t>ZL100036</t>
  </si>
  <si>
    <t>https://www.zalando.de/anerkjendt-print-t-shirt---dark-blue-zl100036/</t>
  </si>
  <si>
    <t>Print T-SHIRT - DARK BLUE</t>
  </si>
  <si>
    <t>https://img01.ztat.net/article/ZL100036.jpg</t>
  </si>
  <si>
    <t>ZL100037</t>
  </si>
  <si>
    <t>https://www.zalando.de/umbro-print-polo---light-grey-zl100037/</t>
  </si>
  <si>
    <t>Print POLO - LIGHT GREY</t>
  </si>
  <si>
    <t>https://img01.ztat.net/article/ZL100037.jpg</t>
  </si>
  <si>
    <t>ZL100038</t>
  </si>
  <si>
    <t>https://www.zalando.de/name-it-regular-fit-polo---bordeaux-zl100038/</t>
  </si>
  <si>
    <t>https://img01.ztat.net/article/ZL100038.jpg</t>
  </si>
  <si>
    <t>ZL100039</t>
  </si>
  <si>
    <t>https://www.zalando.de/cars-slim-fit-t-shirt---navy-zl100039/</t>
  </si>
  <si>
    <t>Slim Fit T-SHIRT - NAVY</t>
  </si>
  <si>
    <t>Navy</t>
  </si>
  <si>
    <t>37.0</t>
  </si>
  <si>
    <t>https://img01.ztat.net/article/ZL100039.jpg</t>
  </si>
  <si>
    <t>ZL100040</t>
  </si>
  <si>
    <t>https://www.zalando.de/tommy-hilfiger-slim-fit-polo---red-zl100040/</t>
  </si>
  <si>
    <t>Tommy Hilfiger</t>
  </si>
  <si>
    <t>https://img01.ztat.net/article/ZL100040.jpg</t>
  </si>
  <si>
    <t>ZL100041</t>
  </si>
  <si>
    <t>https://www.zalando.de/blend-she-essential-t-shirt---bordeaux-zl100041/</t>
  </si>
  <si>
    <t>Blend She</t>
  </si>
  <si>
    <t>Essential T-SHIRT - BORDEAUX</t>
  </si>
  <si>
    <t>NEW</t>
  </si>
  <si>
    <t>https://img01.ztat.net/article/ZL100041.jpg</t>
  </si>
  <si>
    <t>ZL100042</t>
  </si>
  <si>
    <t>https://www.zalando.de/pullandbear-slim-fit-polo---khaki-zl100042/</t>
  </si>
  <si>
    <t>Pull&amp;Bear</t>
  </si>
  <si>
    <t>Slim Fit POLO - KHAKI</t>
  </si>
  <si>
    <t>20.0</t>
  </si>
  <si>
    <t>https://img01.ztat.net/article/ZL100042.jpg</t>
  </si>
  <si>
    <t>ZL100043</t>
  </si>
  <si>
    <t>https://www.zalando.de/nike-basic-polo---beige-zl100043/</t>
  </si>
  <si>
    <t>https://img01.ztat.net/article/ZL100043.jpg</t>
  </si>
  <si>
    <t>ZL100044</t>
  </si>
  <si>
    <t>https://www.zalando.de/only-and-sons-denim-regular-fit-t-shirt---beige-zl100044/</t>
  </si>
  <si>
    <t>4.8</t>
  </si>
  <si>
    <t>https://img01.ztat.net/article/ZL100044.jpg</t>
  </si>
  <si>
    <t>ZL100045</t>
  </si>
  <si>
    <t>https://www.zalando.de/dickies-print-t-shirt---navy-zl100045/</t>
  </si>
  <si>
    <t>Dickies</t>
  </si>
  <si>
    <t>Print T-SHIRT - NAVY</t>
  </si>
  <si>
    <t>4.5</t>
  </si>
  <si>
    <t>https://img01.ztat.net/article/ZL100045.jpg</t>
  </si>
  <si>
    <t>ZL100046</t>
  </si>
  <si>
    <t>https://www.zalando.de/napapijri-essential-polo---mint-zl100046/</t>
  </si>
  <si>
    <t>Napapijri</t>
  </si>
  <si>
    <t>Essential POLO - MINT</t>
  </si>
  <si>
    <t>https://img01.ztat.net/article/ZL100046.jpg</t>
  </si>
  <si>
    <t>ZL100047</t>
  </si>
  <si>
    <t>https://www.zalando.de/threadbare-slim-fit-polo---red-zl100047/</t>
  </si>
  <si>
    <t>https://img01.ztat.net/article/ZL100047.jpg</t>
  </si>
  <si>
    <t>ZL100048</t>
  </si>
  <si>
    <t>https://www.zalando.de/van-laack-slim-fit-t-shirt---grey-melange-zl100048/</t>
  </si>
  <si>
    <t>Slim Fit T-SHIRT - GREY MELANGE</t>
  </si>
  <si>
    <t>https://img01.ztat.net/article/ZL100048.jpg</t>
  </si>
  <si>
    <t>ZL100049</t>
  </si>
  <si>
    <t>https://www.zalando.de/g-star-slim-fit-polo---red-zl100049/</t>
  </si>
  <si>
    <t>45.0</t>
  </si>
  <si>
    <t>https://img01.ztat.net/article/ZL100049.jpg</t>
  </si>
  <si>
    <t>ZL100050</t>
  </si>
  <si>
    <t>https://www.zalando.de/tommy-hilfiger-slim-fit-polo---dark-blue-zl100050/</t>
  </si>
  <si>
    <t>4.0</t>
  </si>
  <si>
    <t>22.0</t>
  </si>
  <si>
    <t>https://img01.ztat.net/article/ZL100050.jpg</t>
  </si>
  <si>
    <t>ZL100051</t>
  </si>
  <si>
    <t>https://www.zalando.de/nike-essential-t-shirt---dark-green-zl100051/</t>
  </si>
  <si>
    <t>Essential T-SHIRT - DARK GREEN</t>
  </si>
  <si>
    <t>https://img01.ztat.net/article/ZL100051.jpg</t>
  </si>
  <si>
    <t>ZL100052</t>
  </si>
  <si>
    <t>https://www.zalando.de/gap-basic-polo---dark-green-zl100052/</t>
  </si>
  <si>
    <t>Basic POLO - DARK GREEN</t>
  </si>
  <si>
    <t>https://img01.ztat.net/article/ZL100052.jpg</t>
  </si>
  <si>
    <t>ZL100053</t>
  </si>
  <si>
    <t>https://www.zalando.de/topman-print-t-shirt---dark-green-zl100053/</t>
  </si>
  <si>
    <t>Topman</t>
  </si>
  <si>
    <t>Print T-SHIRT - DARK GREEN</t>
  </si>
  <si>
    <t>4.4</t>
  </si>
  <si>
    <t>https://img01.ztat.net/article/ZL100053.jpg</t>
  </si>
  <si>
    <t>ZL100054</t>
  </si>
  <si>
    <t>https://www.zalando.de/craft-basic-polo---denim-blue-zl100054/</t>
  </si>
  <si>
    <t>Craft</t>
  </si>
  <si>
    <t>Basic POLO - DENIM BLUE</t>
  </si>
  <si>
    <t>https://img01.ztat.net/article/ZL100054.jpg</t>
  </si>
  <si>
    <t>ZL100055</t>
  </si>
  <si>
    <t>https://www.zalando.de/only-and-sons-denim-essential-polo---rust-zl100055/</t>
  </si>
  <si>
    <t>https://img01.ztat.net/article/ZL100055.jpg</t>
  </si>
  <si>
    <t>ZL100056</t>
  </si>
  <si>
    <t>https://www.zalando.de/anerkjendt-slim-fit-t-shirt---white-zl100056/</t>
  </si>
  <si>
    <t>Slim Fit T-SHIRT - WHITE</t>
  </si>
  <si>
    <t>https://img01.ztat.net/article/ZL100056.jpg</t>
  </si>
  <si>
    <t>ZL100057</t>
  </si>
  <si>
    <t>https://www.zalando.de/levi's-print-polo---beige-zl100057/</t>
  </si>
  <si>
    <t>Levi's</t>
  </si>
  <si>
    <t>Print POLO - BEIGE</t>
  </si>
  <si>
    <t>https://img01.ztat.net/article/ZL100057.jpg</t>
  </si>
  <si>
    <t>ZL100058</t>
  </si>
  <si>
    <t>https://www.zalando.de/hummel-essential-t-shirt---grey-melange-zl100058/</t>
  </si>
  <si>
    <t>Hummel</t>
  </si>
  <si>
    <t>https://img01.ztat.net/article/ZL100058.jpg</t>
  </si>
  <si>
    <t>ZL100059</t>
  </si>
  <si>
    <t>https://www.zalando.de/adidas-performance-regular-fit-polo---dark-blue-zl100059/</t>
  </si>
  <si>
    <t>Regular Fit POLO - DARK BLUE</t>
  </si>
  <si>
    <t>46.0</t>
  </si>
  <si>
    <t>https://img01.ztat.net/article/ZL100059.jpg</t>
  </si>
  <si>
    <t>ZL100060</t>
  </si>
  <si>
    <t>https://www.zalando.de/digel-regular-fit-polo---anthracite-zl100060/</t>
  </si>
  <si>
    <t>Regular Fit POLO - ANTHRACITE</t>
  </si>
  <si>
    <t>Anthracite</t>
  </si>
  <si>
    <t>24.0</t>
  </si>
  <si>
    <t>https://img01.ztat.net/article/ZL100060.jpg</t>
  </si>
  <si>
    <t>ZL100061</t>
  </si>
  <si>
    <t>https://www.zalando.de/nike-slim-fit-t-shirt---beige-zl100061/</t>
  </si>
  <si>
    <t>Slim Fit T-SHIRT - BEIGE</t>
  </si>
  <si>
    <t>https://img01.ztat.net/article/ZL100061.jpg</t>
  </si>
  <si>
    <t>ZL100062</t>
  </si>
  <si>
    <t>https://www.zalando.de/jack-jones-junior-regular-fit-t-shirt---navy-zl100062/</t>
  </si>
  <si>
    <t>Regular Fit T-SHIRT - NAVY</t>
  </si>
  <si>
    <t>https://img01.ztat.net/article/ZL100062.jpg</t>
  </si>
  <si>
    <t>ZL100063</t>
  </si>
  <si>
    <t>https://www.zalando.de/tommy-hilfiger-essential-polo---dark-blue-zl100063/</t>
  </si>
  <si>
    <t>Essential POLO - DARK BLUE</t>
  </si>
  <si>
    <t>4.9</t>
  </si>
  <si>
    <t>https://img01.ztat.net/article/ZL100063.jpg</t>
  </si>
  <si>
    <t>ZL100064</t>
  </si>
  <si>
    <t>https://www.zalando.de/tommy-hilfiger-regular-fit-polo---mint-zl100064/</t>
  </si>
  <si>
    <t>https://img01.ztat.net/article/ZL100064.jpg</t>
  </si>
  <si>
    <t>ZL100065</t>
  </si>
  <si>
    <t>https://www.zalando.de/tommy-hilfiger-print-t-shirt---beige-zl100065/</t>
  </si>
  <si>
    <t>Print T-SHIRT - BEIGE</t>
  </si>
  <si>
    <t>https://img01.ztat.net/article/ZL100065.jpg</t>
  </si>
  <si>
    <t>ZL100066</t>
  </si>
  <si>
    <t>https://www.zalando.de/nike-essential-polo---anthracite-zl100066/</t>
  </si>
  <si>
    <t>Essential POLO - ANTHRACITE</t>
  </si>
  <si>
    <t>3.6</t>
  </si>
  <si>
    <t>https://img01.ztat.net/article/ZL100066.jpg</t>
  </si>
  <si>
    <t>ZL100067</t>
  </si>
  <si>
    <t>https://www.zalando.de/adidas-originals-print-t-shirt---white-zl100067/</t>
  </si>
  <si>
    <t>Print T-SHIRT - WHITE</t>
  </si>
  <si>
    <t>https://img01.ztat.net/article/ZL100067.jpg</t>
  </si>
  <si>
    <t>ZL100068</t>
  </si>
  <si>
    <t>https://www.zalando.de/converse-regular-fit-polo---bordeaux-zl100068/</t>
  </si>
  <si>
    <t>Converse</t>
  </si>
  <si>
    <t>25.0</t>
  </si>
  <si>
    <t>https://img01.ztat.net/article/ZL100068.jpg</t>
  </si>
  <si>
    <t>ZL100069</t>
  </si>
  <si>
    <t>https://www.zalando.de/boss-orange-print-polo---black-zl100069/</t>
  </si>
  <si>
    <t>Print POLO - BLACK</t>
  </si>
  <si>
    <t>https://img01.ztat.net/article/ZL100069.jpg</t>
  </si>
  <si>
    <t>ZL100070</t>
  </si>
  <si>
    <t>https://www.zalando.de/nike-basic-t-shirt---light-grey-zl100070/</t>
  </si>
  <si>
    <t>Basic T-SHIRT - LIGHT GREY</t>
  </si>
  <si>
    <t>https://img01.ztat.net/article/ZL100070.jpg</t>
  </si>
  <si>
    <t>ZL100071</t>
  </si>
  <si>
    <t>https://www.zalando.de/tommy-hilfiger-print-t-shirt---beige-zl100071/</t>
  </si>
  <si>
    <t>https://img01.ztat.net/article/ZL100071.jpg</t>
  </si>
  <si>
    <t>ZL100072</t>
  </si>
  <si>
    <t>https://www.zalando.de/mazine-slim-fit-t-shirt---khaki-zl100072/</t>
  </si>
  <si>
    <t>Mazine</t>
  </si>
  <si>
    <t>https://img01.ztat.net/article/ZL100072.jpg</t>
  </si>
  <si>
    <t>ZL100073</t>
  </si>
  <si>
    <t>https://www.zalando.de/denim-and-supply-regular-fit-t-shirt---light-grey-zl100073/</t>
  </si>
  <si>
    <t>Denim &amp; Supply</t>
  </si>
  <si>
    <t>Regular Fit T-SHIRT - LIGHT GREY</t>
  </si>
  <si>
    <t>https://img01.ztat.net/article/ZL100073.jpg</t>
  </si>
  <si>
    <t>ZL100074</t>
  </si>
  <si>
    <t>https://www.zalando.de/nn07-essential-t-shirt---rust-zl100074/</t>
  </si>
  <si>
    <t>Essential T-SHIRT - RUST</t>
  </si>
  <si>
    <t>https://img01.ztat.net/article/ZL100074.jpg</t>
  </si>
  <si>
    <t>ZL100075</t>
  </si>
  <si>
    <t>https://www.zalando.de/jackandjones-plus-basic-t-shirt---mint-zl100075/</t>
  </si>
  <si>
    <t>https://img01.ztat.net/article/ZL100075.jpg</t>
  </si>
  <si>
    <t>ZL100076</t>
  </si>
  <si>
    <t>https://www.zalando.de/vans-essential-polo---off-white-zl100076/</t>
  </si>
  <si>
    <t>Vans</t>
  </si>
  <si>
    <t>Essential POLO - OFF WHITE</t>
  </si>
  <si>
    <t>https://img01.ztat.net/article/ZL100076.jpg</t>
  </si>
  <si>
    <t>ZL100077</t>
  </si>
  <si>
    <t>https://www.zalando.de/dickies-print-polo---white-zl100077/</t>
  </si>
  <si>
    <t>Print POLO - WHITE</t>
  </si>
  <si>
    <t>https://img01.ztat.net/article/ZL100077.jpg</t>
  </si>
  <si>
    <t>ZL100078</t>
  </si>
  <si>
    <t>https://www.zalando.de/herrlicher-essential-polo---grey-melange-zl100078/</t>
  </si>
  <si>
    <t>Essential POLO - GREY MELANGE</t>
  </si>
  <si>
    <t>https://img01.ztat.net/article/ZL100078.jpg</t>
  </si>
  <si>
    <t>ZL100079</t>
  </si>
  <si>
    <t>https://www.zalando.de/produkt-slim-fit-t-shirt---rust-zl100079/</t>
  </si>
  <si>
    <t>Produkt</t>
  </si>
  <si>
    <t>Slim Fit T-SHIRT - RUST</t>
  </si>
  <si>
    <t>https://img01.ztat.net/article/ZL100079.jpg</t>
  </si>
  <si>
    <t>ZL100080</t>
  </si>
  <si>
    <t>https://www.zalando.de/nn07-basic-t-shirt---olive-zl100080/</t>
  </si>
  <si>
    <t>Basic T-SHIRT - OLIVE</t>
  </si>
  <si>
    <t>Olive</t>
  </si>
  <si>
    <t>44.0</t>
  </si>
  <si>
    <t>https://img01.ztat.net/article/ZL100080.jpg</t>
  </si>
  <si>
    <t>ZL100081</t>
  </si>
  <si>
    <t>https://www.zalando.de/fila-slim-fit-polo---white-zl100081/</t>
  </si>
  <si>
    <t>Fila</t>
  </si>
  <si>
    <t>Slim Fit POLO - WHITE</t>
  </si>
  <si>
    <t>https://img01.ztat.net/article/ZL100081.jpg</t>
  </si>
  <si>
    <t>ZL100082</t>
  </si>
  <si>
    <t>https://www.zalando.de/nike-print-polo---anthracite-zl100082/</t>
  </si>
  <si>
    <t>Print POLO - ANTHRACITE</t>
  </si>
  <si>
    <t>https://img01.ztat.net/article/ZL100082.jpg</t>
  </si>
  <si>
    <t>ZL100083</t>
  </si>
  <si>
    <t>https://www.zalando.de/celio-basic-polo---khaki-zl100083/</t>
  </si>
  <si>
    <t>Basic POLO - KHAKI</t>
  </si>
  <si>
    <t>https://img01.ztat.net/article/ZL100083.jpg</t>
  </si>
  <si>
    <t>ZL100084</t>
  </si>
  <si>
    <t>https://www.zalando.de/burton-basic-polo---grey-melange-zl100084/</t>
  </si>
  <si>
    <t>https://img01.ztat.net/article/ZL100084.jpg</t>
  </si>
  <si>
    <t>ZL100085</t>
  </si>
  <si>
    <t>https://www.zalando.de/new-look-print-t-shirt---royal-blue-zl100085/</t>
  </si>
  <si>
    <t>https://img01.ztat.net/article/ZL100085.jpg</t>
  </si>
  <si>
    <t>ZL100086</t>
  </si>
  <si>
    <t>https://www.zalando.de/adidas-performance-basic-polo---white-zl100086/</t>
  </si>
  <si>
    <t>Basic POLO - WHITE</t>
  </si>
  <si>
    <t>https://img01.ztat.net/article/ZL100086.jpg</t>
  </si>
  <si>
    <t>ZL100087</t>
  </si>
  <si>
    <t>https://www.zalando.de/carhartt-wip-basic-t-shirt---dark-green-zl100087/</t>
  </si>
  <si>
    <t>Basic T-SHIRT - DARK GREEN</t>
  </si>
  <si>
    <t>https://img01.ztat.net/article/ZL100087.jpg</t>
  </si>
  <si>
    <t>ZL100088</t>
  </si>
  <si>
    <t>https://www.zalando.de/nike-essential-polo---white-zl100088/</t>
  </si>
  <si>
    <t>Essential POLO - WHITE</t>
  </si>
  <si>
    <t>https://img01.ztat.net/article/ZL100088.jpg</t>
  </si>
  <si>
    <t>ZL100089</t>
  </si>
  <si>
    <t>https://www.zalando.de/zalando-essentials-essential-polo---dark-blue-zl100089/</t>
  </si>
  <si>
    <t>Zalando Essentials</t>
  </si>
  <si>
    <t>https://img01.ztat.net/article/ZL100089.jpg</t>
  </si>
  <si>
    <t>ZL100090</t>
  </si>
  <si>
    <t>https://www.zalando.de/yourturn-essential-t-shirt---rust-zl100090/</t>
  </si>
  <si>
    <t>https://img01.ztat.net/article/ZL100090.jpg</t>
  </si>
  <si>
    <t>ZL100091</t>
  </si>
  <si>
    <t>https://www.zalando.de/minimum-print-polo---beige-zl100091/</t>
  </si>
  <si>
    <t>Minimum</t>
  </si>
  <si>
    <t>https://img01.ztat.net/article/ZL100091.jpg</t>
  </si>
  <si>
    <t>ZL100092</t>
  </si>
  <si>
    <t>https://www.zalando.de/tommy-hilfiger-basic-t-shirt---royal-blue-zl100092/</t>
  </si>
  <si>
    <t>Basic T-SHIRT - ROYAL BLUE</t>
  </si>
  <si>
    <t>https://img01.ztat.net/article/ZL100092.jpg</t>
  </si>
  <si>
    <t>ZL100093</t>
  </si>
  <si>
    <t>https://www.zalando.de/anti-fashion-slim-fit-t-shirt---off-white-zl100093/</t>
  </si>
  <si>
    <t>Anti Fashion</t>
  </si>
  <si>
    <t>Slim Fit T-SHIRT - OFF WHITE</t>
  </si>
  <si>
    <t>https://img01.ztat.net/article/ZL100093.jpg</t>
  </si>
  <si>
    <t>ZL100094</t>
  </si>
  <si>
    <t>https://www.zalando.de/anerkjendt-essential-t-shirt---denim-blue-zl100094/</t>
  </si>
  <si>
    <t>Essential T-SHIRT - DENIM BLUE</t>
  </si>
  <si>
    <t>https://img01.ztat.net/article/ZL100094.jpg</t>
  </si>
  <si>
    <t>ZL100095</t>
  </si>
  <si>
    <t>https://www.zalando.de/new-look-print-t-shirt---beige-zl100095/</t>
  </si>
  <si>
    <t>https://img01.ztat.net/article/ZL100095.jpg</t>
  </si>
  <si>
    <t>ZL100096</t>
  </si>
  <si>
    <t>https://www.zalando.de/produkt-print-t-shirt---navy-zl100096/</t>
  </si>
  <si>
    <t>https://img01.ztat.net/article/ZL100096.jpg</t>
  </si>
  <si>
    <t>ZL100097</t>
  </si>
  <si>
    <t>https://www.zalando.de/calvin-klein-basic-t-shirt---off-white-zl100097/</t>
  </si>
  <si>
    <t>Calvin Klein</t>
  </si>
  <si>
    <t>Basic T-SHIRT - OFF WHITE</t>
  </si>
  <si>
    <t>https://img01.ztat.net/article/ZL100097.jpg</t>
  </si>
  <si>
    <t>ZL100098</t>
  </si>
  <si>
    <t>https://www.zalando.de/marc-o'polo-regular-fit-t-shirt---off-white-zl100098/</t>
  </si>
  <si>
    <t>Marc O'Polo</t>
  </si>
  <si>
    <t>Regular Fit T-SHIRT - OFF WHITE</t>
  </si>
  <si>
    <t>https://img01.ztat.net/article/ZL100098.jpg</t>
  </si>
  <si>
    <t>ZL100099</t>
  </si>
  <si>
    <t>https://www.zalando.de/burton-menswear-london-basic-t-shirt---denim-blue-zl100099/</t>
  </si>
  <si>
    <t>Basic T-SHIRT - DENIM BLUE</t>
  </si>
  <si>
    <t>https://img01.ztat.net/article/ZL100099.jpg</t>
  </si>
  <si>
    <t>ZL100100</t>
  </si>
  <si>
    <t>https://www.zalando.de/yourturn-basic-polo---white-zl100100/</t>
  </si>
  <si>
    <t>https://img01.ztat.net/article/ZL100100.jpg</t>
  </si>
  <si>
    <t>ZL100101</t>
  </si>
  <si>
    <t>https://www.zalando.de/nike-regular-fit-t-shirt---denim-blue-zl100101/</t>
  </si>
  <si>
    <t>Regular Fit T-SHIRT - DENIM BLUE</t>
  </si>
  <si>
    <t>https://img01.ztat.net/article/ZL100101.jpg</t>
  </si>
  <si>
    <t>ZL100102</t>
  </si>
  <si>
    <t>https://www.zalando.de/nike-sportswear-basic-polo---navy-zl100102/</t>
  </si>
  <si>
    <t>Nike Sportswear</t>
  </si>
  <si>
    <t>Basic POLO - NAVY</t>
  </si>
  <si>
    <t>https://img01.ztat.net/article/ZL100102.jpg</t>
  </si>
  <si>
    <t>ZL100103</t>
  </si>
  <si>
    <t>https://www.zalando.de/blend-regular-fit-polo---red-zl100103/</t>
  </si>
  <si>
    <t>Blend</t>
  </si>
  <si>
    <t>Regular Fit POLO - RED</t>
  </si>
  <si>
    <t>https://img01.ztat.net/article/ZL100103.jpg</t>
  </si>
  <si>
    <t>ZL100104</t>
  </si>
  <si>
    <t>https://www.zalando.de/timberland-pro-basic-polo---dark-green-zl100104/</t>
  </si>
  <si>
    <t>https://img01.ztat.net/article/ZL100104.jpg</t>
  </si>
  <si>
    <t>ZL100105</t>
  </si>
  <si>
    <t>https://www.zalando.de/bershka-regular-fit-polo---bordeaux-zl100105/</t>
  </si>
  <si>
    <t>https://img01.ztat.net/article/ZL100105.jpg</t>
  </si>
  <si>
    <t>ZL100106</t>
  </si>
  <si>
    <t>https://www.zalando.de/nike-basic-polo---rust-zl100106/</t>
  </si>
  <si>
    <t>Basic POLO - RUST</t>
  </si>
  <si>
    <t>https://img01.ztat.net/article/ZL100106.jpg</t>
  </si>
  <si>
    <t>ZL100107</t>
  </si>
  <si>
    <t>https://www.zalando.de/peter-werth-regular-fit-polo---white-zl100107/</t>
  </si>
  <si>
    <t>Peter Werth</t>
  </si>
  <si>
    <t>Regular Fit POLO - WHITE</t>
  </si>
  <si>
    <t>https://img01.ztat.net/article/ZL100107.jpg</t>
  </si>
  <si>
    <t>ZL100108</t>
  </si>
  <si>
    <t>https://www.zalando.de/nike-basic-polo---black-zl100108/</t>
  </si>
  <si>
    <t>https://img01.ztat.net/article/ZL100108.jpg</t>
  </si>
  <si>
    <t>ZL100109</t>
  </si>
  <si>
    <t>https://www.zalando.de/denim-and-supply-essential-t-shirt---white-zl100109/</t>
  </si>
  <si>
    <t>Essential T-SHIRT - WHITE</t>
  </si>
  <si>
    <t>https://img01.ztat.net/article/ZL100109.jpg</t>
  </si>
  <si>
    <t>ZL100110</t>
  </si>
  <si>
    <t>https://www.zalando.de/nike-essential-polo---dark-green-zl100110/</t>
  </si>
  <si>
    <t>Essential POLO - DARK GREEN</t>
  </si>
  <si>
    <t>https://img01.ztat.net/article/ZL100110.jpg</t>
  </si>
  <si>
    <t>ZL100111</t>
  </si>
  <si>
    <t>https://www.zalando.de/urban-classics-regular-fit-t-shirt---anthracite-zl100111/</t>
  </si>
  <si>
    <t>Urban Classics</t>
  </si>
  <si>
    <t>Regular Fit T-SHIRT - ANTHRACITE</t>
  </si>
  <si>
    <t>https://img01.ztat.net/article/ZL100111.jpg</t>
  </si>
  <si>
    <t>ZL100112</t>
  </si>
  <si>
    <t>https://www.zalando.de/baldessarini-basic-t-shirt---off-white-zl100112/</t>
  </si>
  <si>
    <t>Baldessarini</t>
  </si>
  <si>
    <t>https://img01.ztat.net/article/ZL100112.jpg</t>
  </si>
  <si>
    <t>ZL100113</t>
  </si>
  <si>
    <t>https://www.zalando.de/calvin-klein-essential-t-shirt---red-zl100113/</t>
  </si>
  <si>
    <t>https://img01.ztat.net/article/ZL100113.jpg</t>
  </si>
  <si>
    <t>ZL100114</t>
  </si>
  <si>
    <t>https://www.zalando.de/adidas-performance-essential-polo---off-white-zl100114/</t>
  </si>
  <si>
    <t>26.0</t>
  </si>
  <si>
    <t>https://img01.ztat.net/article/ZL100114.jpg</t>
  </si>
  <si>
    <t>ZL100115</t>
  </si>
  <si>
    <t>https://www.zalando.de/nike-print-polo---grey-melange-zl100115/</t>
  </si>
  <si>
    <t>Print POLO - GREY MELANGE</t>
  </si>
  <si>
    <t>https://img01.ztat.net/article/ZL100115.jpg</t>
  </si>
  <si>
    <t>ZL100116</t>
  </si>
  <si>
    <t>https://www.zalando.de/selected-homme-essential-t-shirt---bordeaux-zl100116/</t>
  </si>
  <si>
    <t>Selected Homme</t>
  </si>
  <si>
    <t>https://img01.ztat.net/article/ZL100116.jpg</t>
  </si>
  <si>
    <t>ZL100117</t>
  </si>
  <si>
    <t>https://www.zalando.de/jordan-basic-t-shirt---olive-zl100117/</t>
  </si>
  <si>
    <t>Jordan</t>
  </si>
  <si>
    <t>https://img01.ztat.net/article/ZL100117.jpg</t>
  </si>
  <si>
    <t>ZL100118</t>
  </si>
  <si>
    <t>https://www.zalando.de/seidensticker-basic-polo---rust-zl100118/</t>
  </si>
  <si>
    <t>Seidensticker</t>
  </si>
  <si>
    <t>https://img01.ztat.net/article/ZL100118.jpg</t>
  </si>
  <si>
    <t>ZL100119</t>
  </si>
  <si>
    <t>https://www.zalando.de/only-and-sons-denim-print-polo---bordeaux-zl100119/</t>
  </si>
  <si>
    <t>Print POLO - BORDEAUX</t>
  </si>
  <si>
    <t>https://img01.ztat.net/article/ZL100119.jpg</t>
  </si>
  <si>
    <t>ZL100120</t>
  </si>
  <si>
    <t>https://www.zalando.de/pier-one-regular-fit-polo---light-grey-zl100120/</t>
  </si>
  <si>
    <t>Regular Fit POLO - LIGHT GREY</t>
  </si>
  <si>
    <t>https://img01.ztat.net/article/ZL100120.jpg</t>
  </si>
  <si>
    <t>ZL100121</t>
  </si>
  <si>
    <t>https://www.zalando.de/jack-jones-junior-print-t-shirt---red-zl100121/</t>
  </si>
  <si>
    <t>Print T-SHIRT - RED</t>
  </si>
  <si>
    <t>https://img01.ztat.net/article/ZL100121.jpg</t>
  </si>
  <si>
    <t>ZL100122</t>
  </si>
  <si>
    <t>https://www.zalando.de/odlo-print-polo---denim-blue-zl100122/</t>
  </si>
  <si>
    <t>Odlo</t>
  </si>
  <si>
    <t>Print POLO - DENIM BLUE</t>
  </si>
  <si>
    <t>https://img01.ztat.net/article/ZL100122.jpg</t>
  </si>
  <si>
    <t>ZL100123</t>
  </si>
  <si>
    <t>https://www.zalando.de/adidas-performance-basic-polo---beige-zl100123/</t>
  </si>
  <si>
    <t>Basic POLO - BEIGE</t>
  </si>
  <si>
    <t>https://img01.ztat.net/article/ZL100123.jpg</t>
  </si>
  <si>
    <t>ZL100124</t>
  </si>
  <si>
    <t>https://www.zalando.de/craft-regular-fit-t-shirt---denim-blue-zl100124/</t>
  </si>
  <si>
    <t>https://img01.ztat.net/article/ZL100124.jpg</t>
  </si>
  <si>
    <t>ZL100125</t>
  </si>
  <si>
    <t>https://www.zalando.de/zalando-essentials-slim-fit-t-shirt---off-white-zl100125/</t>
  </si>
  <si>
    <t>https://img01.ztat.net/article/ZL100125.jpg</t>
  </si>
  <si>
    <t>ZL100126</t>
  </si>
  <si>
    <t>https://www.zalando.de/adidas-performance-essential-t-shirt---black-zl100126/</t>
  </si>
  <si>
    <t>Essential T-SHIRT - BLACK</t>
  </si>
  <si>
    <t>https://img01.ztat.net/article/ZL100126.jpg</t>
  </si>
  <si>
    <t>ZL100127</t>
  </si>
  <si>
    <t>https://www.zalando.de/nike-regular-fit-polo---olive-zl100127/</t>
  </si>
  <si>
    <t>Regular Fit POLO - OLIVE</t>
  </si>
  <si>
    <t>https://img01.ztat.net/article/ZL100127.jpg</t>
  </si>
  <si>
    <t>ZL100128</t>
  </si>
  <si>
    <t>https://www.zalando.de/boss-slim-fit-t-shirt---mint-zl100128/</t>
  </si>
  <si>
    <t>Slim Fit T-SHIRT - MINT</t>
  </si>
  <si>
    <t>https://img01.ztat.net/article/ZL100128.jpg</t>
  </si>
  <si>
    <t>ZL100129</t>
  </si>
  <si>
    <t>https://www.zalando.de/converse-basic-t-shirt---white-zl100129/</t>
  </si>
  <si>
    <t>Basic T-SHIRT - WHITE</t>
  </si>
  <si>
    <t>https://img01.ztat.net/article/ZL100129.jpg</t>
  </si>
  <si>
    <t>ZL100130</t>
  </si>
  <si>
    <t>https://www.zalando.de/salomon-essential-polo---denim-blue-zl100130/</t>
  </si>
  <si>
    <t>Salomon</t>
  </si>
  <si>
    <t>Essential POLO - DENIM BLUE</t>
  </si>
  <si>
    <t>https://img01.ztat.net/article/ZL100130.jpg</t>
  </si>
  <si>
    <t>ZL100131</t>
  </si>
  <si>
    <t>https://www.zalando.de/cars-print-t-shirt---bordeaux-zl100131/</t>
  </si>
  <si>
    <t>Print T-SHIRT - BORDEAUX</t>
  </si>
  <si>
    <t>https://img01.ztat.net/article/ZL100131.jpg</t>
  </si>
  <si>
    <t>ZL100132</t>
  </si>
  <si>
    <t>https://www.zalando.de/lacoste-print-t-shirt---anthracite-zl100132/</t>
  </si>
  <si>
    <t>Print T-SHIRT - ANTHRACITE</t>
  </si>
  <si>
    <t>https://img01.ztat.net/article/ZL100132.jpg</t>
  </si>
  <si>
    <t>ZL100133</t>
  </si>
  <si>
    <t>https://www.zalando.de/jack-jones-junior-regular-fit-t-shirt---rust-zl100133/</t>
  </si>
  <si>
    <t>48.0</t>
  </si>
  <si>
    <t>https://img01.ztat.net/article/ZL100133.jpg</t>
  </si>
  <si>
    <t>ZL100134</t>
  </si>
  <si>
    <t>https://www.zalando.de/tommy-hilfiger-essential-polo---beige-zl100134/</t>
  </si>
  <si>
    <t>Essential POLO - BEIGE</t>
  </si>
  <si>
    <t>https://img01.ztat.net/article/ZL100134.jpg</t>
  </si>
  <si>
    <t>ZL100135</t>
  </si>
  <si>
    <t>https://www.zalando.de/lacoste-regular-fit-t-shirt---dark-green-zl100135/</t>
  </si>
  <si>
    <t>https://img01.ztat.net/article/ZL100135.jpg</t>
  </si>
  <si>
    <t>ZL100136</t>
  </si>
  <si>
    <t>https://www.zalando.de/windsor.-essential-t-shirt---royal-blue-zl100136/</t>
  </si>
  <si>
    <t>Essential T-SHIRT - ROYAL BLUE</t>
  </si>
  <si>
    <t>https://img01.ztat.net/article/ZL100136.jpg</t>
  </si>
  <si>
    <t>ZL100137</t>
  </si>
  <si>
    <t>https://www.zalando.de/boss-print-polo---denim-blue-zl100137/</t>
  </si>
  <si>
    <t>https://img01.ztat.net/article/ZL100137.jpg</t>
  </si>
  <si>
    <t>ZL100138</t>
  </si>
  <si>
    <t>https://www.zalando.de/adidas-performance-basic-polo---royal-blue-zl100138/</t>
  </si>
  <si>
    <t>https://img01.ztat.net/article/ZL100138.jpg</t>
  </si>
  <si>
    <t>ZL100139</t>
  </si>
  <si>
    <t>https://www.zalando.de/tommy-hilfiger-essential-t-shirt---red-zl100139/</t>
  </si>
  <si>
    <t>https://img01.ztat.net/article/ZL100139.jpg</t>
  </si>
  <si>
    <t>ZL100140</t>
  </si>
  <si>
    <t>https://www.zalando.de/adidas-performance-essential-t-shirt---dark-blue-zl100140/</t>
  </si>
  <si>
    <t>Essential T-SHIRT - DARK BLUE</t>
  </si>
  <si>
    <t>https://img01.ztat.net/article/ZL100140.jpg</t>
  </si>
  <si>
    <t>ZL100141</t>
  </si>
  <si>
    <t>https://www.zalando.de/selected-homme-print-polo---black-zl100141/</t>
  </si>
  <si>
    <t>https://img01.ztat.net/article/ZL100141.jpg</t>
  </si>
  <si>
    <t>ZL100142</t>
  </si>
  <si>
    <t>https://www.zalando.de/carhartt-wip-essential-polo---navy-zl100142/</t>
  </si>
  <si>
    <t>Essential POLO - NAVY</t>
  </si>
  <si>
    <t>https://img01.ztat.net/article/ZL100142.jpg</t>
  </si>
  <si>
    <t>ZL100143</t>
  </si>
  <si>
    <t>https://www.zalando.de/yourturn-slim-fit-t-shirt---mint-zl100143/</t>
  </si>
  <si>
    <t>3.0</t>
  </si>
  <si>
    <t>https://img01.ztat.net/article/ZL100143.jpg</t>
  </si>
  <si>
    <t>ZL100144</t>
  </si>
  <si>
    <t>https://www.zalando.de/levi's-essential-polo---navy-zl100144/</t>
  </si>
  <si>
    <t>https://img01.ztat.net/article/ZL100144.jpg</t>
  </si>
  <si>
    <t>ZL100145</t>
  </si>
  <si>
    <t>https://www.zalando.de/carhartt-wip-slim-fit-polo---dark-blue-zl100145/</t>
  </si>
  <si>
    <t>https://img01.ztat.net/article/ZL100145.jpg</t>
  </si>
  <si>
    <t>ZL100146</t>
  </si>
  <si>
    <t>https://www.zalando.de/only-sons-slim-fit-polo---anthracite-zl100146/</t>
  </si>
  <si>
    <t>Slim Fit POLO - ANTHRACITE</t>
  </si>
  <si>
    <t>https://img01.ztat.net/article/ZL100146.jpg</t>
  </si>
  <si>
    <t>ZL100147</t>
  </si>
  <si>
    <t>https://www.zalando.de/french-connection-slim-fit-t-shirt---black-zl100147/</t>
  </si>
  <si>
    <t>Slim Fit T-SHIRT - BLACK</t>
  </si>
  <si>
    <t>https://img01.ztat.net/article/ZL100147.jpg</t>
  </si>
  <si>
    <t>ZL100148</t>
  </si>
  <si>
    <t>https://www.zalando.de/quiksilver-print-t-shirt---anthracite-zl100148/</t>
  </si>
  <si>
    <t>Quiksilver</t>
  </si>
  <si>
    <t>https://img01.ztat.net/article/ZL100148.jpg</t>
  </si>
  <si>
    <t>ZL100149</t>
  </si>
  <si>
    <t>https://www.zalando.de/nike-essential-polo---red-zl100149/</t>
  </si>
  <si>
    <t>Essential POLO - RED</t>
  </si>
  <si>
    <t>https://img01.ztat.net/article/ZL100149.jpg</t>
  </si>
  <si>
    <t>ZL100150</t>
  </si>
  <si>
    <t>https://www.zalando.de/river-island-basic-polo---khaki-zl100150/</t>
  </si>
  <si>
    <t>River Island</t>
  </si>
  <si>
    <t>https://img01.ztat.net/article/ZL100150.jpg</t>
  </si>
  <si>
    <t>ZL100151</t>
  </si>
  <si>
    <t>https://www.zalando.de/produkt-print-polo---royal-blue-zl100151/</t>
  </si>
  <si>
    <t>Print POLO - ROYAL BLUE</t>
  </si>
  <si>
    <t>https://img01.ztat.net/article/ZL100151.jpg</t>
  </si>
  <si>
    <t>ZL100152</t>
  </si>
  <si>
    <t>https://www.zalando.de/champion-essential-polo---bordeaux-zl100152/</t>
  </si>
  <si>
    <t>Champion</t>
  </si>
  <si>
    <t>Essential POLO - BORDEAUX</t>
  </si>
  <si>
    <t>https://img01.ztat.net/article/ZL100152.jpg</t>
  </si>
  <si>
    <t>ZL100153</t>
  </si>
  <si>
    <t>https://www.zalando.de/reebok-essential-t-shirt---mint-zl100153/</t>
  </si>
  <si>
    <t>Reebok</t>
  </si>
  <si>
    <t>Essential T-SHIRT - MINT</t>
  </si>
  <si>
    <t>https://img01.ztat.net/article/ZL100153.jpg</t>
  </si>
  <si>
    <t>ZL100154</t>
  </si>
  <si>
    <t>https://www.zalando.de/calvin-klein-essential-polo---navy-zl100154/</t>
  </si>
  <si>
    <t>https://img01.ztat.net/article/ZL100154.jpg</t>
  </si>
  <si>
    <t>ZL100155</t>
  </si>
  <si>
    <t>https://www.zalando.de/nike-slim-fit-t-shirt---denim-blue-zl100155/</t>
  </si>
  <si>
    <t>Slim Fit T-SHIRT - DENIM BLUE</t>
  </si>
  <si>
    <t>https://img01.ztat.net/article/ZL100155.jpg</t>
  </si>
  <si>
    <t>ZL100156</t>
  </si>
  <si>
    <t>https://www.zalando.de/mango-man-slim-fit-t-shirt---rust-zl100156/</t>
  </si>
  <si>
    <t>https://img01.ztat.net/article/ZL100156.jpg</t>
  </si>
  <si>
    <t>ZL100157</t>
  </si>
  <si>
    <t>https://www.zalando.de/lacoste-print-polo---anthracite-zl100157/</t>
  </si>
  <si>
    <t>https://img01.ztat.net/article/ZL100157.jpg</t>
  </si>
  <si>
    <t>ZL100158</t>
  </si>
  <si>
    <t>https://www.zalando.de/burton-menswear-london-print-polo---grey-melange-zl100158/</t>
  </si>
  <si>
    <t>Burton Menswear London</t>
  </si>
  <si>
    <t>https://img01.ztat.net/article/ZL100158.jpg</t>
  </si>
  <si>
    <t>ZL100159</t>
  </si>
  <si>
    <t>https://www.zalando.de/marc-o'polo-basic-t-shirt---dark-blue-zl100159/</t>
  </si>
  <si>
    <t>Basic T-SHIRT - DARK BLUE</t>
  </si>
  <si>
    <t>https://img01.ztat.net/article/ZL100159.jpg</t>
  </si>
  <si>
    <t>ZL100160</t>
  </si>
  <si>
    <t>https://www.zalando.de/adidas-performance-print-t-shirt---light-grey-zl100160/</t>
  </si>
  <si>
    <t>Print T-SHIRT - LIGHT GREY</t>
  </si>
  <si>
    <t>https://img01.ztat.net/article/ZL100160.jpg</t>
  </si>
  <si>
    <t>ZL100161</t>
  </si>
  <si>
    <t>https://www.zalando.de/mustang-print-polo---rust-zl100161/</t>
  </si>
  <si>
    <t>Mustang</t>
  </si>
  <si>
    <t>Print POLO - RUST</t>
  </si>
  <si>
    <t>https://img01.ztat.net/article/ZL100161.jpg</t>
  </si>
  <si>
    <t>ZL100162</t>
  </si>
  <si>
    <t>https://www.zalando.de/nike-basic-polo---denim-blue-zl100162/</t>
  </si>
  <si>
    <t>https://img01.ztat.net/article/ZL100162.jpg</t>
  </si>
  <si>
    <t>ZL100163</t>
  </si>
  <si>
    <t>https://www.zalando.de/matinique-basic-polo---light-grey-zl100163/</t>
  </si>
  <si>
    <t>Matinique</t>
  </si>
  <si>
    <t>Basic POLO - LIGHT GREY</t>
  </si>
  <si>
    <t>https://img01.ztat.net/article/ZL100163.jpg</t>
  </si>
  <si>
    <t>ZL100164</t>
  </si>
  <si>
    <t>https://www.zalando.de/samsøe-samsøe-basic-polo---rust-zl100164/</t>
  </si>
  <si>
    <t>Samsøe Samsøe</t>
  </si>
  <si>
    <t>https://img01.ztat.net/article/ZL100164.jpg</t>
  </si>
  <si>
    <t>ZL100165</t>
  </si>
  <si>
    <t>https://www.zalando.de/puma-print-polo---off-white-zl100165/</t>
  </si>
  <si>
    <t>Puma</t>
  </si>
  <si>
    <t>Print POLO - OFF WHITE</t>
  </si>
  <si>
    <t>https://img01.ztat.net/article/ZL100165.jpg</t>
  </si>
  <si>
    <t>ZL100166</t>
  </si>
  <si>
    <t>https://www.zalando.de/van-laack-regular-fit-t-shirt---off-white-zl100166/</t>
  </si>
  <si>
    <t>https://img01.ztat.net/article/ZL100166.jpg</t>
  </si>
  <si>
    <t>ZL100167</t>
  </si>
  <si>
    <t>https://www.zalando.de/tommy-hilfiger-slim-fit-polo---light-grey-zl100167/</t>
  </si>
  <si>
    <t>Slim Fit POLO - LIGHT GREY</t>
  </si>
  <si>
    <t>https://img01.ztat.net/article/ZL100167.jpg</t>
  </si>
  <si>
    <t>ZL100168</t>
  </si>
  <si>
    <t>https://www.zalando.de/tommy-hilfiger-print-t-shirt---anthracite-zl100168/</t>
  </si>
  <si>
    <t>https://img01.ztat.net/article/ZL100168.jpg</t>
  </si>
  <si>
    <t>ZL100169</t>
  </si>
  <si>
    <t>https://www.zalando.de/adidas-performance-regular-fit-t-shirt---mint-zl100169/</t>
  </si>
  <si>
    <t>Regular Fit T-SHIRT - MINT</t>
  </si>
  <si>
    <t>https://img01.ztat.net/article/ZL100169.jpg</t>
  </si>
  <si>
    <t>ZL100170</t>
  </si>
  <si>
    <t>https://www.zalando.de/seidensticker-basic-t-shirt---khaki-zl100170/</t>
  </si>
  <si>
    <t>Basic T-SHIRT - KHAKI</t>
  </si>
  <si>
    <t>https://img01.ztat.net/article/ZL100170.jpg</t>
  </si>
  <si>
    <t>ZL100171</t>
  </si>
  <si>
    <t>https://www.zalando.de/lacoste-slim-fit-t-shirt---black-zl100171/</t>
  </si>
  <si>
    <t>https://img01.ztat.net/article/ZL100171.jpg</t>
  </si>
  <si>
    <t>ZL100172</t>
  </si>
  <si>
    <t>https://www.zalando.de/peter-werth-regular-fit-polo---denim-blue-zl100172/</t>
  </si>
  <si>
    <t>Regular Fit POLO - DENIM BLUE</t>
  </si>
  <si>
    <t>https://img01.ztat.net/article/ZL100172.jpg</t>
  </si>
  <si>
    <t>ZL100173</t>
  </si>
  <si>
    <t>https://www.zalando.de/pier-1-print-polo---grey-melange-zl100173/</t>
  </si>
  <si>
    <t>https://img01.ztat.net/article/ZL100173.jpg</t>
  </si>
  <si>
    <t>ZL100174</t>
  </si>
  <si>
    <t>https://www.zalando.de/new-look-print-polo---khaki-zl100174/</t>
  </si>
  <si>
    <t>https://img01.ztat.net/article/ZL100174.jpg</t>
  </si>
  <si>
    <t>ZL100175</t>
  </si>
  <si>
    <t>https://www.zalando.de/colours-and-sons-slim-fit-polo---beige-zl100175/</t>
  </si>
  <si>
    <t>Colours &amp; Sons</t>
  </si>
  <si>
    <t>https://img01.ztat.net/article/ZL100175.jpg</t>
  </si>
  <si>
    <t>ZL100176</t>
  </si>
  <si>
    <t>https://www.zalando.de/armani-exchange-basic-polo---royal-blue-zl100176/</t>
  </si>
  <si>
    <t>Armani Exchange</t>
  </si>
  <si>
    <t>https://img01.ztat.net/article/ZL100176.jpg</t>
  </si>
  <si>
    <t>ZL100177</t>
  </si>
  <si>
    <t>https://www.zalando.de/lacoste-print-t-shirt---bordeaux-zl100177/</t>
  </si>
  <si>
    <t>https://img01.ztat.net/article/ZL100177.jpg</t>
  </si>
  <si>
    <t>ZL100178</t>
  </si>
  <si>
    <t>https://www.zalando.de/iriedaily-essential-polo---navy-zl100178/</t>
  </si>
  <si>
    <t>Iriedaily</t>
  </si>
  <si>
    <t>https://img01.ztat.net/article/ZL100178.jpg</t>
  </si>
  <si>
    <t>ZL100179</t>
  </si>
  <si>
    <t>https://www.zalando.de/nike-slim-fit-polo---denim-blue-zl100179/</t>
  </si>
  <si>
    <t>https://img01.ztat.net/article/ZL100179.jpg</t>
  </si>
  <si>
    <t>ZL100180</t>
  </si>
  <si>
    <t>https://www.zalando.de/onlyandsons-slim-fit-polo---rust-zl100180/</t>
  </si>
  <si>
    <t>Slim Fit POLO - RUST</t>
  </si>
  <si>
    <t>https://img01.ztat.net/article/ZL100180.jpg</t>
  </si>
  <si>
    <t>ZL100181</t>
  </si>
  <si>
    <t>https://www.zalando.de/adidas-performance-print-polo---light-grey-zl100181/</t>
  </si>
  <si>
    <t>https://img01.ztat.net/article/ZL100181.jpg</t>
  </si>
  <si>
    <t>ZL100182</t>
  </si>
  <si>
    <t>https://www.zalando.de/nike-regular-fit-polo---anthracite-zl100182/</t>
  </si>
  <si>
    <t>https://img01.ztat.net/article/ZL100182.jpg</t>
  </si>
  <si>
    <t>ZL100183</t>
  </si>
  <si>
    <t>https://www.zalando.de/shine-print-polo---olive-zl100183/</t>
  </si>
  <si>
    <t>Print POLO - OLIVE</t>
  </si>
  <si>
    <t>https://img01.ztat.net/article/ZL100183.jpg</t>
  </si>
  <si>
    <t>ZL100184</t>
  </si>
  <si>
    <t>https://www.zalando.de/jack-jones-junior-regular-fit-t-shirt---anthracite-zl100184/</t>
  </si>
  <si>
    <t>https://img01.ztat.net/article/ZL100184.jpg</t>
  </si>
  <si>
    <t>ZL100185</t>
  </si>
  <si>
    <t>https://www.zalando.de/vans-slim-fit-t-shirt---dark-green-zl100185/</t>
  </si>
  <si>
    <t>https://img01.ztat.net/article/ZL100185.jpg</t>
  </si>
  <si>
    <t>ZL100186</t>
  </si>
  <si>
    <t>https://www.zalando.de/converse-slim-fit-polo---rust-zl100186/</t>
  </si>
  <si>
    <t>https://img01.ztat.net/article/ZL100186.jpg</t>
  </si>
  <si>
    <t>ZL100187</t>
  </si>
  <si>
    <t>https://www.zalando.de/adidas-performance-essential-polo---dark-green-zl100187/</t>
  </si>
  <si>
    <t>https://img01.ztat.net/article/ZL100187.jpg</t>
  </si>
  <si>
    <t>ZL100188</t>
  </si>
  <si>
    <t>https://www.zalando.de/iriedaily-essential-t-shirt---denim-blue-zl100188/</t>
  </si>
  <si>
    <t>https://img01.ztat.net/article/ZL100188.jpg</t>
  </si>
  <si>
    <t>ZL100189</t>
  </si>
  <si>
    <t>https://www.zalando.de/produkt-regular-fit-t-shirt---anthracite-zl100189/</t>
  </si>
  <si>
    <t>https://img01.ztat.net/article/ZL100189.jpg</t>
  </si>
  <si>
    <t>ZL100190</t>
  </si>
  <si>
    <t>https://www.zalando.de/fila-print-t-shirt---royal-blue-zl100190/</t>
  </si>
  <si>
    <t>https://img01.ztat.net/article/ZL100190.jpg</t>
  </si>
  <si>
    <t>ZL100191</t>
  </si>
  <si>
    <t>https://www.zalando.de/nike-print-polo---beige-zl100191/</t>
  </si>
  <si>
    <t>https://img01.ztat.net/article/ZL100191.jpg</t>
  </si>
  <si>
    <t>ZL100192</t>
  </si>
  <si>
    <t>https://www.zalando.de/jordan-print-polo---red-zl100192/</t>
  </si>
  <si>
    <t>Print POLO - RED</t>
  </si>
  <si>
    <t>51.0</t>
  </si>
  <si>
    <t>https://img01.ztat.net/article/ZL100192.jpg</t>
  </si>
  <si>
    <t>ZL100193</t>
  </si>
  <si>
    <t>https://www.zalando.de/adidas-performance-regular-fit-polo---navy-zl100193/</t>
  </si>
  <si>
    <t>Regular Fit POLO - NAVY</t>
  </si>
  <si>
    <t>https://img01.ztat.net/article/ZL100193.jpg</t>
  </si>
  <si>
    <t>ZL100194</t>
  </si>
  <si>
    <t>https://www.zalando.de/calvin-klein-slim-fit-t-shirt---off-white-zl100194/</t>
  </si>
  <si>
    <t>https://img01.ztat.net/article/ZL100194.jpg</t>
  </si>
  <si>
    <t>ZL100195</t>
  </si>
  <si>
    <t>https://www.zalando.de/anerkjendt-slim-fit-polo---bordeaux-zl100195/</t>
  </si>
  <si>
    <t>https://img01.ztat.net/article/ZL100195.jpg</t>
  </si>
  <si>
    <t>ZL100196</t>
  </si>
  <si>
    <t>https://www.zalando.de/nike-print-polo---mint-zl100196/</t>
  </si>
  <si>
    <t>Print POLO - MINT</t>
  </si>
  <si>
    <t>https://img01.ztat.net/article/ZL100196.jpg</t>
  </si>
  <si>
    <t>ZL100197</t>
  </si>
  <si>
    <t>https://www.zalando.de/salomon-regular-fit-t-shirt---royal-blue-zl100197/</t>
  </si>
  <si>
    <t>Regular Fit T-SHIRT - ROYAL BLUE</t>
  </si>
  <si>
    <t>https://img01.ztat.net/article/ZL100197.jpg</t>
  </si>
  <si>
    <t>ZL100198</t>
  </si>
  <si>
    <t>https://www.zalando.de/only-and-sons-denim-essential-polo---anthracite-zl100198/</t>
  </si>
  <si>
    <t>https://img01.ztat.net/article/ZL100198.jpg</t>
  </si>
  <si>
    <t>ZL100199</t>
  </si>
  <si>
    <t>https://www.zalando.de/adidas-performance-slim-fit-t-shirt---navy-zl100199/</t>
  </si>
  <si>
    <t>https://img01.ztat.net/article/ZL100199.jpg</t>
  </si>
  <si>
    <t>ZL100200</t>
  </si>
  <si>
    <t>https://www.zalando.de/ltb-essential-polo---dark-blue-zl100200/</t>
  </si>
  <si>
    <t>https://img01.ztat.net/article/ZL100200.jpg</t>
  </si>
  <si>
    <t>ZL100201</t>
  </si>
  <si>
    <t>https://www.zalando.de/tommy-hilfiger-slim-fit-t-shirt---beige-zl100201/</t>
  </si>
  <si>
    <t>https://img01.ztat.net/article/ZL100201.jpg</t>
  </si>
  <si>
    <t>ZL100202</t>
  </si>
  <si>
    <t>https://www.zalando.de/olymp-slim-fit-polo---rust-zl100202/</t>
  </si>
  <si>
    <t>https://img01.ztat.net/article/ZL100202.jpg</t>
  </si>
  <si>
    <t>ZL100203</t>
  </si>
  <si>
    <t>https://www.zalando.de/nike-print-polo---rust-zl100203/</t>
  </si>
  <si>
    <t>https://img01.ztat.net/article/ZL100203.jpg</t>
  </si>
  <si>
    <t>ZL100204</t>
  </si>
  <si>
    <t>https://www.zalando.de/nike-regular-fit-t-shirt---white-zl100204/</t>
  </si>
  <si>
    <t>https://img01.ztat.net/article/ZL100204.jpg</t>
  </si>
  <si>
    <t>ZL100205</t>
  </si>
  <si>
    <t>https://www.zalando.de/casual-friday-basic-polo---off-white-zl100205/</t>
  </si>
  <si>
    <t>Casual Friday</t>
  </si>
  <si>
    <t>Basic POLO - OFF WHITE</t>
  </si>
  <si>
    <t>https://img01.ztat.net/article/ZL100205.jpg</t>
  </si>
  <si>
    <t>ZL100206</t>
  </si>
  <si>
    <t>https://www.zalando.de/cleptomanicx-slim-fit-t-shirt---denim-blue-zl100206/</t>
  </si>
  <si>
    <t>https://img01.ztat.net/article/ZL100206.jpg</t>
  </si>
  <si>
    <t>ZL100207</t>
  </si>
  <si>
    <t>https://www.zalando.de/pier-1-regular-fit-polo---dark-green-zl100207/</t>
  </si>
  <si>
    <t>Regular Fit POLO - DARK GREEN</t>
  </si>
  <si>
    <t>https://img01.ztat.net/article/ZL100207.jpg</t>
  </si>
  <si>
    <t>ZL100208</t>
  </si>
  <si>
    <t>https://www.zalando.de/jordan-essential-t-shirt---royal-blue-zl100208/</t>
  </si>
  <si>
    <t>https://img01.ztat.net/article/ZL100208.jpg</t>
  </si>
  <si>
    <t>ZL100209</t>
  </si>
  <si>
    <t>https://www.zalando.de/pepe-jeans-regular-fit-t-shirt---denim-blue-zl100209/</t>
  </si>
  <si>
    <t>Pepe Jeans</t>
  </si>
  <si>
    <t>https://img01.ztat.net/article/ZL100209.jpg</t>
  </si>
  <si>
    <t>ZL100210</t>
  </si>
  <si>
    <t>https://www.zalando.de/the-north-face-slim-fit-polo---grey-melange-zl100210/</t>
  </si>
  <si>
    <t>Slim Fit POLO - GREY MELANGE</t>
  </si>
  <si>
    <t>https://img01.ztat.net/article/ZL100210.jpg</t>
  </si>
  <si>
    <t>ZL100211</t>
  </si>
  <si>
    <t>https://www.zalando.de/nn07-regular-fit-t-shirt---dark-blue-zl100211/</t>
  </si>
  <si>
    <t>Regular Fit T-SHIRT - DARK BLUE</t>
  </si>
  <si>
    <t>https://img01.ztat.net/article/ZL100211.jpg</t>
  </si>
  <si>
    <t>ZL100212</t>
  </si>
  <si>
    <t>https://www.zalando.de/tommy-hilfiger-print-t-shirt---mint-zl100212/</t>
  </si>
  <si>
    <t>Print T-SHIRT - MINT</t>
  </si>
  <si>
    <t>https://img01.ztat.net/article/ZL100212.jpg</t>
  </si>
  <si>
    <t>ZL100213</t>
  </si>
  <si>
    <t>https://www.zalando.de/nike-sportswear-essential-polo---red-zl100213/</t>
  </si>
  <si>
    <t>https://img01.ztat.net/article/ZL100213.jpg</t>
  </si>
  <si>
    <t>ZL100214</t>
  </si>
  <si>
    <t>https://www.zalando.de/adidas-performance-basic-polo---royal-blue-zl100214/</t>
  </si>
  <si>
    <t>https://img01.ztat.net/article/ZL100214.jpg</t>
  </si>
  <si>
    <t>ZL100215</t>
  </si>
  <si>
    <t>https://www.zalando.de/nike-regular-fit-polo---red-zl100215/</t>
  </si>
  <si>
    <t>https://img01.ztat.net/article/ZL100215.jpg</t>
  </si>
  <si>
    <t>ZL100216</t>
  </si>
  <si>
    <t>https://www.zalando.de/lacoste-print-t-shirt---grey-melange-zl100216/</t>
  </si>
  <si>
    <t>https://img01.ztat.net/article/ZL100216.jpg</t>
  </si>
  <si>
    <t>ZL100217</t>
  </si>
  <si>
    <t>https://www.zalando.de/jack-jones-junior-slim-fit-polo---mint-zl100217/</t>
  </si>
  <si>
    <t>Slim Fit POLO - MINT</t>
  </si>
  <si>
    <t>https://img01.ztat.net/article/ZL100217.jpg</t>
  </si>
  <si>
    <t>ZL100218</t>
  </si>
  <si>
    <t>https://www.zalando.de/nike-basic-t-shirt---khaki-zl100218/</t>
  </si>
  <si>
    <t>https://img01.ztat.net/article/ZL100218.jpg</t>
  </si>
  <si>
    <t>ZL100219</t>
  </si>
  <si>
    <t>https://www.zalando.de/tommy-hilfiger-basic-polo---navy-zl100219/</t>
  </si>
  <si>
    <t>https://img01.ztat.net/article/ZL100219.jpg</t>
  </si>
  <si>
    <t>ZL100220</t>
  </si>
  <si>
    <t>https://www.zalando.de/nike-regular-fit-polo---black-zl100220/</t>
  </si>
  <si>
    <t>Regular Fit POLO - BLACK</t>
  </si>
  <si>
    <t>https://img01.ztat.net/article/ZL100220.jpg</t>
  </si>
  <si>
    <t>ZL100221</t>
  </si>
  <si>
    <t>https://www.zalando.de/converse-print-polo---light-grey-zl100221/</t>
  </si>
  <si>
    <t>https://img01.ztat.net/article/ZL100221.jpg</t>
  </si>
  <si>
    <t>ZL100222</t>
  </si>
  <si>
    <t>https://www.zalando.de/tommy-hilfiger-print-polo---dark-blue-zl100222/</t>
  </si>
  <si>
    <t>Print POLO - DARK BLUE</t>
  </si>
  <si>
    <t>https://img01.ztat.net/article/ZL100222.jpg</t>
  </si>
  <si>
    <t>ZL100223</t>
  </si>
  <si>
    <t>https://www.zalando.de/burton-london-regular-fit-t-shirt---dark-green-zl100223/</t>
  </si>
  <si>
    <t>https://img01.ztat.net/article/ZL100223.jpg</t>
  </si>
  <si>
    <t>ZL100224</t>
  </si>
  <si>
    <t>https://www.zalando.de/produkt-slim-fit-t-shirt---grey-melange-zl100224/</t>
  </si>
  <si>
    <t>https://img01.ztat.net/article/ZL100224.jpg</t>
  </si>
  <si>
    <t>ZL100225</t>
  </si>
  <si>
    <t>https://www.zalando.de/ea7-emporio-armani-regular-fit-polo---light-grey-zl100225/</t>
  </si>
  <si>
    <t>https://img01.ztat.net/article/ZL100225.jpg</t>
  </si>
  <si>
    <t>ZL100226</t>
  </si>
  <si>
    <t>https://www.zalando.de/guess-essential-t-shirt---olive-zl100226/</t>
  </si>
  <si>
    <t>Essential T-SHIRT - OLIVE</t>
  </si>
  <si>
    <t>https://img01.ztat.net/article/ZL100226.jpg</t>
  </si>
  <si>
    <t>ZL100227</t>
  </si>
  <si>
    <t>https://www.zalando.de/esprit-basic-t-shirt---anthracite-zl100227/</t>
  </si>
  <si>
    <t>Esprit</t>
  </si>
  <si>
    <t>Basic T-SHIRT - ANTHRACITE</t>
  </si>
  <si>
    <t>https://img01.ztat.net/article/ZL100227.jpg</t>
  </si>
  <si>
    <t>ZL100228</t>
  </si>
  <si>
    <t>https://www.zalando.de/lacoste-print-polo---dark-blue-zl100228/</t>
  </si>
  <si>
    <t>https://img01.ztat.net/article/ZL100228.jpg</t>
  </si>
  <si>
    <t>ZL100229</t>
  </si>
  <si>
    <t>https://www.zalando.de/produkt-essential-polo---black-zl100229/</t>
  </si>
  <si>
    <t>Essential POLO - BLACK</t>
  </si>
  <si>
    <t>https://img01.ztat.net/article/ZL100229.jpg</t>
  </si>
  <si>
    <t>ZL100230</t>
  </si>
  <si>
    <t>https://www.zalando.de/only-sons-essential-polo---beige-zl100230/</t>
  </si>
  <si>
    <t>https://img01.ztat.net/article/ZL100230.jpg</t>
  </si>
  <si>
    <t>ZL100231</t>
  </si>
  <si>
    <t>https://www.zalando.de/polo-ralph-lauren-basic-polo---beige-zl100231/</t>
  </si>
  <si>
    <t>Polo Ralph Lauren</t>
  </si>
  <si>
    <t>https://img01.ztat.net/article/ZL100231.jpg</t>
  </si>
  <si>
    <t>ZL100232</t>
  </si>
  <si>
    <t>https://www.zalando.de/salomon-regular-fit-polo---navy-zl100232/</t>
  </si>
  <si>
    <t>https://img01.ztat.net/article/ZL100232.jpg</t>
  </si>
  <si>
    <t>ZL100233</t>
  </si>
  <si>
    <t>https://www.zalando.de/vintage-supply-basic-t-shirt---mint-zl100233/</t>
  </si>
  <si>
    <t>Vintage Supply</t>
  </si>
  <si>
    <t>https://img01.ztat.net/article/ZL100233.jpg</t>
  </si>
  <si>
    <t>ZL100234</t>
  </si>
  <si>
    <t>https://www.zalando.de/lacoste-basic-t-shirt---dark-blue-zl100234/</t>
  </si>
  <si>
    <t>https://img01.ztat.net/article/ZL100234.jpg</t>
  </si>
  <si>
    <t>ZL100235</t>
  </si>
  <si>
    <t>https://www.zalando.de/mango-man-regular-fit-t-shirt---dark-blue-zl100235/</t>
  </si>
  <si>
    <t>https://img01.ztat.net/article/ZL100235.jpg</t>
  </si>
  <si>
    <t>ZL100236</t>
  </si>
  <si>
    <t>https://www.zalando.de/the-north-face-regular-fit-polo---navy-zl100236/</t>
  </si>
  <si>
    <t>The North Face</t>
  </si>
  <si>
    <t>https://img01.ztat.net/article/ZL100236.jpg</t>
  </si>
  <si>
    <t>ZL100237</t>
  </si>
  <si>
    <t>https://www.zalando.de/redefined-rebel-regular-fit-t-shirt---bordeaux-zl100237/</t>
  </si>
  <si>
    <t>Redefined Rebel</t>
  </si>
  <si>
    <t>Regular Fit T-SHIRT - BORDEAUX</t>
  </si>
  <si>
    <t>https://img01.ztat.net/article/ZL100237.jpg</t>
  </si>
  <si>
    <t>ZL100238</t>
  </si>
  <si>
    <t>https://www.zalando.de/produkt-basic-t-shirt---white-zl100238/</t>
  </si>
  <si>
    <t>https://img01.ztat.net/article/ZL100238.jpg</t>
  </si>
  <si>
    <t>ZL100239</t>
  </si>
  <si>
    <t>https://www.zalando.de/guess-regular-fit-t-shirt---light-grey-zl100239/</t>
  </si>
  <si>
    <t>https://img01.ztat.net/article/ZL100239.jpg</t>
  </si>
  <si>
    <t>ZL100240</t>
  </si>
  <si>
    <t>https://www.zalando.de/patagonia-slim-fit-t-shirt---bordeaux-zl100240/</t>
  </si>
  <si>
    <t>Patagonia</t>
  </si>
  <si>
    <t>Slim Fit T-SHIRT - BORDEAUX</t>
  </si>
  <si>
    <t>https://img01.ztat.net/article/ZL100240.jpg</t>
  </si>
  <si>
    <t>ZL100241</t>
  </si>
  <si>
    <t>https://www.zalando.de/guess-basic-polo---red-zl100241/</t>
  </si>
  <si>
    <t>Basic POLO - RED</t>
  </si>
  <si>
    <t>https://img01.ztat.net/article/ZL100241.jpg</t>
  </si>
  <si>
    <t>ZL100242</t>
  </si>
  <si>
    <t>https://www.zalando.de/burton-essential-t-shirt---royal-blue-zl100242/</t>
  </si>
  <si>
    <t>https://img01.ztat.net/article/ZL100242.jpg</t>
  </si>
  <si>
    <t>ZL100243</t>
  </si>
  <si>
    <t>https://www.zalando.de/armani-exchange-basic-t-shirt---mint-zl100243/</t>
  </si>
  <si>
    <t>https://img01.ztat.net/article/ZL100243.jpg</t>
  </si>
  <si>
    <t>ZL100244</t>
  </si>
  <si>
    <t>https://www.zalando.de/nike-regular-fit-polo---anthracite-zl100244/</t>
  </si>
  <si>
    <t>https://img01.ztat.net/article/ZL100244.jpg</t>
  </si>
  <si>
    <t>ZL100245</t>
  </si>
  <si>
    <t>https://www.zalando.de/roy-robson-regular-fit-polo---dark-blue-zl100245/</t>
  </si>
  <si>
    <t>Roy Robson</t>
  </si>
  <si>
    <t>https://img01.ztat.net/article/ZL100245.jpg</t>
  </si>
  <si>
    <t>ZL100246</t>
  </si>
  <si>
    <t>https://www.zalando.de/produkt-essential-polo---navy-zl100246/</t>
  </si>
  <si>
    <t>https://img01.ztat.net/article/ZL100246.jpg</t>
  </si>
  <si>
    <t>ZL100247</t>
  </si>
  <si>
    <t>https://www.zalando.de/fila-slim-fit-t-shirt---mint-zl100247/</t>
  </si>
  <si>
    <t>https://img01.ztat.net/article/ZL100247.jpg</t>
  </si>
  <si>
    <t>ZL100248</t>
  </si>
  <si>
    <t>https://www.zalando.de/teddy-smith-regular-fit-polo---dark-green-zl100248/</t>
  </si>
  <si>
    <t>https://img01.ztat.net/article/ZL100248.jpg</t>
  </si>
  <si>
    <t>ZL100249</t>
  </si>
  <si>
    <t>https://www.zalando.de/only-sons-print-t-shirt---bordeaux-zl100249/</t>
  </si>
  <si>
    <t>https://img01.ztat.net/article/ZL100249.jpg</t>
  </si>
  <si>
    <t>ZL100250</t>
  </si>
  <si>
    <t>https://www.zalando.de/denim-and-supply-regular-fit-polo---dark-green-zl100250/</t>
  </si>
  <si>
    <t>https://img01.ztat.net/article/ZL100250.jpg</t>
  </si>
  <si>
    <t>ZL100251</t>
  </si>
  <si>
    <t>https://www.zalando.de/cars-basic-t-shirt---dark-blue-zl100251/</t>
  </si>
  <si>
    <t>https://img01.ztat.net/article/ZL100251.jpg</t>
  </si>
  <si>
    <t>ZL100252</t>
  </si>
  <si>
    <t>https://www.zalando.de/adidas-performance-basic-polo---bordeaux-zl100252/</t>
  </si>
  <si>
    <t>Basic POLO - BORDEAUX</t>
  </si>
  <si>
    <t>https://img01.ztat.net/article/ZL100252.jpg</t>
  </si>
  <si>
    <t>ZL100253</t>
  </si>
  <si>
    <t>https://www.zalando.de/cars-slim-fit-t-shirt---grey-melange-zl100253/</t>
  </si>
  <si>
    <t>https://img01.ztat.net/article/ZL100253.jpg</t>
  </si>
  <si>
    <t>ZL100254</t>
  </si>
  <si>
    <t>https://www.zalando.de/jack-jones-junior-regular-fit-t-shirt---anthracite-zl100254/</t>
  </si>
  <si>
    <t>https://img01.ztat.net/article/ZL100254.jpg</t>
  </si>
  <si>
    <t>ZL100255</t>
  </si>
  <si>
    <t>https://www.zalando.de/ea7-emporio-armani-print-t-shirt---olive-zl100255/</t>
  </si>
  <si>
    <t>Print T-SHIRT - OLIVE</t>
  </si>
  <si>
    <t>https://img01.ztat.net/article/ZL100255.jpg</t>
  </si>
  <si>
    <t>ZL100256</t>
  </si>
  <si>
    <t>https://www.zalando.de/anthracite-basic-t-shirt---dark-green-zl100256/</t>
  </si>
  <si>
    <t>https://img01.ztat.net/article/ZL100256.jpg</t>
  </si>
  <si>
    <t>ZL100257</t>
  </si>
  <si>
    <t>https://www.zalando.de/adidas-performance-slim-fit-t-shirt---mint-zl100257/</t>
  </si>
  <si>
    <t>https://img01.ztat.net/article/ZL100257.jpg</t>
  </si>
  <si>
    <t>ZL100258</t>
  </si>
  <si>
    <t>https://www.zalando.de/levi's-essential-polo---white-zl100258/</t>
  </si>
  <si>
    <t>https://img01.ztat.net/article/ZL100258.jpg</t>
  </si>
  <si>
    <t>ZL100259</t>
  </si>
  <si>
    <t>https://www.zalando.de/jack-wolfskin-print-t-shirt---khaki-zl100259/</t>
  </si>
  <si>
    <t>Jack Wolfskin</t>
  </si>
  <si>
    <t>https://img01.ztat.net/article/ZL100259.jpg</t>
  </si>
  <si>
    <t>ZL100260</t>
  </si>
  <si>
    <t>https://www.zalando.de/pier-one-print-t-shirt---royal-blue-zl100260/</t>
  </si>
  <si>
    <t>https://img01.ztat.net/article/ZL100260.jpg</t>
  </si>
  <si>
    <t>ZL100261</t>
  </si>
  <si>
    <t>https://www.zalando.de/fila-basic-polo---bordeaux-zl100261/</t>
  </si>
  <si>
    <t>https://img01.ztat.net/article/ZL100261.jpg</t>
  </si>
  <si>
    <t>ZL100262</t>
  </si>
  <si>
    <t>https://www.zalando.de/craft-sportswear-regular-fit-t-shirt---off-white-zl100262/</t>
  </si>
  <si>
    <t>https://img01.ztat.net/article/ZL100262.jpg</t>
  </si>
  <si>
    <t>ZL100263</t>
  </si>
  <si>
    <t>https://www.zalando.de/billabong-slim-fit-polo---white-zl100263/</t>
  </si>
  <si>
    <t>Billabong</t>
  </si>
  <si>
    <t>https://img01.ztat.net/article/ZL100263.jpg</t>
  </si>
  <si>
    <t>ZL100264</t>
  </si>
  <si>
    <t>https://www.zalando.de/bershka-regular-fit-t-shirt---red-zl100264/</t>
  </si>
  <si>
    <t>Bershka</t>
  </si>
  <si>
    <t>Regular Fit T-SHIRT - RED</t>
  </si>
  <si>
    <t>https://img01.ztat.net/article/ZL100264.jpg</t>
  </si>
  <si>
    <t>ZL100265</t>
  </si>
  <si>
    <t>https://www.zalando.de/adidas-performance-regular-fit-t-shirt---denim-blue-zl100265/</t>
  </si>
  <si>
    <t>https://img01.ztat.net/article/ZL100265.jpg</t>
  </si>
  <si>
    <t>ZL100266</t>
  </si>
  <si>
    <t>https://www.zalando.de/levi's-regular-fit-t-shirt---black-zl100266/</t>
  </si>
  <si>
    <t>https://img01.ztat.net/article/ZL100266.jpg</t>
  </si>
  <si>
    <t>ZL100267</t>
  </si>
  <si>
    <t>https://www.zalando.de/jack-jones-junior-slim-fit-polo---black-zl100267/</t>
  </si>
  <si>
    <t>Slim Fit POLO - BLACK</t>
  </si>
  <si>
    <t>https://img01.ztat.net/article/ZL100267.jpg</t>
  </si>
  <si>
    <t>ZL100268</t>
  </si>
  <si>
    <t>https://www.zalando.de/guess-print-polo---royal-blue-zl100268/</t>
  </si>
  <si>
    <t>https://img01.ztat.net/article/ZL100268.jpg</t>
  </si>
  <si>
    <t>Regular Fit POLO - RUST</t>
  </si>
  <si>
    <t>ZL100270</t>
  </si>
  <si>
    <t>https://www.zalando.de/baldessarini-regular-fit-t-shirt---anthracite-zl100270/</t>
  </si>
  <si>
    <t>https://img01.ztat.net/article/ZL100270.jpg</t>
  </si>
  <si>
    <t>ZL100271</t>
  </si>
  <si>
    <t>https://www.zalando.de/only-and-sons-denim-essential-t-shirt---red-zl100271/</t>
  </si>
  <si>
    <t>https://img01.ztat.net/article/ZL100271.jpg</t>
  </si>
  <si>
    <t>ZL100272</t>
  </si>
  <si>
    <t>https://www.zalando.de/element-regular-fit-t-shirt---royal-blue-zl100272/</t>
  </si>
  <si>
    <t>Element</t>
  </si>
  <si>
    <t>https://img01.ztat.net/article/ZL100272.jpg</t>
  </si>
  <si>
    <t>ZL100273</t>
  </si>
  <si>
    <t>https://www.zalando.de/produkt-slim-fit-polo---khaki-zl100273/</t>
  </si>
  <si>
    <t>https://img01.ztat.net/article/ZL100273.jpg</t>
  </si>
  <si>
    <t>ZL100274</t>
  </si>
  <si>
    <t>https://www.zalando.de/tommy-hilfiger-print-t-shirt---anthracite-zl100274/</t>
  </si>
  <si>
    <t>https://img01.ztat.net/article/ZL100274.jpg</t>
  </si>
  <si>
    <t>ZL100275</t>
  </si>
  <si>
    <t>https://www.zalando.de/tommy-hilfiger-basic-polo---anthracite-zl100275/</t>
  </si>
  <si>
    <t>Basic POLO - ANTHRACITE</t>
  </si>
  <si>
    <t>https://img01.ztat.net/article/ZL100275.jpg</t>
  </si>
  <si>
    <t>ZL100276</t>
  </si>
  <si>
    <t>https://www.zalando.de/cars-regular-fit-polo---white-zl100276/</t>
  </si>
  <si>
    <t>https://img01.ztat.net/article/ZL100276.jpg</t>
  </si>
  <si>
    <t>ZL100277</t>
  </si>
  <si>
    <t>https://www.zalando.de/anti-fashion-slim-fit-polo---anthracite-zl100277/</t>
  </si>
  <si>
    <t>https://img01.ztat.net/article/ZL100277.jpg</t>
  </si>
  <si>
    <t>ZL100278</t>
  </si>
  <si>
    <t>https://www.zalando.de/zign-print-polo---black-zl100278/</t>
  </si>
  <si>
    <t>Zign</t>
  </si>
  <si>
    <t>https://img01.ztat.net/article/ZL100278.jpg</t>
  </si>
  <si>
    <t>ZL100279</t>
  </si>
  <si>
    <t>https://www.zalando.de/salomon-slim-fit-t-shirt---olive-zl100279/</t>
  </si>
  <si>
    <t>Slim Fit T-SHIRT - OLIVE</t>
  </si>
  <si>
    <t>https://img01.ztat.net/article/ZL100279.jpg</t>
  </si>
  <si>
    <t>ZL100280</t>
  </si>
  <si>
    <t>https://www.zalando.de/knowledge-cotton-apparel-basic-polo---light-grey-zl100280/</t>
  </si>
  <si>
    <t>Knowledge Cotton Apparel</t>
  </si>
  <si>
    <t>https://img01.ztat.net/article/ZL100280.jpg</t>
  </si>
  <si>
    <t>ZL100281</t>
  </si>
  <si>
    <t>https://www.zalando.de/seidensticker-basic-polo---mint-zl100281/</t>
  </si>
  <si>
    <t>Basic POLO - MINT</t>
  </si>
  <si>
    <t>https://img01.ztat.net/article/ZL100281.jpg</t>
  </si>
  <si>
    <t>ZL100282</t>
  </si>
  <si>
    <t>https://www.zalando.de/adidas-performance-slim-fit-t-shirt---black-zl100282/</t>
  </si>
  <si>
    <t>https://img01.ztat.net/article/ZL100282.jpg</t>
  </si>
  <si>
    <t>ZL100283</t>
  </si>
  <si>
    <t>https://www.zalando.de/under-armour-training-print-polo---rust-zl100283/</t>
  </si>
  <si>
    <t>Under Armour Training</t>
  </si>
  <si>
    <t>https://img01.ztat.net/article/ZL100283.jpg</t>
  </si>
  <si>
    <t>ZL100284</t>
  </si>
  <si>
    <t>https://www.zalando.de/element-slim-fit-polo---royal-blue-zl100284/</t>
  </si>
  <si>
    <t>https://img01.ztat.net/article/ZL100284.jpg</t>
  </si>
  <si>
    <t>ZL100285</t>
  </si>
  <si>
    <t>https://www.zalando.de/vans-basic-t-shirt---grey-melange-zl100285/</t>
  </si>
  <si>
    <t>Basic T-SHIRT - GREY MELANGE</t>
  </si>
  <si>
    <t>https://img01.ztat.net/article/ZL100285.jpg</t>
  </si>
  <si>
    <t>ZL100286</t>
  </si>
  <si>
    <t>https://www.zalando.de/tommy-hilfiger-print-t-shirt---off-white-zl100286/</t>
  </si>
  <si>
    <t>Print T-SHIRT - OFF WHITE</t>
  </si>
  <si>
    <t>https://img01.ztat.net/article/ZL100286.jpg</t>
  </si>
  <si>
    <t>ZL100287</t>
  </si>
  <si>
    <t>https://www.zalando.de/q/s-designed-by-print-polo---navy-zl100287/</t>
  </si>
  <si>
    <t>Print POLO - NAVY</t>
  </si>
  <si>
    <t>https://img01.ztat.net/article/ZL100287.jpg</t>
  </si>
  <si>
    <t>ZL100289</t>
  </si>
  <si>
    <t>https://www.zalando.de/seidensticker-slim-fit-t-shirt---olive-zl100289/</t>
  </si>
  <si>
    <t>https://img01.ztat.net/article/ZL100289.jpg</t>
  </si>
  <si>
    <t>ZL100290</t>
  </si>
  <si>
    <t>https://www.zalando.de/calvin-klein-print-t-shirt---denim-blue-zl100290/</t>
  </si>
  <si>
    <t>Print T-SHIRT - DENIM BLUE</t>
  </si>
  <si>
    <t>https://img01.ztat.net/article/ZL100290.jpg</t>
  </si>
  <si>
    <t>ZL100291</t>
  </si>
  <si>
    <t>https://www.zalando.de/alpha-industries-slim-fit-polo---mint-zl100291/</t>
  </si>
  <si>
    <t>Alpha Industries</t>
  </si>
  <si>
    <t>https://img01.ztat.net/article/ZL100291.jpg</t>
  </si>
  <si>
    <t>ZL100292</t>
  </si>
  <si>
    <t>https://www.zalando.de/guess-essential-t-shirt---beige-zl100292/</t>
  </si>
  <si>
    <t>Essential T-SHIRT - BEIGE</t>
  </si>
  <si>
    <t>https://img01.ztat.net/article/ZL100292.jpg</t>
  </si>
  <si>
    <t>ZL100293</t>
  </si>
  <si>
    <t>https://www.zalando.de/anthracite-print-t-shirt---khaki-zl100293/</t>
  </si>
  <si>
    <t>https://img01.ztat.net/article/ZL100293.jpg</t>
  </si>
  <si>
    <t>ZL100294</t>
  </si>
  <si>
    <t>https://www.zalando.de/nike-basic-polo---light-grey-zl100294/</t>
  </si>
  <si>
    <t>https://img01.ztat.net/article/ZL100294.jpg</t>
  </si>
  <si>
    <t>ZL100295</t>
  </si>
  <si>
    <t>https://www.zalando.de/adidas-performance-basic-polo---rust-zl100295/</t>
  </si>
  <si>
    <t>https://img01.ztat.net/article/ZL100295.jpg</t>
  </si>
  <si>
    <t>ZL100296</t>
  </si>
  <si>
    <t>https://www.zalando.de/colours-and-sons-essential-polo---mint-zl100296/</t>
  </si>
  <si>
    <t>https://img01.ztat.net/article/ZL100296.jpg</t>
  </si>
  <si>
    <t>ZL100297</t>
  </si>
  <si>
    <t>https://www.zalando.de/petrol-industries-basic-polo---royal-blue-zl100297/</t>
  </si>
  <si>
    <t>https://img01.ztat.net/article/ZL100297.jpg</t>
  </si>
  <si>
    <t>ZL100298</t>
  </si>
  <si>
    <t>https://www.zalando.de/van-laack-slim-fit-t-shirt---bordeaux-zl100298/</t>
  </si>
  <si>
    <t>https://img01.ztat.net/article/ZL100298.jpg</t>
  </si>
  <si>
    <t>ZL100299</t>
  </si>
  <si>
    <t>https://www.zalando.de/adidas-performance-regular-fit-t-shirt---olive-zl100299/</t>
  </si>
  <si>
    <t>Regular Fit T-SHIRT - OLIVE</t>
  </si>
  <si>
    <t>https://img01.ztat.net/article/ZL100299.jpg</t>
  </si>
  <si>
    <t>ZL100300</t>
  </si>
  <si>
    <t>https://www.zalando.de/hummel-print-t-shirt---royal-blue-zl100300/</t>
  </si>
  <si>
    <t>https://img01.ztat.net/article/ZL100300.jpg</t>
  </si>
  <si>
    <t>ZL100301</t>
  </si>
  <si>
    <t>https://www.zalando.de/pier-one-basic-polo---khaki-zl100301/</t>
  </si>
  <si>
    <t>https://img01.ztat.net/article/ZL100301.jpg</t>
  </si>
  <si>
    <t>ZL100302</t>
  </si>
  <si>
    <t>https://www.zalando.de/adidas-performance-regular-fit-t-shirt---olive-zl100302/</t>
  </si>
  <si>
    <t>https://img01.ztat.net/article/ZL100302.jpg</t>
  </si>
  <si>
    <t>ZL100303</t>
  </si>
  <si>
    <t>https://www.zalando.de/blend-she-essential-polo---bordeaux-zl100303/</t>
  </si>
  <si>
    <t>https://img01.ztat.net/article/ZL100303.jpg</t>
  </si>
  <si>
    <t>ZL100304</t>
  </si>
  <si>
    <t>https://www.zalando.de/jack-jones-junior-regular-fit-polo---anthracite-zl100304/</t>
  </si>
  <si>
    <t>https://img01.ztat.net/article/ZL100304.jpg</t>
  </si>
  <si>
    <t>ZL100305</t>
  </si>
  <si>
    <t>https://www.zalando.de/anti-fashion-regular-fit-t-shirt---off-white-zl100305/</t>
  </si>
  <si>
    <t>https://img01.ztat.net/article/ZL100305.jpg</t>
  </si>
  <si>
    <t>ZL100306</t>
  </si>
  <si>
    <t>https://www.zalando.de/salomon-regular-fit-t-shirt---navy-zl100306/</t>
  </si>
  <si>
    <t>https://img01.ztat.net/article/ZL100306.jpg</t>
  </si>
  <si>
    <t>ZL100307</t>
  </si>
  <si>
    <t>https://www.zalando.de/river-island-slim-fit-t-shirt---off-white-zl100307/</t>
  </si>
  <si>
    <t>https://img01.ztat.net/article/ZL100307.jpg</t>
  </si>
  <si>
    <t>ZL100308</t>
  </si>
  <si>
    <t>https://www.zalando.de/gap-regular-fit-t-shirt---beige-zl100308/</t>
  </si>
  <si>
    <t>https://img01.ztat.net/article/ZL100308.jpg</t>
  </si>
  <si>
    <t>ZL100309</t>
  </si>
  <si>
    <t>https://www.zalando.de/nike-golf-essential-polo---light-grey-zl100309/</t>
  </si>
  <si>
    <t>Nike Golf</t>
  </si>
  <si>
    <t>Essential POLO - LIGHT GREY</t>
  </si>
  <si>
    <t>https://img01.ztat.net/article/ZL100309.jpg</t>
  </si>
  <si>
    <t>ZL100310</t>
  </si>
  <si>
    <t>https://www.zalando.de/bruuns-bazaar-basic-t-shirt---beige-zl100310/</t>
  </si>
  <si>
    <t>Bruuns Bazaar</t>
  </si>
  <si>
    <t>Basic T-SHIRT - BEIGE</t>
  </si>
  <si>
    <t>https://img01.ztat.net/article/ZL100310.jpg</t>
  </si>
  <si>
    <t>ZL100311</t>
  </si>
  <si>
    <t>https://www.zalando.de/anerkjendt-slim-fit-polo---navy-zl100311/</t>
  </si>
  <si>
    <t>Slim Fit POLO - NAVY</t>
  </si>
  <si>
    <t>https://img01.ztat.net/article/ZL100311.jpg</t>
  </si>
  <si>
    <t>ZL100312</t>
  </si>
  <si>
    <t>https://www.zalando.de/bershka-print-polo---beige-zl100312/</t>
  </si>
  <si>
    <t>https://img01.ztat.net/article/ZL100312.jpg</t>
  </si>
  <si>
    <t>ZL100313</t>
  </si>
  <si>
    <t>https://www.zalando.de/puma-basic-polo---off-white-zl100313/</t>
  </si>
  <si>
    <t>https://img01.ztat.net/article/ZL100313.jpg</t>
  </si>
  <si>
    <t>ZL100314</t>
  </si>
  <si>
    <t>https://www.zalando.de/fila-print-t-shirt---red-zl100314/</t>
  </si>
  <si>
    <t>https://img01.ztat.net/article/ZL100314.jpg</t>
  </si>
  <si>
    <t>ZL100315</t>
  </si>
  <si>
    <t>https://www.zalando.de/only-sons-basic-polo---bordeaux-zl100315/</t>
  </si>
  <si>
    <t>https://img01.ztat.net/article/ZL100315.jpg</t>
  </si>
  <si>
    <t>ZL100316</t>
  </si>
  <si>
    <t>https://www.zalando.de/denim-and-supply-essential-polo---bordeaux-zl100316/</t>
  </si>
  <si>
    <t>https://img01.ztat.net/article/ZL100316.jpg</t>
  </si>
  <si>
    <t>ZL100317</t>
  </si>
  <si>
    <t>https://www.zalando.de/nike-print-t-shirt---mint-zl100317/</t>
  </si>
  <si>
    <t>https://img01.ztat.net/article/ZL100317.jpg</t>
  </si>
  <si>
    <t>ZL100318</t>
  </si>
  <si>
    <t>https://www.zalando.de/adidas-performance-essential-polo---red-zl100318/</t>
  </si>
  <si>
    <t>https://img01.ztat.net/article/ZL100318.jpg</t>
  </si>
  <si>
    <t>ZL100319</t>
  </si>
  <si>
    <t>https://www.zalando.de/jackandjones-plus-print-polo---grey-melange-zl100319/</t>
  </si>
  <si>
    <t>https://img01.ztat.net/article/ZL100319.jpg</t>
  </si>
  <si>
    <t>ZL100320</t>
  </si>
  <si>
    <t>https://www.zalando.de/ltb-essential-polo---off-white-zl100320/</t>
  </si>
  <si>
    <t>https://img01.ztat.net/article/ZL100320.jpg</t>
  </si>
  <si>
    <t>ZL100321</t>
  </si>
  <si>
    <t>https://www.zalando.de/under-armour-slim-fit-polo---royal-blue-zl100321/</t>
  </si>
  <si>
    <t>https://img01.ztat.net/article/ZL100321.jpg</t>
  </si>
  <si>
    <t>ZL100322</t>
  </si>
  <si>
    <t>https://www.zalando.de/barbour-slim-fit-t-shirt---off-white-zl100322/</t>
  </si>
  <si>
    <t>Barbour</t>
  </si>
  <si>
    <t>https://img01.ztat.net/article/ZL100322.jpg</t>
  </si>
  <si>
    <t>ZL100323</t>
  </si>
  <si>
    <t>https://www.zalando.de/zalando-essentials-basic-t-shirt---black-zl100323/</t>
  </si>
  <si>
    <t>Basic T-SHIRT - BLACK</t>
  </si>
  <si>
    <t>https://img01.ztat.net/article/ZL100323.jpg</t>
  </si>
  <si>
    <t>ZL100324</t>
  </si>
  <si>
    <t>https://www.zalando.de/puma-slim-fit-polo---dark-blue-zl100324/</t>
  </si>
  <si>
    <t>https://img01.ztat.net/article/ZL100324.jpg</t>
  </si>
  <si>
    <t>ZL100325</t>
  </si>
  <si>
    <t>https://www.zalando.de/anti-fashion-essential-t-shirt---grey-melange-zl100325/</t>
  </si>
  <si>
    <t>https://img01.ztat.net/article/ZL100325.jpg</t>
  </si>
  <si>
    <t>ZL100326</t>
  </si>
  <si>
    <t>https://www.zalando.de/anthracite-regular-fit-polo---olive-zl100326/</t>
  </si>
  <si>
    <t>https://img01.ztat.net/article/ZL100326.jpg</t>
  </si>
  <si>
    <t>ZL100327</t>
  </si>
  <si>
    <t>https://www.zalando.de/adidas-performance-essential-polo---white-zl100327/</t>
  </si>
  <si>
    <t>https://img01.ztat.net/article/ZL100327.jpg</t>
  </si>
  <si>
    <t>ZL100328</t>
  </si>
  <si>
    <t>https://www.zalando.de/cars-basic-t-shirt---navy-zl100328/</t>
  </si>
  <si>
    <t>Basic T-SHIRT - NAVY</t>
  </si>
  <si>
    <t>https://img01.ztat.net/article/ZL100328.jpg</t>
  </si>
  <si>
    <t>ZL100329</t>
  </si>
  <si>
    <t>https://www.zalando.de/adidas-performance-print-t-shirt---light-grey-zl100329/</t>
  </si>
  <si>
    <t>https://img01.ztat.net/article/ZL100329.jpg</t>
  </si>
  <si>
    <t>ZL100330</t>
  </si>
  <si>
    <t>https://www.zalando.de/matinique-regular-fit-t-shirt---royal-blue-zl100330/</t>
  </si>
  <si>
    <t>https://img01.ztat.net/article/ZL100330.jpg</t>
  </si>
  <si>
    <t>ZL100331</t>
  </si>
  <si>
    <t>https://www.zalando.de/gant-regular-fit-t-shirt---bordeaux-zl100331/</t>
  </si>
  <si>
    <t>https://img01.ztat.net/article/ZL100331.jpg</t>
  </si>
  <si>
    <t>ZL100332</t>
  </si>
  <si>
    <t>https://www.zalando.de/björn-borg-basic-polo---bordeaux-zl100332/</t>
  </si>
  <si>
    <t>Björn Borg</t>
  </si>
  <si>
    <t>https://img01.ztat.net/article/ZL100332.jpg</t>
  </si>
  <si>
    <t>ZL100333</t>
  </si>
  <si>
    <t>https://www.zalando.de/mustang-basic-polo---bordeaux-zl100333/</t>
  </si>
  <si>
    <t>https://img01.ztat.net/article/ZL100333.jpg</t>
  </si>
  <si>
    <t>ZL100334</t>
  </si>
  <si>
    <t>https://www.zalando.de/tommy-hilfiger-essential-polo---rust-zl100334/</t>
  </si>
  <si>
    <t>https://img01.ztat.net/article/ZL100334.jpg</t>
  </si>
  <si>
    <t>ZL100335</t>
  </si>
  <si>
    <t>https://www.zalando.de/tommy-hilfiger-basic-t-shirt---rust-zl100335/</t>
  </si>
  <si>
    <t>Basic T-SHIRT - RUST</t>
  </si>
  <si>
    <t>https://img01.ztat.net/article/ZL100335.jpg</t>
  </si>
  <si>
    <t>ZL100336</t>
  </si>
  <si>
    <t>https://www.zalando.de/nike-essential-t-shirt---red-zl100336/</t>
  </si>
  <si>
    <t>https://img01.ztat.net/article/ZL100336.jpg</t>
  </si>
  <si>
    <t>ZL100337</t>
  </si>
  <si>
    <t>https://www.zalando.de/element-slim-fit-polo---anthracite-zl100337/</t>
  </si>
  <si>
    <t>https://img01.ztat.net/article/ZL100337.jpg</t>
  </si>
  <si>
    <t>ZL100338</t>
  </si>
  <si>
    <t>https://www.zalando.de/matinique-slim-fit-t-shirt---rust-zl100338/</t>
  </si>
  <si>
    <t>https://img01.ztat.net/article/ZL100338.jpg</t>
  </si>
  <si>
    <t>ZL100339</t>
  </si>
  <si>
    <t>https://www.zalando.de/nike-print-t-shirt---denim-blue-zl100339/</t>
  </si>
  <si>
    <t>https://img01.ztat.net/article/ZL100339.jpg</t>
  </si>
  <si>
    <t>ZL100340</t>
  </si>
  <si>
    <t>https://www.zalando.de/tommy-hilfiger-regular-fit-t-shirt---dark-green-zl100340/</t>
  </si>
  <si>
    <t>https://img01.ztat.net/article/ZL100340.jpg</t>
  </si>
  <si>
    <t>ZL100341</t>
  </si>
  <si>
    <t>https://www.zalando.de/peter-werth-essential-polo---denim-blue-zl100341/</t>
  </si>
  <si>
    <t>https://img01.ztat.net/article/ZL100341.jpg</t>
  </si>
  <si>
    <t>ZL100342</t>
  </si>
  <si>
    <t>https://www.zalando.de/burton-regular-fit-t-shirt---red-zl100342/</t>
  </si>
  <si>
    <t>https://img01.ztat.net/article/ZL100342.jpg</t>
  </si>
  <si>
    <t>ZL100343</t>
  </si>
  <si>
    <t>https://www.zalando.de/lacoste-basic-polo---dark-green-zl100343/</t>
  </si>
  <si>
    <t>https://img01.ztat.net/article/ZL100343.jpg</t>
  </si>
  <si>
    <t>ZL100344</t>
  </si>
  <si>
    <t>https://www.zalando.de/tommy-hilfiger-basic-polo---grey-melange-zl100344/</t>
  </si>
  <si>
    <t>https://img01.ztat.net/article/ZL100344.jpg</t>
  </si>
  <si>
    <t>ZL100345</t>
  </si>
  <si>
    <t>https://www.zalando.de/hackett-london-slim-fit-t-shirt---olive-zl100345/</t>
  </si>
  <si>
    <t>Hackett London</t>
  </si>
  <si>
    <t>https://img01.ztat.net/article/ZL100345.jpg</t>
  </si>
  <si>
    <t>ZL100346</t>
  </si>
  <si>
    <t>https://www.zalando.de/ellesse-basic-polo---mint-zl100346/</t>
  </si>
  <si>
    <t>Ellesse</t>
  </si>
  <si>
    <t>https://img01.ztat.net/article/ZL100346.jpg</t>
  </si>
  <si>
    <t>ZL100347</t>
  </si>
  <si>
    <t>https://www.zalando.de/j.lindeberg-essential-t-shirt---black-zl100347/</t>
  </si>
  <si>
    <t>https://img01.ztat.net/article/ZL100347.jpg</t>
  </si>
  <si>
    <t>ZL100348</t>
  </si>
  <si>
    <t>https://www.zalando.de/tommy-hilfiger-basic-t-shirt---dark-blue-zl100348/</t>
  </si>
  <si>
    <t>https://img01.ztat.net/article/ZL100348.jpg</t>
  </si>
  <si>
    <t>ZL100349</t>
  </si>
  <si>
    <t>https://www.zalando.de/björn-borg-regular-fit-polo---light-grey-zl100349/</t>
  </si>
  <si>
    <t>https://img01.ztat.net/article/ZL100349.jpg</t>
  </si>
  <si>
    <t>ZL100350</t>
  </si>
  <si>
    <t>https://www.zalando.de/hollister-co.-essential-t-shirt---mint-zl100350/</t>
  </si>
  <si>
    <t>Hollister Co.</t>
  </si>
  <si>
    <t>https://img01.ztat.net/article/ZL100350.jpg</t>
  </si>
  <si>
    <t>ZL100351</t>
  </si>
  <si>
    <t>https://www.zalando.de/nike-essential-t-shirt---olive-zl100351/</t>
  </si>
  <si>
    <t>https://img01.ztat.net/article/ZL100351.jpg</t>
  </si>
  <si>
    <t>ZL100352</t>
  </si>
  <si>
    <t>https://www.zalando.de/olymp-regular-fit-t-shirt---grey-melange-zl100352/</t>
  </si>
  <si>
    <t>Regular Fit T-SHIRT - GREY MELANGE</t>
  </si>
  <si>
    <t>https://img01.ztat.net/article/ZL100352.jpg</t>
  </si>
  <si>
    <t>ZL100353</t>
  </si>
  <si>
    <t>https://www.zalando.de/casual-friday-essential-polo---black-zl100353/</t>
  </si>
  <si>
    <t>https://img01.ztat.net/article/ZL100353.jpg</t>
  </si>
  <si>
    <t>ZL100354</t>
  </si>
  <si>
    <t>https://www.zalando.de/adidas-performance-regular-fit-t-shirt---bordeaux-zl100354/</t>
  </si>
  <si>
    <t>https://img01.ztat.net/article/ZL100354.jpg</t>
  </si>
  <si>
    <t>ZL100355</t>
  </si>
  <si>
    <t>https://www.zalando.de/craft-sportswear-print-t-shirt---royal-blue-zl100355/</t>
  </si>
  <si>
    <t>https://img01.ztat.net/article/ZL100355.jpg</t>
  </si>
  <si>
    <t>ZL100356</t>
  </si>
  <si>
    <t>https://www.zalando.de/fred-perry-regular-fit-polo---off-white-zl100356/</t>
  </si>
  <si>
    <t>Fred Perry</t>
  </si>
  <si>
    <t>https://img01.ztat.net/article/ZL100356.jpg</t>
  </si>
  <si>
    <t>ZL100357</t>
  </si>
  <si>
    <t>https://www.zalando.de/cars-slim-fit-t-shirt---khaki-zl100357/</t>
  </si>
  <si>
    <t>https://img01.ztat.net/article/ZL100357.jpg</t>
  </si>
  <si>
    <t>ZL100358</t>
  </si>
  <si>
    <t>https://www.zalando.de/mango-man-print-t-shirt---beige-zl100358/</t>
  </si>
  <si>
    <t>https://img01.ztat.net/article/ZL100358.jpg</t>
  </si>
  <si>
    <t>ZL100359</t>
  </si>
  <si>
    <t>https://www.zalando.de/columbia-print-t-shirt---white-zl100359/</t>
  </si>
  <si>
    <t>Columbia</t>
  </si>
  <si>
    <t>https://img01.ztat.net/article/ZL100359.jpg</t>
  </si>
  <si>
    <t>ZL100360</t>
  </si>
  <si>
    <t>https://www.zalando.de/nike-slim-fit-t-shirt---dark-green-zl100360/</t>
  </si>
  <si>
    <t>https://img01.ztat.net/article/ZL100360.jpg</t>
  </si>
  <si>
    <t>ZL100361</t>
  </si>
  <si>
    <t>https://www.zalando.de/adidas-performance-regular-fit-polo---denim-blue-zl100361/</t>
  </si>
  <si>
    <t>https://img01.ztat.net/article/ZL100361.jpg</t>
  </si>
  <si>
    <t>ZL100362</t>
  </si>
  <si>
    <t>https://www.zalando.de/odlo-slim-fit-t-shirt---off-white-zl100362/</t>
  </si>
  <si>
    <t>https://img01.ztat.net/article/ZL100362.jpg</t>
  </si>
  <si>
    <t>ZL100363</t>
  </si>
  <si>
    <t>https://www.zalando.de/tommy-hilfiger-regular-fit-t-shirt---red-zl100363/</t>
  </si>
  <si>
    <t>https://img01.ztat.net/article/ZL100363.jpg</t>
  </si>
  <si>
    <t>ZL100364</t>
  </si>
  <si>
    <t>https://www.zalando.de/björn-borg-print-t-shirt---royal-blue-zl100364/</t>
  </si>
  <si>
    <t>https://img01.ztat.net/article/ZL100364.jpg</t>
  </si>
  <si>
    <t>ZL100365</t>
  </si>
  <si>
    <t>https://www.zalando.de/tom-tailor-denim-basic-t-shirt---anthracite-zl100365/</t>
  </si>
  <si>
    <t>Tom Tailor Denim</t>
  </si>
  <si>
    <t>https://img01.ztat.net/article/ZL100365.jpg</t>
  </si>
  <si>
    <t>ZL100366</t>
  </si>
  <si>
    <t>https://www.zalando.de/won-hundred-regular-fit-polo---white-zl100366/</t>
  </si>
  <si>
    <t>Won Hundred</t>
  </si>
  <si>
    <t>https://img01.ztat.net/article/ZL100366.jpg</t>
  </si>
  <si>
    <t>ZL100367</t>
  </si>
  <si>
    <t>https://www.zalando.de/salomon-slim-fit-t-shirt---navy-zl100367/</t>
  </si>
  <si>
    <t>https://img01.ztat.net/article/ZL100367.jpg</t>
  </si>
  <si>
    <t>ZL100368</t>
  </si>
  <si>
    <t>https://www.zalando.de/calvin-klein-slim-fit-t-shirt---navy-zl100368/</t>
  </si>
  <si>
    <t>https://img01.ztat.net/article/ZL100368.jpg</t>
  </si>
  <si>
    <t>ZL100369</t>
  </si>
  <si>
    <t>https://www.zalando.de/shine-essential-polo---navy-zl100369/</t>
  </si>
  <si>
    <t>https://img01.ztat.net/article/ZL100369.jpg</t>
  </si>
  <si>
    <t>ZL100370</t>
  </si>
  <si>
    <t>https://www.zalando.de/teddy-smith-basic-polo---red-zl100370/</t>
  </si>
  <si>
    <t>https://img01.ztat.net/article/ZL100370.jpg</t>
  </si>
  <si>
    <t>ZL100371</t>
  </si>
  <si>
    <t>https://www.zalando.de/quiksilver-essential-t-shirt---royal-blue-zl100371/</t>
  </si>
  <si>
    <t>https://img01.ztat.net/article/ZL100371.jpg</t>
  </si>
  <si>
    <t>ZL100372</t>
  </si>
  <si>
    <t>https://www.zalando.de/anerkjendt-print-polo---anthracite-zl100372/</t>
  </si>
  <si>
    <t>https://img01.ztat.net/article/ZL100372.jpg</t>
  </si>
  <si>
    <t>ZL100373</t>
  </si>
  <si>
    <t>https://www.zalando.de/nike-sportswear-slim-fit-polo---beige-zl100373/</t>
  </si>
  <si>
    <t>https://img01.ztat.net/article/ZL100373.jpg</t>
  </si>
  <si>
    <t>ZL100374</t>
  </si>
  <si>
    <t>https://www.zalando.de/napapijri-essential-t-shirt---black-zl100374/</t>
  </si>
  <si>
    <t>https://img01.ztat.net/article/ZL100374.jpg</t>
  </si>
  <si>
    <t>ZL100375</t>
  </si>
  <si>
    <t>https://www.zalando.de/reebok-essential-polo---mint-zl100375/</t>
  </si>
  <si>
    <t>https://img01.ztat.net/article/ZL100375.jpg</t>
  </si>
  <si>
    <t>ZL100376</t>
  </si>
  <si>
    <t>https://www.zalando.de/nike-essential-t-shirt---bordeaux-zl100376/</t>
  </si>
  <si>
    <t>https://img01.ztat.net/article/ZL100376.jpg</t>
  </si>
  <si>
    <t>ZL100377</t>
  </si>
  <si>
    <t>https://www.zalando.de/tommy-hilfiger-regular-fit-t-shirt---navy-zl100377/</t>
  </si>
  <si>
    <t>https://img01.ztat.net/article/ZL100377.jpg</t>
  </si>
  <si>
    <t>ZL100378</t>
  </si>
  <si>
    <t>https://www.zalando.de/guess-essential-t-shirt---beige-zl100378/</t>
  </si>
  <si>
    <t>https://img01.ztat.net/article/ZL100378.jpg</t>
  </si>
  <si>
    <t>ZL100379</t>
  </si>
  <si>
    <t>https://www.zalando.de/blend-she-print-t-shirt---red-zl100379/</t>
  </si>
  <si>
    <t>https://img01.ztat.net/article/ZL100379.jpg</t>
  </si>
  <si>
    <t>ZL100380</t>
  </si>
  <si>
    <t>https://www.zalando.de/strellson-premium-regular-fit-polo---dark-blue-zl100380/</t>
  </si>
  <si>
    <t>Strellson Premium</t>
  </si>
  <si>
    <t>https://img01.ztat.net/article/ZL100380.jpg</t>
  </si>
  <si>
    <t>ZL100381</t>
  </si>
  <si>
    <t>https://www.zalando.de/cars-regular-fit-t-shirt---navy-zl100381/</t>
  </si>
  <si>
    <t>https://img01.ztat.net/article/ZL100381.jpg</t>
  </si>
  <si>
    <t>ZL100382</t>
  </si>
  <si>
    <t>https://www.zalando.de/quiksilver-basic-t-shirt---off-white-zl100382/</t>
  </si>
  <si>
    <t>https://img01.ztat.net/article/ZL100382.jpg</t>
  </si>
  <si>
    <t>ZL100383</t>
  </si>
  <si>
    <t>https://www.zalando.de/salomon-print-polo---denim-blue-zl100383/</t>
  </si>
  <si>
    <t>https://img01.ztat.net/article/ZL100383.jpg</t>
  </si>
  <si>
    <t>ZL100384</t>
  </si>
  <si>
    <t>https://www.zalando.de/weekday-essential-t-shirt---off-white-zl100384/</t>
  </si>
  <si>
    <t>Weekday</t>
  </si>
  <si>
    <t>Essential T-SHIRT - OFF WHITE</t>
  </si>
  <si>
    <t>https://img01.ztat.net/article/ZL100384.jpg</t>
  </si>
  <si>
    <t>ZL100385</t>
  </si>
  <si>
    <t>https://www.zalando.de/blend-she-slim-fit-t-shirt---bordeaux-zl100385/</t>
  </si>
  <si>
    <t>https://img01.ztat.net/article/ZL100385.jpg</t>
  </si>
  <si>
    <t>ZL100386</t>
  </si>
  <si>
    <t>https://www.zalando.de/nike-slim-fit-polo---white-zl100386/</t>
  </si>
  <si>
    <t>https://img01.ztat.net/article/ZL100386.jpg</t>
  </si>
  <si>
    <t>ZL100387</t>
  </si>
  <si>
    <t>https://www.zalando.de/mango-man-print-t-shirt---anthracite-zl100387/</t>
  </si>
  <si>
    <t>https://img01.ztat.net/article/ZL100387.jpg</t>
  </si>
  <si>
    <t>ZL100388</t>
  </si>
  <si>
    <t>https://www.zalando.de/produkt-essential-polo---khaki-zl100388/</t>
  </si>
  <si>
    <t>Essential POLO - KHAKI</t>
  </si>
  <si>
    <t>https://img01.ztat.net/article/ZL100388.jpg</t>
  </si>
  <si>
    <t>ZL100389</t>
  </si>
  <si>
    <t>https://www.zalando.de/tiger-of-sweden-essential-polo---light-grey-zl100389/</t>
  </si>
  <si>
    <t>https://img01.ztat.net/article/ZL100389.jpg</t>
  </si>
  <si>
    <t>ZL100390</t>
  </si>
  <si>
    <t>https://www.zalando.de/burton-london-slim-fit-t-shirt---bordeaux-zl100390/</t>
  </si>
  <si>
    <t>https://img01.ztat.net/article/ZL100390.jpg</t>
  </si>
  <si>
    <t>ZL100391</t>
  </si>
  <si>
    <t>https://www.zalando.de/patagonia-essential-t-shirt---royal-blue-zl100391/</t>
  </si>
  <si>
    <t>https://img01.ztat.net/article/ZL100391.jpg</t>
  </si>
  <si>
    <t>ZL100392</t>
  </si>
  <si>
    <t>https://www.zalando.de/adidas-performance-print-t-shirt---rust-zl100392/</t>
  </si>
  <si>
    <t>https://img01.ztat.net/article/ZL100392.jpg</t>
  </si>
  <si>
    <t>ZL100393</t>
  </si>
  <si>
    <t>https://www.zalando.de/urban-classics-slim-fit-t-shirt---bordeaux-zl100393/</t>
  </si>
  <si>
    <t>https://img01.ztat.net/article/ZL100393.jpg</t>
  </si>
  <si>
    <t>ZL100394</t>
  </si>
  <si>
    <t>https://www.zalando.de/lacoste-essential-t-shirt---bordeaux-zl100394/</t>
  </si>
  <si>
    <t>https://img01.ztat.net/article/ZL100394.jpg</t>
  </si>
  <si>
    <t>ZL100395</t>
  </si>
  <si>
    <t>https://www.zalando.de/nike-print-polo---olive-zl100395/</t>
  </si>
  <si>
    <t>https://img01.ztat.net/article/ZL100395.jpg</t>
  </si>
  <si>
    <t>ZL100396</t>
  </si>
  <si>
    <t>https://www.zalando.de/redefined-rebel-regular-fit-t-shirt---off-white-zl100396/</t>
  </si>
  <si>
    <t>https://img01.ztat.net/article/ZL100396.jpg</t>
  </si>
  <si>
    <t>ZL100397</t>
  </si>
  <si>
    <t>https://www.zalando.de/nike-slim-fit-t-shirt---anthracite-zl100397/</t>
  </si>
  <si>
    <t>Slim Fit T-SHIRT - ANTHRACITE</t>
  </si>
  <si>
    <t>https://img01.ztat.net/article/ZL100397.jpg</t>
  </si>
  <si>
    <t>ZL100398</t>
  </si>
  <si>
    <t>https://www.zalando.de/redefined-rebel-print-t-shirt---bordeaux-zl100398/</t>
  </si>
  <si>
    <t>https://img01.ztat.net/article/ZL100398.jpg</t>
  </si>
  <si>
    <t>ZL100399</t>
  </si>
  <si>
    <t>https://www.zalando.de/under-armour-training-essential-t-shirt---dark-blue-zl100399/</t>
  </si>
  <si>
    <t>https://img01.ztat.net/article/ZL100399.jpg</t>
  </si>
  <si>
    <t>ZL100400</t>
  </si>
  <si>
    <t>https://www.zalando.de/tommy-hilfiger-essential-polo---white-zl100400/</t>
  </si>
  <si>
    <t>https://img01.ztat.net/article/ZL100400.jpg</t>
  </si>
  <si>
    <t>ZL100401</t>
  </si>
  <si>
    <t>https://www.zalando.de/nike-print-polo---grey-melange-zl100401/</t>
  </si>
  <si>
    <t>https://img01.ztat.net/article/ZL100401.jpg</t>
  </si>
  <si>
    <t>ZL100402</t>
  </si>
  <si>
    <t>https://www.zalando.de/pier-1-print-polo---denim-blue-zl100402/</t>
  </si>
  <si>
    <t>https://img01.ztat.net/article/ZL100402.jpg</t>
  </si>
  <si>
    <t>ZL100403</t>
  </si>
  <si>
    <t>https://www.zalando.de/nudie-jeans-regular-fit-t-shirt---olive-zl100403/</t>
  </si>
  <si>
    <t>Nudie Jeans</t>
  </si>
  <si>
    <t>https://img01.ztat.net/article/ZL100403.jpg</t>
  </si>
  <si>
    <t>ZL100404</t>
  </si>
  <si>
    <t>https://www.zalando.de/columbia-essential-polo---mint-zl100404/</t>
  </si>
  <si>
    <t>https://img01.ztat.net/article/ZL100404.jpg</t>
  </si>
  <si>
    <t>ZL100405</t>
  </si>
  <si>
    <t>https://www.zalando.de/nike-running-essential-t-shirt---denim-blue-zl100405/</t>
  </si>
  <si>
    <t>Nike Running</t>
  </si>
  <si>
    <t>https://img01.ztat.net/article/ZL100405.jpg</t>
  </si>
  <si>
    <t>ZL100406</t>
  </si>
  <si>
    <t>https://www.zalando.de/produkt-slim-fit-polo---anthracite-zl100406/</t>
  </si>
  <si>
    <t>https://img01.ztat.net/article/ZL100406.jpg</t>
  </si>
  <si>
    <t>ZL100407</t>
  </si>
  <si>
    <t>https://www.zalando.de/adidas-performance-print-t-shirt---off-white-zl100407/</t>
  </si>
  <si>
    <t>https://img01.ztat.net/article/ZL100407.jpg</t>
  </si>
  <si>
    <t>ZL100408</t>
  </si>
  <si>
    <t>https://www.zalando.de/selected-homme-basic-t-shirt---black-zl100408/</t>
  </si>
  <si>
    <t>https://img01.ztat.net/article/ZL100408.jpg</t>
  </si>
  <si>
    <t>ZL100409</t>
  </si>
  <si>
    <t>https://www.zalando.de/jack-jones-junior-basic-polo---royal-blue-zl100409/</t>
  </si>
  <si>
    <t>https://img01.ztat.net/article/ZL100409.jpg</t>
  </si>
  <si>
    <t>ZL100410</t>
  </si>
  <si>
    <t>https://www.zalando.de/adidas-performance-print-t-shirt---rust-zl100410/</t>
  </si>
  <si>
    <t>https://img01.ztat.net/article/ZL100410.jpg</t>
  </si>
  <si>
    <t>ZL100411</t>
  </si>
  <si>
    <t>https://www.zalando.de/olymp-essential-t-shirt---off-white-zl100411/</t>
  </si>
  <si>
    <t>https://img01.ztat.net/article/ZL100411.jpg</t>
  </si>
  <si>
    <t>ZL100412</t>
  </si>
  <si>
    <t>https://www.zalando.de/lacoste-basic-t-shirt---bordeaux-zl100412/</t>
  </si>
  <si>
    <t>https://img01.ztat.net/article/ZL100412.jpg</t>
  </si>
  <si>
    <t>ZL100413</t>
  </si>
  <si>
    <t>https://www.zalando.de/cars-essential-t-shirt---navy-zl100413/</t>
  </si>
  <si>
    <t>Essential T-SHIRT - NAVY</t>
  </si>
  <si>
    <t>https://img01.ztat.net/article/ZL100413.jpg</t>
  </si>
  <si>
    <t>ZL100414</t>
  </si>
  <si>
    <t>https://www.zalando.de/anerkjendt-essential-polo---light-grey-zl100414/</t>
  </si>
  <si>
    <t>https://img01.ztat.net/article/ZL100414.jpg</t>
  </si>
  <si>
    <t>ZL100415</t>
  </si>
  <si>
    <t>https://www.zalando.de/g-star-essential-polo---mint-zl100415/</t>
  </si>
  <si>
    <t>G-Star</t>
  </si>
  <si>
    <t>https://img01.ztat.net/article/ZL100415.jpg</t>
  </si>
  <si>
    <t>ZL100416</t>
  </si>
  <si>
    <t>https://www.zalando.de/salomon-essential-t-shirt---denim-blue-zl100416/</t>
  </si>
  <si>
    <t>https://img01.ztat.net/article/ZL100416.jpg</t>
  </si>
  <si>
    <t>ZL100417</t>
  </si>
  <si>
    <t>https://www.zalando.de/adidas-performance-essential-polo---dark-green-zl100417/</t>
  </si>
  <si>
    <t>https://img01.ztat.net/article/ZL100417.jpg</t>
  </si>
  <si>
    <t>ZL100418</t>
  </si>
  <si>
    <t>https://www.zalando.de/only-sons-print-t-shirt---red-zl100418/</t>
  </si>
  <si>
    <t>https://img01.ztat.net/article/ZL100418.jpg</t>
  </si>
  <si>
    <t>ZL100419</t>
  </si>
  <si>
    <t>https://www.zalando.de/windsor.-print-t-shirt---navy-zl100419/</t>
  </si>
  <si>
    <t>Windsor.</t>
  </si>
  <si>
    <t>https://img01.ztat.net/article/ZL100419.jpg</t>
  </si>
  <si>
    <t>ZL100420</t>
  </si>
  <si>
    <t>https://www.zalando.de/wrangler-essential-polo---olive-zl100420/</t>
  </si>
  <si>
    <t>Essential POLO - OLIVE</t>
  </si>
  <si>
    <t>https://img01.ztat.net/article/ZL100420.jpg</t>
  </si>
  <si>
    <t>ZL100421</t>
  </si>
  <si>
    <t>https://www.zalando.de/adidas-performance-slim-fit-polo---olive-zl100421/</t>
  </si>
  <si>
    <t>Slim Fit POLO - OLIVE</t>
  </si>
  <si>
    <t>https://img01.ztat.net/article/ZL100421.jpg</t>
  </si>
  <si>
    <t>ZL100422</t>
  </si>
  <si>
    <t>https://www.zalando.de/puma-basic-t-shirt---dark-blue-zl100422/</t>
  </si>
  <si>
    <t>https://img01.ztat.net/article/ZL100422.jpg</t>
  </si>
  <si>
    <t>ZL100423</t>
  </si>
  <si>
    <t>https://www.zalando.de/mango-man-regular-fit-t-shirt---rust-zl100423/</t>
  </si>
  <si>
    <t>https://img01.ztat.net/article/ZL100423.jpg</t>
  </si>
  <si>
    <t>ZL100424</t>
  </si>
  <si>
    <t>https://www.zalando.de/only-sons-regular-fit-polo---off-white-zl100424/</t>
  </si>
  <si>
    <t>https://img01.ztat.net/article/ZL100424.jpg</t>
  </si>
  <si>
    <t>ZL100425</t>
  </si>
  <si>
    <t>https://www.zalando.de/threadbare-essential-polo---white-zl100425/</t>
  </si>
  <si>
    <t>Threadbare</t>
  </si>
  <si>
    <t>https://img01.ztat.net/article/ZL100425.jpg</t>
  </si>
  <si>
    <t>ZL100426</t>
  </si>
  <si>
    <t>https://www.zalando.de/odlo-basic-polo---black-zl100426/</t>
  </si>
  <si>
    <t>https://img01.ztat.net/article/ZL100426.jpg</t>
  </si>
  <si>
    <t>ZL100427</t>
  </si>
  <si>
    <t>https://www.zalando.de/hummel-regular-fit-polo---denim-blue-zl100427/</t>
  </si>
  <si>
    <t>https://img01.ztat.net/article/ZL100427.jpg</t>
  </si>
  <si>
    <t>ZL100428</t>
  </si>
  <si>
    <t>https://www.zalando.de/under-armour-print-polo---olive-zl100428/</t>
  </si>
  <si>
    <t>https://img01.ztat.net/article/ZL100428.jpg</t>
  </si>
  <si>
    <t>ZL100430</t>
  </si>
  <si>
    <t>https://www.zalando.de/cross-jeans-print-t-shirt---dark-blue-zl100430/</t>
  </si>
  <si>
    <t>Cross Jeans</t>
  </si>
  <si>
    <t>49.0</t>
  </si>
  <si>
    <t>https://img01.ztat.net/article/ZL100430.jpg</t>
  </si>
  <si>
    <t>ZL100431</t>
  </si>
  <si>
    <t>https://www.zalando.de/hackett-london-essential-polo---khaki-zl100431/</t>
  </si>
  <si>
    <t>https://img01.ztat.net/article/ZL100431.jpg</t>
  </si>
  <si>
    <t>ZL100432</t>
  </si>
  <si>
    <t>https://www.zalando.de/nike-basic-t-shirt---rust-zl100432/</t>
  </si>
  <si>
    <t>https://img01.ztat.net/article/ZL100432.jpg</t>
  </si>
  <si>
    <t>ZL100433</t>
  </si>
  <si>
    <t>https://www.zalando.de/pier-one-basic-polo---mint-zl100433/</t>
  </si>
  <si>
    <t>https://img01.ztat.net/article/ZL100433.jpg</t>
  </si>
  <si>
    <t>ZL100434</t>
  </si>
  <si>
    <t>https://www.zalando.de/reebok-essential-polo---red-zl100434/</t>
  </si>
  <si>
    <t>https://img01.ztat.net/article/ZL100434.jpg</t>
  </si>
  <si>
    <t>ZL100435</t>
  </si>
  <si>
    <t>https://www.zalando.de/björn-borg-slim-fit-polo---dark-blue-zl100435/</t>
  </si>
  <si>
    <t>https://img01.ztat.net/article/ZL100435.jpg</t>
  </si>
  <si>
    <t>ZL100436</t>
  </si>
  <si>
    <t>https://www.zalando.de/puma-regular-fit-t-shirt---bordeaux-zl100436/</t>
  </si>
  <si>
    <t>https://img01.ztat.net/article/ZL100436.jpg</t>
  </si>
  <si>
    <t>ZL100437</t>
  </si>
  <si>
    <t>https://www.zalando.de/cars-jeans-essential-polo---royal-blue-zl100437/</t>
  </si>
  <si>
    <t>Essential POLO - ROYAL BLUE</t>
  </si>
  <si>
    <t>https://img01.ztat.net/article/ZL100437.jpg</t>
  </si>
  <si>
    <t>ZL100438</t>
  </si>
  <si>
    <t>https://www.zalando.de/nike-regular-fit-t-shirt---light-grey-zl100438/</t>
  </si>
  <si>
    <t>https://img01.ztat.net/article/ZL100438.jpg</t>
  </si>
  <si>
    <t>ZL100439</t>
  </si>
  <si>
    <t>https://www.zalando.de/nike-sportswear-basic-t-shirt---denim-blue-zl100439/</t>
  </si>
  <si>
    <t>https://img01.ztat.net/article/ZL100439.jpg</t>
  </si>
  <si>
    <t>ZL100440</t>
  </si>
  <si>
    <t>https://www.zalando.de/tommy-hilfiger-basic-polo---dark-blue-zl100440/</t>
  </si>
  <si>
    <t>https://img01.ztat.net/article/ZL100440.jpg</t>
  </si>
  <si>
    <t>ZL100441</t>
  </si>
  <si>
    <t>https://www.zalando.de/converse-slim-fit-polo---dark-blue-zl100441/</t>
  </si>
  <si>
    <t>https://img01.ztat.net/article/ZL100441.jpg</t>
  </si>
  <si>
    <t>ZL100442</t>
  </si>
  <si>
    <t>https://www.zalando.de/diesel-essential-polo---dark-green-zl100442/</t>
  </si>
  <si>
    <t>https://img01.ztat.net/article/ZL100442.jpg</t>
  </si>
  <si>
    <t>ZL100443</t>
  </si>
  <si>
    <t>https://www.zalando.de/farah-essential-polo---mint-zl100443/</t>
  </si>
  <si>
    <t>Farah</t>
  </si>
  <si>
    <t>https://img01.ztat.net/article/ZL100443.jpg</t>
  </si>
  <si>
    <t>ZL100444</t>
  </si>
  <si>
    <t>https://www.zalando.de/tommy-hilfiger-regular-fit-t-shirt---beige-zl100444/</t>
  </si>
  <si>
    <t>https://img01.ztat.net/article/ZL100444.jpg</t>
  </si>
  <si>
    <t>ZL100445</t>
  </si>
  <si>
    <t>https://www.zalando.de/shine-essential-polo---rust-zl100445/</t>
  </si>
  <si>
    <t>https://img01.ztat.net/article/ZL100445.jpg</t>
  </si>
  <si>
    <t>ZL100446</t>
  </si>
  <si>
    <t>https://www.zalando.de/nike-regular-fit-polo---mint-zl100446/</t>
  </si>
  <si>
    <t>Regular Fit POLO - MINT</t>
  </si>
  <si>
    <t>https://img01.ztat.net/article/ZL100446.jpg</t>
  </si>
  <si>
    <t>ZL100447</t>
  </si>
  <si>
    <t>https://www.zalando.de/urban-classics-print-t-shirt---denim-blue-zl100447/</t>
  </si>
  <si>
    <t>https://img01.ztat.net/article/ZL100447.jpg</t>
  </si>
  <si>
    <t>ZL100448</t>
  </si>
  <si>
    <t>https://www.zalando.de/tommy-hilfiger-basic-polo---khaki-zl100448/</t>
  </si>
  <si>
    <t>https://img01.ztat.net/article/ZL100448.jpg</t>
  </si>
  <si>
    <t>ZL100449</t>
  </si>
  <si>
    <t>https://www.zalando.de/produkt-regular-fit-polo---denim-blue-zl100449/</t>
  </si>
  <si>
    <t>https://img01.ztat.net/article/ZL100449.jpg</t>
  </si>
  <si>
    <t>ZL100450</t>
  </si>
  <si>
    <t>https://www.zalando.de/joop!-essential-polo---dark-green-zl100450/</t>
  </si>
  <si>
    <t>https://img01.ztat.net/article/ZL100450.jpg</t>
  </si>
  <si>
    <t>ZL100451</t>
  </si>
  <si>
    <t>https://www.zalando.de/petrol-industries-basic-t-shirt---bordeaux-zl100451/</t>
  </si>
  <si>
    <t>https://img01.ztat.net/article/ZL100451.jpg</t>
  </si>
  <si>
    <t>ZL100452</t>
  </si>
  <si>
    <t>https://www.zalando.de/adidas-performance-basic-t-shirt---dark-blue-zl100452/</t>
  </si>
  <si>
    <t>https://img01.ztat.net/article/ZL100452.jpg</t>
  </si>
  <si>
    <t>ZL100453</t>
  </si>
  <si>
    <t>https://www.zalando.de/seidensticker-regular-fit-polo---white-zl100453/</t>
  </si>
  <si>
    <t>https://img01.ztat.net/article/ZL100453.jpg</t>
  </si>
  <si>
    <t>ZL100454</t>
  </si>
  <si>
    <t>https://www.zalando.de/petrol-industries-regular-fit-polo---olive-zl100454/</t>
  </si>
  <si>
    <t>https://img01.ztat.net/article/ZL100454.jpg</t>
  </si>
  <si>
    <t>ZL100455</t>
  </si>
  <si>
    <t>https://www.zalando.de/jordan-basic-polo---light-grey-zl100455/</t>
  </si>
  <si>
    <t>https://img01.ztat.net/article/ZL100455.jpg</t>
  </si>
  <si>
    <t>ZL100456</t>
  </si>
  <si>
    <t>https://www.zalando.de/zign-regular-fit-polo---beige-zl100456/</t>
  </si>
  <si>
    <t>https://img01.ztat.net/article/ZL100456.jpg</t>
  </si>
  <si>
    <t>ZL100457</t>
  </si>
  <si>
    <t>https://www.zalando.de/anthracite-slim-fit-polo---beige-zl100457/</t>
  </si>
  <si>
    <t>https://img01.ztat.net/article/ZL100457.jpg</t>
  </si>
  <si>
    <t>ZL100458</t>
  </si>
  <si>
    <t>https://www.zalando.de/j.lindeberg-regular-fit-t-shirt---mint-zl100458/</t>
  </si>
  <si>
    <t>https://img01.ztat.net/article/ZL100458.jpg</t>
  </si>
  <si>
    <t>ZL100459</t>
  </si>
  <si>
    <t>https://www.zalando.de/tommy-hilfiger-essential-t-shirt---rust-zl100459/</t>
  </si>
  <si>
    <t>https://img01.ztat.net/article/ZL100459.jpg</t>
  </si>
  <si>
    <t>ZL100460</t>
  </si>
  <si>
    <t>https://www.zalando.de/boss-slim-fit-t-shirt---royal-blue-zl100460/</t>
  </si>
  <si>
    <t>Slim Fit T-SHIRT - ROYAL BLUE</t>
  </si>
  <si>
    <t>https://img01.ztat.net/article/ZL100460.jpg</t>
  </si>
  <si>
    <t>ZL100461</t>
  </si>
  <si>
    <t>https://www.zalando.de/olymp-basic-polo---olive-zl100461/</t>
  </si>
  <si>
    <t>Basic POLO - OLIVE</t>
  </si>
  <si>
    <t>https://img01.ztat.net/article/ZL100461.jpg</t>
  </si>
  <si>
    <t>ZL100462</t>
  </si>
  <si>
    <t>https://www.zalando.de/mango-man-essential-polo---dark-green-zl100462/</t>
  </si>
  <si>
    <t>https://img01.ztat.net/article/ZL100462.jpg</t>
  </si>
  <si>
    <t>ZL100463</t>
  </si>
  <si>
    <t>https://www.zalando.de/selected-homme-regular-fit-polo---dark-green-zl100463/</t>
  </si>
  <si>
    <t>https://img01.ztat.net/article/ZL100463.jpg</t>
  </si>
  <si>
    <t>ZL100464</t>
  </si>
  <si>
    <t>https://www.zalando.de/boss-orange-regular-fit-t-shirt---beige-zl100464/</t>
  </si>
  <si>
    <t>https://img01.ztat.net/article/ZL100464.jpg</t>
  </si>
  <si>
    <t>ZL100465</t>
  </si>
  <si>
    <t>https://www.zalando.de/guess-essential-t-shirt---royal-blue-zl100465/</t>
  </si>
  <si>
    <t>https://img01.ztat.net/article/ZL100465.jpg</t>
  </si>
  <si>
    <t>ZL100466</t>
  </si>
  <si>
    <t>https://www.zalando.de/cars-jeans-slim-fit-t-shirt---denim-blue-zl100466/</t>
  </si>
  <si>
    <t>Cars Jeans</t>
  </si>
  <si>
    <t>https://img01.ztat.net/article/ZL100466.jpg</t>
  </si>
  <si>
    <t>ZL100467</t>
  </si>
  <si>
    <t>https://www.zalando.de/shine-original-slim-fit-t-shirt---dark-blue-zl100467/</t>
  </si>
  <si>
    <t>Shine Original</t>
  </si>
  <si>
    <t>Slim Fit T-SHIRT - DARK BLUE</t>
  </si>
  <si>
    <t>https://img01.ztat.net/article/ZL100467.jpg</t>
  </si>
  <si>
    <t>ZL100468</t>
  </si>
  <si>
    <t>https://www.zalando.de/umbro-essential-polo---rust-zl100468/</t>
  </si>
  <si>
    <t>https://img01.ztat.net/article/ZL100468.jpg</t>
  </si>
  <si>
    <t>ZL100469</t>
  </si>
  <si>
    <t>https://www.zalando.de/jack-jones-junior-basic-t-shirt---rust-zl100469/</t>
  </si>
  <si>
    <t>https://img01.ztat.net/article/ZL100469.jpg</t>
  </si>
  <si>
    <t>ZL100470</t>
  </si>
  <si>
    <t>https://www.zalando.de/calvin-klein-essential-polo---white-zl100470/</t>
  </si>
  <si>
    <t>https://img01.ztat.net/article/ZL100470.jpg</t>
  </si>
  <si>
    <t>ZL100471</t>
  </si>
  <si>
    <t>https://www.zalando.de/carhartt-wip-slim-fit-t-shirt---grey-melange-zl100471/</t>
  </si>
  <si>
    <t>https://img01.ztat.net/article/ZL100471.jpg</t>
  </si>
  <si>
    <t>ZL100472</t>
  </si>
  <si>
    <t>https://www.zalando.de/champion-essential-t-shirt---grey-melange-zl100472/</t>
  </si>
  <si>
    <t>https://img01.ztat.net/article/ZL100472.jpg</t>
  </si>
  <si>
    <t>ZL100473</t>
  </si>
  <si>
    <t>https://www.zalando.de/won-hundred-essential-t-shirt---bordeaux-zl100473/</t>
  </si>
  <si>
    <t>https://img01.ztat.net/article/ZL100473.jpg</t>
  </si>
  <si>
    <t>ZL100474</t>
  </si>
  <si>
    <t>https://www.zalando.de/nike-regular-fit-polo---denim-blue-zl100474/</t>
  </si>
  <si>
    <t>https://img01.ztat.net/article/ZL100474.jpg</t>
  </si>
  <si>
    <t>ZL100475</t>
  </si>
  <si>
    <t>https://www.zalando.de/the-north-face-essential-t-shirt---anthracite-zl100475/</t>
  </si>
  <si>
    <t>Essential T-SHIRT - ANTHRACITE</t>
  </si>
  <si>
    <t>https://img01.ztat.net/article/ZL100475.jpg</t>
  </si>
  <si>
    <t>ZL100476</t>
  </si>
  <si>
    <t>https://www.zalando.de/calvin-klein-essential-t-shirt---beige-zl100476/</t>
  </si>
  <si>
    <t>https://img01.ztat.net/article/ZL100476.jpg</t>
  </si>
  <si>
    <t>ZL100477</t>
  </si>
  <si>
    <t>https://www.zalando.de/cars-basic-t-shirt---red-zl100477/</t>
  </si>
  <si>
    <t>Basic T-SHIRT - RED</t>
  </si>
  <si>
    <t>https://img01.ztat.net/article/ZL100477.jpg</t>
  </si>
  <si>
    <t>ZL100478</t>
  </si>
  <si>
    <t>https://www.zalando.de/brixton-regular-fit-t-shirt---dark-green-zl100478/</t>
  </si>
  <si>
    <t>Brixton</t>
  </si>
  <si>
    <t>https://img01.ztat.net/article/ZL100478.jpg</t>
  </si>
  <si>
    <t>ZL100479</t>
  </si>
  <si>
    <t>https://www.zalando.de/element-basic-t-shirt---beige-zl100479/</t>
  </si>
  <si>
    <t>https://img01.ztat.net/article/ZL100479.jpg</t>
  </si>
  <si>
    <t>ZL100480</t>
  </si>
  <si>
    <t>https://www.zalando.de/only-and-sons-denim-essential-polo---rust-zl100480/</t>
  </si>
  <si>
    <t>https://img01.ztat.net/article/ZL100480.jpg</t>
  </si>
  <si>
    <t>ZL100481</t>
  </si>
  <si>
    <t>https://www.zalando.de/boss-regular-fit-t-shirt---red-zl100481/</t>
  </si>
  <si>
    <t>https://img01.ztat.net/article/ZL100481.jpg</t>
  </si>
  <si>
    <t>ZL100482</t>
  </si>
  <si>
    <t>https://www.zalando.de/french-connection-regular-fit-t-shirt---white-zl100482/</t>
  </si>
  <si>
    <t>French Connection</t>
  </si>
  <si>
    <t>https://img01.ztat.net/article/ZL100482.jpg</t>
  </si>
  <si>
    <t>ZL100483</t>
  </si>
  <si>
    <t>https://www.zalando.de/nike-print-t-shirt---anthracite-zl100483/</t>
  </si>
  <si>
    <t>https://img01.ztat.net/article/ZL100483.jpg</t>
  </si>
  <si>
    <t>ZL100484</t>
  </si>
  <si>
    <t>https://www.zalando.de/produkt-regular-fit-polo---dark-blue-zl100484/</t>
  </si>
  <si>
    <t>https://img01.ztat.net/article/ZL100484.jpg</t>
  </si>
  <si>
    <t>ZL100485</t>
  </si>
  <si>
    <t>https://www.zalando.de/puma-essential-polo---anthracite-zl100485/</t>
  </si>
  <si>
    <t>https://img01.ztat.net/article/ZL100485.jpg</t>
  </si>
  <si>
    <t>ZL100486</t>
  </si>
  <si>
    <t>https://www.zalando.de/j.lindeberg-essential-polo---olive-zl100486/</t>
  </si>
  <si>
    <t>https://img01.ztat.net/article/ZL100486.jpg</t>
  </si>
  <si>
    <t>ZL100487</t>
  </si>
  <si>
    <t>https://www.zalando.de/jack-wolfskin-basic-polo---navy-zl100487/</t>
  </si>
  <si>
    <t>https://img01.ztat.net/article/ZL100487.jpg</t>
  </si>
  <si>
    <t>ZL100488</t>
  </si>
  <si>
    <t>https://www.zalando.de/levi's-regular-fit-polo---black-zl100488/</t>
  </si>
  <si>
    <t>https://img01.ztat.net/article/ZL100488.jpg</t>
  </si>
  <si>
    <t>ZL100489</t>
  </si>
  <si>
    <t>https://www.zalando.de/tommy-hilfiger-slim-fit-t-shirt---white-zl100489/</t>
  </si>
  <si>
    <t>https://img01.ztat.net/article/ZL100489.jpg</t>
  </si>
  <si>
    <t>ZL100490</t>
  </si>
  <si>
    <t>https://www.zalando.de/superdry-essential-t-shirt---light-grey-zl100490/</t>
  </si>
  <si>
    <t>Superdry</t>
  </si>
  <si>
    <t>Essential T-SHIRT - LIGHT GREY</t>
  </si>
  <si>
    <t>https://img01.ztat.net/article/ZL100490.jpg</t>
  </si>
  <si>
    <t>ZL100491</t>
  </si>
  <si>
    <t>https://www.zalando.de/cars-jeans-basic-polo---rust-zl100491/</t>
  </si>
  <si>
    <t>https://img01.ztat.net/article/ZL100491.jpg</t>
  </si>
  <si>
    <t>ZL100492</t>
  </si>
  <si>
    <t>https://www.zalando.de/the-north-face-basic-polo---dark-blue-zl100492/</t>
  </si>
  <si>
    <t>https://img01.ztat.net/article/ZL100492.jpg</t>
  </si>
  <si>
    <t>ZL100493</t>
  </si>
  <si>
    <t>https://www.zalando.de/nike-regular-fit-polo---white-zl100493/</t>
  </si>
  <si>
    <t>https://img01.ztat.net/article/ZL100493.jpg</t>
  </si>
  <si>
    <t>ZL100494</t>
  </si>
  <si>
    <t>https://www.zalando.de/adidas-originals-basic-polo---black-zl100494/</t>
  </si>
  <si>
    <t>https://img01.ztat.net/article/ZL100494.jpg</t>
  </si>
  <si>
    <t>ZL100495</t>
  </si>
  <si>
    <t>https://www.zalando.de/gant-print-t-shirt---beige-zl100495/</t>
  </si>
  <si>
    <t>Gant</t>
  </si>
  <si>
    <t>https://img01.ztat.net/article/ZL100495.jpg</t>
  </si>
  <si>
    <t>ZL100496</t>
  </si>
  <si>
    <t>https://www.zalando.de/cars-basic-polo---denim-blue-zl100496/</t>
  </si>
  <si>
    <t>https://img01.ztat.net/article/ZL100496.jpg</t>
  </si>
  <si>
    <t>ZL100497</t>
  </si>
  <si>
    <t>https://www.zalando.de/nike-sb-regular-fit-t-shirt---off-white-zl100497/</t>
  </si>
  <si>
    <t>https://img01.ztat.net/article/ZL100497.jpg</t>
  </si>
  <si>
    <t>ZL100498</t>
  </si>
  <si>
    <t>https://www.zalando.de/name-it-slim-fit-polo---beige-zl100498/</t>
  </si>
  <si>
    <t>https://img01.ztat.net/article/ZL100498.jpg</t>
  </si>
  <si>
    <t>ZL100499</t>
  </si>
  <si>
    <t>https://www.zalando.de/nike-regular-fit-polo---denim-blue-zl100499/</t>
  </si>
  <si>
    <t>https://img01.ztat.net/article/ZL100499.jpg</t>
  </si>
  <si>
    <t>ZL100500</t>
  </si>
  <si>
    <t>https://www.zalando.de/j.lindeberg-print-polo---light-grey-zl100500/</t>
  </si>
  <si>
    <t>https://img01.ztat.net/article/ZL100500.jpg</t>
  </si>
  <si>
    <t>ZL100501</t>
  </si>
  <si>
    <t>https://www.zalando.de/anti-fashion-slim-fit-polo---denim-blue-zl100501/</t>
  </si>
  <si>
    <t>https://img01.ztat.net/article/ZL100501.jpg</t>
  </si>
  <si>
    <t>ZL100502</t>
  </si>
  <si>
    <t>https://www.zalando.de/pier-one-slim-fit-t-shirt---off-white-zl100502/</t>
  </si>
  <si>
    <t>https://img01.ztat.net/article/ZL100502.jpg</t>
  </si>
  <si>
    <t>ZL100503</t>
  </si>
  <si>
    <t>https://www.zalando.de/tommy-hilfiger-essential-polo---denim-blue-zl100503/</t>
  </si>
  <si>
    <t>https://img01.ztat.net/article/ZL100503.jpg</t>
  </si>
  <si>
    <t>ZL100504</t>
  </si>
  <si>
    <t>https://www.zalando.de/adidas-performance-print-t-shirt---mint-zl100504/</t>
  </si>
  <si>
    <t>https://img01.ztat.net/article/ZL100504.jpg</t>
  </si>
  <si>
    <t>ZL100505</t>
  </si>
  <si>
    <t>https://www.zalando.de/adidas-performance-slim-fit-t-shirt---grey-melange-zl100505/</t>
  </si>
  <si>
    <t>https://img01.ztat.net/article/ZL100505.jpg</t>
  </si>
  <si>
    <t>ZL100506</t>
  </si>
  <si>
    <t>https://www.zalando.de/adidas-performance-regular-fit-t-shirt---black-zl100506/</t>
  </si>
  <si>
    <t>https://img01.ztat.net/article/ZL100506.jpg</t>
  </si>
  <si>
    <t>ZL100507</t>
  </si>
  <si>
    <t>https://www.zalando.de/pepe-jeans-print-polo---anthracite-zl100507/</t>
  </si>
  <si>
    <t>https://img01.ztat.net/article/ZL100507.jpg</t>
  </si>
  <si>
    <t>ZL100508</t>
  </si>
  <si>
    <t>https://www.zalando.de/jack-and-jones-slim-fit-polo---light-grey-zl100508/</t>
  </si>
  <si>
    <t>https://img01.ztat.net/article/ZL100508.jpg</t>
  </si>
  <si>
    <t>ZL100509</t>
  </si>
  <si>
    <t>https://www.zalando.de/topman-print-polo---red-zl100509/</t>
  </si>
  <si>
    <t>https://img01.ztat.net/article/ZL100509.jpg</t>
  </si>
  <si>
    <t>ZL100510</t>
  </si>
  <si>
    <t>https://www.zalando.de/adidas-performance-essential-polo---denim-blue-zl100510/</t>
  </si>
  <si>
    <t>https://img01.ztat.net/article/ZL100510.jpg</t>
  </si>
  <si>
    <t>ZL100511</t>
  </si>
  <si>
    <t>https://www.zalando.de/icebreaker-essential-t-shirt---white-zl100511/</t>
  </si>
  <si>
    <t>Icebreaker</t>
  </si>
  <si>
    <t>https://img01.ztat.net/article/ZL100511.jpg</t>
  </si>
  <si>
    <t>ZL100512</t>
  </si>
  <si>
    <t>https://www.zalando.de/produkt-print-polo---bordeaux-zl100512/</t>
  </si>
  <si>
    <t>https://img01.ztat.net/article/ZL100512.jpg</t>
  </si>
  <si>
    <t>ZL100513</t>
  </si>
  <si>
    <t>https://www.zalando.de/craft-sportswear-basic-polo---off-white-zl100513/</t>
  </si>
  <si>
    <t>https://img01.ztat.net/article/ZL100513.jpg</t>
  </si>
  <si>
    <t>ZL100514</t>
  </si>
  <si>
    <t>https://www.zalando.de/anthracite-print-polo---red-zl100514/</t>
  </si>
  <si>
    <t>https://img01.ztat.net/article/ZL100514.jpg</t>
  </si>
  <si>
    <t>ZL100515</t>
  </si>
  <si>
    <t>https://www.zalando.de/colours-and-sons-regular-fit-polo---khaki-zl100515/</t>
  </si>
  <si>
    <t>https://img01.ztat.net/article/ZL100515.jpg</t>
  </si>
  <si>
    <t>ZL100516</t>
  </si>
  <si>
    <t>https://www.zalando.de/anti-fashion-basic-polo---royal-blue-zl100516/</t>
  </si>
  <si>
    <t>https://img01.ztat.net/article/ZL100516.jpg</t>
  </si>
  <si>
    <t>ZL100517</t>
  </si>
  <si>
    <t>https://www.zalando.de/element-basic-polo---anthracite-zl100517/</t>
  </si>
  <si>
    <t>https://img01.ztat.net/article/ZL100517.jpg</t>
  </si>
  <si>
    <t>ZL100518</t>
  </si>
  <si>
    <t>https://www.zalando.de/adidas-performance-basic-t-shirt---bordeaux-zl100518/</t>
  </si>
  <si>
    <t>https://img01.ztat.net/article/ZL100518.jpg</t>
  </si>
  <si>
    <t>ZL100519</t>
  </si>
  <si>
    <t>https://www.zalando.de/anti-fashion-basic-polo---bordeaux-zl100519/</t>
  </si>
  <si>
    <t>https://img01.ztat.net/article/ZL100519.jpg</t>
  </si>
  <si>
    <t>ZL100520</t>
  </si>
  <si>
    <t>https://www.zalando.de/won-hundred-essential-polo---rust-zl100520/</t>
  </si>
  <si>
    <t>https://img01.ztat.net/article/ZL100520.jpg</t>
  </si>
  <si>
    <t>ZL100521</t>
  </si>
  <si>
    <t>https://www.zalando.de/fila-print-polo---mint-zl100521/</t>
  </si>
  <si>
    <t>https://img01.ztat.net/article/ZL100521.jpg</t>
  </si>
  <si>
    <t>ZL100522</t>
  </si>
  <si>
    <t>https://www.zalando.de/new-look-slim-fit-t-shirt---bordeaux-zl100522/</t>
  </si>
  <si>
    <t>https://img01.ztat.net/article/ZL100522.jpg</t>
  </si>
  <si>
    <t>ZL100523</t>
  </si>
  <si>
    <t>https://www.zalando.de/vintage-supply-basic-polo---white-zl100523/</t>
  </si>
  <si>
    <t>https://img01.ztat.net/article/ZL100523.jpg</t>
  </si>
  <si>
    <t>ZL100524</t>
  </si>
  <si>
    <t>https://www.zalando.de/nn07-basic-polo---royal-blue-zl100524/</t>
  </si>
  <si>
    <t>https://img01.ztat.net/article/ZL100524.jpg</t>
  </si>
  <si>
    <t>ZL100525</t>
  </si>
  <si>
    <t>https://www.zalando.de/adidas-performance-basic-t-shirt---denim-blue-zl100525/</t>
  </si>
  <si>
    <t>https://img01.ztat.net/article/ZL100525.jpg</t>
  </si>
  <si>
    <t>ZL100526</t>
  </si>
  <si>
    <t>https://www.zalando.de/tom-tailor-denim-essential-polo---mint-zl100526/</t>
  </si>
  <si>
    <t>https://img01.ztat.net/article/ZL100526.jpg</t>
  </si>
  <si>
    <t>ZL100527</t>
  </si>
  <si>
    <t>https://www.zalando.de/adidas-performance-print-t-shirt---beige-zl100527/</t>
  </si>
  <si>
    <t>https://img01.ztat.net/article/ZL100527.jpg</t>
  </si>
  <si>
    <t>ZL100528</t>
  </si>
  <si>
    <t>https://www.zalando.de/shine-print-t-shirt---off-white-zl100528/</t>
  </si>
  <si>
    <t>https://img01.ztat.net/article/ZL100528.jpg</t>
  </si>
  <si>
    <t>ZL100529</t>
  </si>
  <si>
    <t>https://www.zalando.de/yourturn-basic-t-shirt---grey-melange-zl100529/</t>
  </si>
  <si>
    <t>https://img01.ztat.net/article/ZL100529.jpg</t>
  </si>
  <si>
    <t>ZL100530</t>
  </si>
  <si>
    <t>https://www.zalando.de/burton-london-regular-fit-polo---red-zl100530/</t>
  </si>
  <si>
    <t>https://img01.ztat.net/article/ZL100530.jpg</t>
  </si>
  <si>
    <t>ZL100531</t>
  </si>
  <si>
    <t>https://www.zalando.de/nn07-regular-fit-polo---navy-zl100531/</t>
  </si>
  <si>
    <t>https://img01.ztat.net/article/ZL100531.jpg</t>
  </si>
  <si>
    <t>ZL100532</t>
  </si>
  <si>
    <t>https://www.zalando.de/tommy-hilfiger-slim-fit-polo---black-zl100532/</t>
  </si>
  <si>
    <t>https://img01.ztat.net/article/ZL100532.jpg</t>
  </si>
  <si>
    <t>ZL100533</t>
  </si>
  <si>
    <t>https://www.zalando.de/tommy-hilfiger-slim-fit-t-shirt---rust-zl100533/</t>
  </si>
  <si>
    <t>https://img01.ztat.net/article/ZL100533.jpg</t>
  </si>
  <si>
    <t>ZL100534</t>
  </si>
  <si>
    <t>https://www.zalando.de/won-hundred-essential-t-shirt---red-zl100534/</t>
  </si>
  <si>
    <t>https://img01.ztat.net/article/ZL100534.jpg</t>
  </si>
  <si>
    <t>ZL100535</t>
  </si>
  <si>
    <t>https://www.zalando.de/levi's-basic-t-shirt---khaki-zl100535/</t>
  </si>
  <si>
    <t>https://img01.ztat.net/article/ZL100535.jpg</t>
  </si>
  <si>
    <t>ZL100536</t>
  </si>
  <si>
    <t>https://www.zalando.de/nike-regular-fit-t-shirt---beige-zl100536/</t>
  </si>
  <si>
    <t>https://img01.ztat.net/article/ZL100536.jpg</t>
  </si>
  <si>
    <t>ZL100537</t>
  </si>
  <si>
    <t>https://www.zalando.de/vans-slim-fit-polo---beige-zl100537/</t>
  </si>
  <si>
    <t>https://img01.ztat.net/article/ZL100537.jpg</t>
  </si>
  <si>
    <t>ZL100538</t>
  </si>
  <si>
    <t>https://www.zalando.de/q/s-designed-by-essential-t-shirt---dark-green-zl100538/</t>
  </si>
  <si>
    <t>https://img01.ztat.net/article/ZL100538.jpg</t>
  </si>
  <si>
    <t>ZL100539</t>
  </si>
  <si>
    <t>https://www.zalando.de/under-armour-essential-t-shirt---rust-zl100539/</t>
  </si>
  <si>
    <t>Under Armour</t>
  </si>
  <si>
    <t>https://img01.ztat.net/article/ZL100539.jpg</t>
  </si>
  <si>
    <t>ZL100540</t>
  </si>
  <si>
    <t>https://www.zalando.de/umbro-print-t-shirt---white-zl100540/</t>
  </si>
  <si>
    <t>https://img01.ztat.net/article/ZL100540.jpg</t>
  </si>
  <si>
    <t>ZL100541</t>
  </si>
  <si>
    <t>https://www.zalando.de/lacoste-regular-fit-polo---navy-zl100541/</t>
  </si>
  <si>
    <t>https://img01.ztat.net/article/ZL100541.jpg</t>
  </si>
  <si>
    <t>ZL100542</t>
  </si>
  <si>
    <t>https://www.zalando.de/tommy-hilfiger-regular-fit-t-shirt---olive-zl100542/</t>
  </si>
  <si>
    <t>https://img01.ztat.net/article/ZL100542.jpg</t>
  </si>
  <si>
    <t>ZL100543</t>
  </si>
  <si>
    <t>https://www.zalando.de/boss-slim-fit-t-shirt---dark-blue-zl100543/</t>
  </si>
  <si>
    <t>https://img01.ztat.net/article/ZL100543.jpg</t>
  </si>
  <si>
    <t>ZL100544</t>
  </si>
  <si>
    <t>https://www.zalando.de/tom-tailor-denim-regular-fit-t-shirt---denim-blue-zl100544/</t>
  </si>
  <si>
    <t>https://img01.ztat.net/article/ZL100544.jpg</t>
  </si>
  <si>
    <t>ZL100545</t>
  </si>
  <si>
    <t>https://www.zalando.de/burton-menswear-london-regular-fit-t-shirt---navy-zl100545/</t>
  </si>
  <si>
    <t>https://img01.ztat.net/article/ZL100545.jpg</t>
  </si>
  <si>
    <t>ZL100546</t>
  </si>
  <si>
    <t>https://www.zalando.de/guess-basic-polo---white-zl100546/</t>
  </si>
  <si>
    <t>https://img01.ztat.net/article/ZL100546.jpg</t>
  </si>
  <si>
    <t>ZL100547</t>
  </si>
  <si>
    <t>https://www.zalando.de/bershka-slim-fit-polo---red-zl100547/</t>
  </si>
  <si>
    <t>https://img01.ztat.net/article/ZL100547.jpg</t>
  </si>
  <si>
    <t>ZL100548</t>
  </si>
  <si>
    <t>https://www.zalando.de/nike-basic-t-shirt---dark-green-zl100548/</t>
  </si>
  <si>
    <t>https://img01.ztat.net/article/ZL100548.jpg</t>
  </si>
  <si>
    <t>ZL100549</t>
  </si>
  <si>
    <t>https://www.zalando.de/craft-sportswear-slim-fit-polo---anthracite-zl100549/</t>
  </si>
  <si>
    <t>https://img01.ztat.net/article/ZL100549.jpg</t>
  </si>
  <si>
    <t>ZL100550</t>
  </si>
  <si>
    <t>https://www.zalando.de/adidas-performance-print-polo---navy-zl100550/</t>
  </si>
  <si>
    <t>https://img01.ztat.net/article/ZL100550.jpg</t>
  </si>
  <si>
    <t>ZL100551</t>
  </si>
  <si>
    <t>https://www.zalando.de/salomon-essential-polo---dark-blue-zl100551/</t>
  </si>
  <si>
    <t>https://img01.ztat.net/article/ZL100551.jpg</t>
  </si>
  <si>
    <t>ZL100552</t>
  </si>
  <si>
    <t>https://www.zalando.de/anthracite-slim-fit-polo---mint-zl100552/</t>
  </si>
  <si>
    <t>https://img01.ztat.net/article/ZL100552.jpg</t>
  </si>
  <si>
    <t>ZL100553</t>
  </si>
  <si>
    <t>https://www.zalando.de/reebok-slim-fit-polo---red-zl100553/</t>
  </si>
  <si>
    <t>https://img01.ztat.net/article/ZL100553.jpg</t>
  </si>
  <si>
    <t>ZL100554</t>
  </si>
  <si>
    <t>https://www.zalando.de/mango-man-essential-t-shirt---navy-zl100554/</t>
  </si>
  <si>
    <t>https://img01.ztat.net/article/ZL100554.jpg</t>
  </si>
  <si>
    <t>ZL100555</t>
  </si>
  <si>
    <t>https://www.zalando.de/bruuns-bazaar-print-polo---beige-zl100555/</t>
  </si>
  <si>
    <t>https://img01.ztat.net/article/ZL100555.jpg</t>
  </si>
  <si>
    <t>ZL100556</t>
  </si>
  <si>
    <t>https://www.zalando.de/farah-basic-polo---white-zl100556/</t>
  </si>
  <si>
    <t>https://img01.ztat.net/article/ZL100556.jpg</t>
  </si>
  <si>
    <t>ZL100557</t>
  </si>
  <si>
    <t>https://www.zalando.de/nn07-essential-t-shirt---dark-green-zl100557/</t>
  </si>
  <si>
    <t>https://img01.ztat.net/article/ZL100557.jpg</t>
  </si>
  <si>
    <t>ZL100558</t>
  </si>
  <si>
    <t>https://www.zalando.de/calvin-klein-print-polo---beige-zl100558/</t>
  </si>
  <si>
    <t>https://img01.ztat.net/article/ZL100558.jpg</t>
  </si>
  <si>
    <t>ZL100559</t>
  </si>
  <si>
    <t>https://www.zalando.de/nike-regular-fit-t-shirt---white-zl100559/</t>
  </si>
  <si>
    <t>https://img01.ztat.net/article/ZL100559.jpg</t>
  </si>
  <si>
    <t>ZL100560</t>
  </si>
  <si>
    <t>https://www.zalando.de/tommy-hilfiger-slim-fit-t-shirt---black-zl100560/</t>
  </si>
  <si>
    <t>https://img01.ztat.net/article/ZL100560.jpg</t>
  </si>
  <si>
    <t>ZL100561</t>
  </si>
  <si>
    <t>https://www.zalando.de/urban-classics-print-polo---anthracite-zl100561/</t>
  </si>
  <si>
    <t>https://img01.ztat.net/article/ZL100561.jpg</t>
  </si>
  <si>
    <t>ZL100562</t>
  </si>
  <si>
    <t>https://www.zalando.de/cars-regular-fit-polo---dark-blue-zl100562/</t>
  </si>
  <si>
    <t>https://img01.ztat.net/article/ZL100562.jpg</t>
  </si>
  <si>
    <t>ZL100563</t>
  </si>
  <si>
    <t>https://www.zalando.de/patagonia-slim-fit-t-shirt---mint-zl100563/</t>
  </si>
  <si>
    <t>https://img01.ztat.net/article/ZL100563.jpg</t>
  </si>
  <si>
    <t>ZL100564</t>
  </si>
  <si>
    <t>https://www.zalando.de/odlo-print-t-shirt---off-white-zl100564/</t>
  </si>
  <si>
    <t>https://img01.ztat.net/article/ZL100564.jpg</t>
  </si>
  <si>
    <t>ZL100565</t>
  </si>
  <si>
    <t>https://www.zalando.de/joop!-essential-t-shirt---light-grey-zl100565/</t>
  </si>
  <si>
    <t>https://img01.ztat.net/article/ZL100565.jpg</t>
  </si>
  <si>
    <t>ZL100566</t>
  </si>
  <si>
    <t>https://www.zalando.de/burton-london-basic-polo---royal-blue-zl100566/</t>
  </si>
  <si>
    <t>https://img01.ztat.net/article/ZL100566.jpg</t>
  </si>
  <si>
    <t>ZL100567</t>
  </si>
  <si>
    <t>https://www.zalando.de/redefined-rebel-essential-polo---navy-zl100567/</t>
  </si>
  <si>
    <t>https://img01.ztat.net/article/ZL100567.jpg</t>
  </si>
  <si>
    <t>ZL100568</t>
  </si>
  <si>
    <t>https://www.zalando.de/odlo-regular-fit-polo---white-zl100568/</t>
  </si>
  <si>
    <t>https://img01.ztat.net/article/ZL100568.jpg</t>
  </si>
  <si>
    <t>ZL100569</t>
  </si>
  <si>
    <t>https://www.zalando.de/shine-regular-fit-polo---royal-blue-zl100569/</t>
  </si>
  <si>
    <t>Regular Fit POLO - ROYAL BLUE</t>
  </si>
  <si>
    <t>https://img01.ztat.net/article/ZL100569.jpg</t>
  </si>
  <si>
    <t>ZL100570</t>
  </si>
  <si>
    <t>https://www.zalando.de/calvin-klein-essential-polo---rust-zl100570/</t>
  </si>
  <si>
    <t>https://img01.ztat.net/article/ZL100570.jpg</t>
  </si>
  <si>
    <t>ZL100571</t>
  </si>
  <si>
    <t>https://www.zalando.de/reebok-basic-t-shirt---rust-zl100571/</t>
  </si>
  <si>
    <t>https://img01.ztat.net/article/ZL100571.jpg</t>
  </si>
  <si>
    <t>ZL100572</t>
  </si>
  <si>
    <t>https://www.zalando.de/jack-and-jones-basic-polo---khaki-zl100572/</t>
  </si>
  <si>
    <t>https://img01.ztat.net/article/ZL100572.jpg</t>
  </si>
  <si>
    <t>ZL100573</t>
  </si>
  <si>
    <t>https://www.zalando.de/replay-regular-fit-polo---bordeaux-zl100573/</t>
  </si>
  <si>
    <t>https://img01.ztat.net/article/ZL100573.jpg</t>
  </si>
  <si>
    <t>ZL100574</t>
  </si>
  <si>
    <t>https://www.zalando.de/anerkjendt-essential-polo---dark-blue-zl100574/</t>
  </si>
  <si>
    <t>https://img01.ztat.net/article/ZL100574.jpg</t>
  </si>
  <si>
    <t>ZL100575</t>
  </si>
  <si>
    <t>https://www.zalando.de/calvin-klein-slim-fit-polo---dark-green-zl100575/</t>
  </si>
  <si>
    <t>https://img01.ztat.net/article/ZL100575.jpg</t>
  </si>
  <si>
    <t>ZL100576</t>
  </si>
  <si>
    <t>https://www.zalando.de/tommy-hilfiger-print-t-shirt---dark-green-zl100576/</t>
  </si>
  <si>
    <t>https://img01.ztat.net/article/ZL100576.jpg</t>
  </si>
  <si>
    <t>ZL100577</t>
  </si>
  <si>
    <t>https://www.zalando.de/only-and-sons-denim-print-polo---anthracite-zl100577/</t>
  </si>
  <si>
    <t>https://img01.ztat.net/article/ZL100577.jpg</t>
  </si>
  <si>
    <t>ZL100578</t>
  </si>
  <si>
    <t>https://www.zalando.de/minimum-regular-fit-polo---anthracite-zl100578/</t>
  </si>
  <si>
    <t>https://img01.ztat.net/article/ZL100578.jpg</t>
  </si>
  <si>
    <t>ZL100579</t>
  </si>
  <si>
    <t>https://www.zalando.de/hummel-regular-fit-polo---khaki-zl100579/</t>
  </si>
  <si>
    <t>https://img01.ztat.net/article/ZL100579.jpg</t>
  </si>
  <si>
    <t>ZL100580</t>
  </si>
  <si>
    <t>https://www.zalando.de/bruuns-bazaar-essential-polo---light-grey-zl100580/</t>
  </si>
  <si>
    <t>https://img01.ztat.net/article/ZL100580.jpg</t>
  </si>
  <si>
    <t>ZL100581</t>
  </si>
  <si>
    <t>https://www.zalando.de/jackandjones-plus-basic-polo---black-zl100581/</t>
  </si>
  <si>
    <t>https://img01.ztat.net/article/ZL100581.jpg</t>
  </si>
  <si>
    <t>ZL100582</t>
  </si>
  <si>
    <t>https://www.zalando.de/calvin-klein-regular-fit-polo---light-grey-zl100582/</t>
  </si>
  <si>
    <t>https://img01.ztat.net/article/ZL100582.jpg</t>
  </si>
  <si>
    <t>ZL100583</t>
  </si>
  <si>
    <t>https://www.zalando.de/shine-basic-t-shirt---grey-melange-zl100583/</t>
  </si>
  <si>
    <t>https://img01.ztat.net/article/ZL100583.jpg</t>
  </si>
  <si>
    <t>ZL100584</t>
  </si>
  <si>
    <t>https://www.zalando.de/eterna-regular-fit-t-shirt---khaki-zl100584/</t>
  </si>
  <si>
    <t>https://img01.ztat.net/article/ZL100584.jpg</t>
  </si>
  <si>
    <t>ZL100585</t>
  </si>
  <si>
    <t>https://www.zalando.de/anerkjendt-regular-fit-polo---red-zl100585/</t>
  </si>
  <si>
    <t>https://img01.ztat.net/article/ZL100585.jpg</t>
  </si>
  <si>
    <t>ZL100586</t>
  </si>
  <si>
    <t>https://www.zalando.de/reebok-regular-fit-polo---khaki-zl100586/</t>
  </si>
  <si>
    <t>https://img01.ztat.net/article/ZL100586.jpg</t>
  </si>
  <si>
    <t>ZL100587</t>
  </si>
  <si>
    <t>https://www.zalando.de/salomon-basic-polo---rust-zl100587/</t>
  </si>
  <si>
    <t>https://img01.ztat.net/article/ZL100587.jpg</t>
  </si>
  <si>
    <t>ZL100588</t>
  </si>
  <si>
    <t>https://www.zalando.de/diesel-basic-polo---khaki-zl100588/</t>
  </si>
  <si>
    <t>https://img01.ztat.net/article/ZL100588.jpg</t>
  </si>
  <si>
    <t>ZL100589</t>
  </si>
  <si>
    <t>https://www.zalando.de/adidas-performance-slim-fit-polo---rust-zl100589/</t>
  </si>
  <si>
    <t>https://img01.ztat.net/article/ZL100589.jpg</t>
  </si>
  <si>
    <t>ZL100590</t>
  </si>
  <si>
    <t>https://www.zalando.de/cleptomanicx-essential-t-shirt---anthracite-zl100590/</t>
  </si>
  <si>
    <t>https://img01.ztat.net/article/ZL100590.jpg</t>
  </si>
  <si>
    <t>ZL100591</t>
  </si>
  <si>
    <t>https://www.zalando.de/superdry-print-t-shirt---anthracite-zl100591/</t>
  </si>
  <si>
    <t>https://img01.ztat.net/article/ZL100591.jpg</t>
  </si>
  <si>
    <t>ZL100592</t>
  </si>
  <si>
    <t>https://www.zalando.de/vans-print-polo---beige-zl100592/</t>
  </si>
  <si>
    <t>https://img01.ztat.net/article/ZL100592.jpg</t>
  </si>
  <si>
    <t>ZL100593</t>
  </si>
  <si>
    <t>https://www.zalando.de/ea7-emporio-armani-slim-fit-t-shirt---beige-zl100593/</t>
  </si>
  <si>
    <t>https://img01.ztat.net/article/ZL100593.jpg</t>
  </si>
  <si>
    <t>ZL100594</t>
  </si>
  <si>
    <t>https://www.zalando.de/napapijri-print-polo---royal-blue-zl100594/</t>
  </si>
  <si>
    <t>https://img01.ztat.net/article/ZL100594.jpg</t>
  </si>
  <si>
    <t>ZL100595</t>
  </si>
  <si>
    <t>https://www.zalando.de/tommy-hilfiger-print-t-shirt---rust-zl100595/</t>
  </si>
  <si>
    <t>https://img01.ztat.net/article/ZL100595.jpg</t>
  </si>
  <si>
    <t>ZL100596</t>
  </si>
  <si>
    <t>https://www.zalando.de/element-basic-t-shirt---red-zl100596/</t>
  </si>
  <si>
    <t>https://img01.ztat.net/article/ZL100596.jpg</t>
  </si>
  <si>
    <t>ZL100597</t>
  </si>
  <si>
    <t>https://www.zalando.de/nn07-slim-fit-t-shirt---denim-blue-zl100597/</t>
  </si>
  <si>
    <t>https://img01.ztat.net/article/ZL100597.jpg</t>
  </si>
  <si>
    <t>ZL100598</t>
  </si>
  <si>
    <t>https://www.zalando.de/nike-print-polo---black-zl100598/</t>
  </si>
  <si>
    <t>https://img01.ztat.net/article/ZL100598.jpg</t>
  </si>
  <si>
    <t>ZL100599</t>
  </si>
  <si>
    <t>https://www.zalando.de/cars-regular-fit-t-shirt---white-zl100599/</t>
  </si>
  <si>
    <t>https://img01.ztat.net/article/ZL100599.jpg</t>
  </si>
  <si>
    <t>ZL100600</t>
  </si>
  <si>
    <t>https://www.zalando.de/shine-essential-t-shirt---rust-zl100600/</t>
  </si>
  <si>
    <t>https://img01.ztat.net/article/ZL100600.jpg</t>
  </si>
  <si>
    <t>ZL100601</t>
  </si>
  <si>
    <t>https://www.zalando.de/dickies-essential-polo---grey-melange-zl100601/</t>
  </si>
  <si>
    <t>https://img01.ztat.net/article/ZL100601.jpg</t>
  </si>
  <si>
    <t>ZL100602</t>
  </si>
  <si>
    <t>https://www.zalando.de/salomon-basic-t-shirt---red-zl100602/</t>
  </si>
  <si>
    <t>https://img01.ztat.net/article/ZL100602.jpg</t>
  </si>
  <si>
    <t>ZL100603</t>
  </si>
  <si>
    <t>https://www.zalando.de/only-sons-print-polo---bordeaux-zl100603/</t>
  </si>
  <si>
    <t>https://img01.ztat.net/article/ZL100603.jpg</t>
  </si>
  <si>
    <t>ZL100604</t>
  </si>
  <si>
    <t>https://www.zalando.de/lacoste-basic-t-shirt---rust-zl100604/</t>
  </si>
  <si>
    <t>https://img01.ztat.net/article/ZL100604.jpg</t>
  </si>
  <si>
    <t>ZL100605</t>
  </si>
  <si>
    <t>https://www.zalando.de/cars-slim-fit-polo---rust-zl100605/</t>
  </si>
  <si>
    <t>https://img01.ztat.net/article/ZL100605.jpg</t>
  </si>
  <si>
    <t>ZL100606</t>
  </si>
  <si>
    <t>https://www.zalando.de/fila-essential-t-shirt---rust-zl100606/</t>
  </si>
  <si>
    <t>https://img01.ztat.net/article/ZL100606.jpg</t>
  </si>
  <si>
    <t>ZL100607</t>
  </si>
  <si>
    <t>https://www.zalando.de/digel-slim-fit-polo---denim-blue-zl100607/</t>
  </si>
  <si>
    <t>Digel</t>
  </si>
  <si>
    <t>https://img01.ztat.net/article/ZL100607.jpg</t>
  </si>
  <si>
    <t>ZL100608</t>
  </si>
  <si>
    <t>https://www.zalando.de/indicode-jeans-regular-fit-polo---olive-zl100608/</t>
  </si>
  <si>
    <t>https://img01.ztat.net/article/ZL100608.jpg</t>
  </si>
  <si>
    <t>ZL100609</t>
  </si>
  <si>
    <t>https://www.zalando.de/adidas-originals-basic-polo---bordeaux-zl100609/</t>
  </si>
  <si>
    <t>https://img01.ztat.net/article/ZL100609.jpg</t>
  </si>
  <si>
    <t>ZL100610</t>
  </si>
  <si>
    <t>https://www.zalando.de/weekday-basic-polo---dark-green-zl100610/</t>
  </si>
  <si>
    <t>https://img01.ztat.net/article/ZL100610.jpg</t>
  </si>
  <si>
    <t>ZL100611</t>
  </si>
  <si>
    <t>https://www.zalando.de/cars-essential-t-shirt---rust-zl100611/</t>
  </si>
  <si>
    <t>https://img01.ztat.net/article/ZL100611.jpg</t>
  </si>
  <si>
    <t>ZL100612</t>
  </si>
  <si>
    <t>https://www.zalando.de/hummel-slim-fit-polo---red-zl100612/</t>
  </si>
  <si>
    <t>https://img01.ztat.net/article/ZL100612.jpg</t>
  </si>
  <si>
    <t>ZL100613</t>
  </si>
  <si>
    <t>https://www.zalando.de/salomon-basic-t-shirt---light-grey-zl100613/</t>
  </si>
  <si>
    <t>https://img01.ztat.net/article/ZL100613.jpg</t>
  </si>
  <si>
    <t>ZL100614</t>
  </si>
  <si>
    <t>https://www.zalando.de/name-it-slim-fit-t-shirt---dark-green-zl100614/</t>
  </si>
  <si>
    <t>https://img01.ztat.net/article/ZL100614.jpg</t>
  </si>
  <si>
    <t>ZL100615</t>
  </si>
  <si>
    <t>https://www.zalando.de/hackett-london-slim-fit-polo---red-zl100615/</t>
  </si>
  <si>
    <t>https://img01.ztat.net/article/ZL100615.jpg</t>
  </si>
  <si>
    <t>ZL100616</t>
  </si>
  <si>
    <t>https://www.zalando.de/salomon-regular-fit-polo---bordeaux-zl100616/</t>
  </si>
  <si>
    <t>https://img01.ztat.net/article/ZL100616.jpg</t>
  </si>
  <si>
    <t>ZL100617</t>
  </si>
  <si>
    <t>https://www.zalando.de/kaporal-essential-t-shirt---mint-zl100617/</t>
  </si>
  <si>
    <t>Kaporal</t>
  </si>
  <si>
    <t>50.0</t>
  </si>
  <si>
    <t>https://img01.ztat.net/article/ZL100617.jpg</t>
  </si>
  <si>
    <t>ZL100618</t>
  </si>
  <si>
    <t>https://www.zalando.de/levi's-slim-fit-t-shirt---light-grey-zl100618/</t>
  </si>
  <si>
    <t>https://img01.ztat.net/article/ZL100618.jpg</t>
  </si>
  <si>
    <t>ZL100619</t>
  </si>
  <si>
    <t>https://www.zalando.de/nike-basic-t-shirt---white-zl100619/</t>
  </si>
  <si>
    <t>https://img01.ztat.net/article/ZL100619.jpg</t>
  </si>
  <si>
    <t>ZL100620</t>
  </si>
  <si>
    <t>https://www.zalando.de/farah-slim-fit-t-shirt---rust-zl100620/</t>
  </si>
  <si>
    <t>https://img01.ztat.net/article/ZL100620.jpg</t>
  </si>
  <si>
    <t>ZL100621</t>
  </si>
  <si>
    <t>https://www.zalando.de/hummel-slim-fit-t-shirt---beige-zl100621/</t>
  </si>
  <si>
    <t>https://img01.ztat.net/article/ZL100621.jpg</t>
  </si>
  <si>
    <t>ZL100622</t>
  </si>
  <si>
    <t>https://www.zalando.de/anerkjendt-print-polo---black-zl100622/</t>
  </si>
  <si>
    <t>https://img01.ztat.net/article/ZL100622.jpg</t>
  </si>
  <si>
    <t>ZL100623</t>
  </si>
  <si>
    <t>https://www.zalando.de/fila-basic-polo---black-zl100623/</t>
  </si>
  <si>
    <t>https://img01.ztat.net/article/ZL100623.jpg</t>
  </si>
  <si>
    <t>ZL100624</t>
  </si>
  <si>
    <t>https://www.zalando.de/the-north-face-essential-polo---khaki-zl100624/</t>
  </si>
  <si>
    <t>https://img01.ztat.net/article/ZL100624.jpg</t>
  </si>
  <si>
    <t>ZL100625</t>
  </si>
  <si>
    <t>https://www.zalando.de/samsøe-samsøe-basic-t-shirt---white-zl100625/</t>
  </si>
  <si>
    <t>https://img01.ztat.net/article/ZL100625.jpg</t>
  </si>
  <si>
    <t>ZL100626</t>
  </si>
  <si>
    <t>https://www.zalando.de/nike-regular-fit-t-shirt---dark-blue-zl100626/</t>
  </si>
  <si>
    <t>https://img01.ztat.net/article/ZL100626.jpg</t>
  </si>
  <si>
    <t>ZL100627</t>
  </si>
  <si>
    <t>https://www.zalando.de/new-look-regular-fit-t-shirt---royal-blue-zl100627/</t>
  </si>
  <si>
    <t>https://img01.ztat.net/article/ZL100627.jpg</t>
  </si>
  <si>
    <t>ZL100628</t>
  </si>
  <si>
    <t>https://www.zalando.de/eterna-print-polo---dark-green-zl100628/</t>
  </si>
  <si>
    <t>https://img01.ztat.net/article/ZL100628.jpg</t>
  </si>
  <si>
    <t>ZL100629</t>
  </si>
  <si>
    <t>https://www.zalando.de/anthracite-basic-polo---royal-blue-zl100629/</t>
  </si>
  <si>
    <t>https://img01.ztat.net/article/ZL100629.jpg</t>
  </si>
  <si>
    <t>ZL100630</t>
  </si>
  <si>
    <t>https://www.zalando.de/tommy-hilfiger-basic-polo---beige-zl100630/</t>
  </si>
  <si>
    <t>https://img01.ztat.net/article/ZL100630.jpg</t>
  </si>
  <si>
    <t>ZL100631</t>
  </si>
  <si>
    <t>https://www.zalando.de/nike-essential-polo---olive-zl100631/</t>
  </si>
  <si>
    <t>https://img01.ztat.net/article/ZL100631.jpg</t>
  </si>
  <si>
    <t>ZL100632</t>
  </si>
  <si>
    <t>https://www.zalando.de/tommy-hilfiger-print-polo---mint-zl100632/</t>
  </si>
  <si>
    <t>https://img01.ztat.net/article/ZL100632.jpg</t>
  </si>
  <si>
    <t>ZL100633</t>
  </si>
  <si>
    <t>https://www.zalando.de/puma-regular-fit-polo---red-zl100633/</t>
  </si>
  <si>
    <t>https://img01.ztat.net/article/ZL100633.jpg</t>
  </si>
  <si>
    <t>ZL100634</t>
  </si>
  <si>
    <t>https://www.zalando.de/reebok-regular-fit-t-shirt---bordeaux-zl100634/</t>
  </si>
  <si>
    <t>https://img01.ztat.net/article/ZL100634.jpg</t>
  </si>
  <si>
    <t>ZL100635</t>
  </si>
  <si>
    <t>https://www.zalando.de/the-north-face-print-t-shirt---beige-zl100635/</t>
  </si>
  <si>
    <t>https://img01.ztat.net/article/ZL100635.jpg</t>
  </si>
  <si>
    <t>ZL100636</t>
  </si>
  <si>
    <t>https://www.zalando.de/esprit-slim-fit-t-shirt---dark-blue-zl100636/</t>
  </si>
  <si>
    <t>https://img01.ztat.net/article/ZL100636.jpg</t>
  </si>
  <si>
    <t>ZL100637</t>
  </si>
  <si>
    <t>https://www.zalando.de/tommy-hilfiger-slim-fit-polo---bordeaux-zl100637/</t>
  </si>
  <si>
    <t>Slim Fit POLO - BORDEAUX</t>
  </si>
  <si>
    <t>https://img01.ztat.net/article/ZL100637.jpg</t>
  </si>
  <si>
    <t>ZL100638</t>
  </si>
  <si>
    <t>https://www.zalando.de/tommy-hilfiger-essential-t-shirt---dark-green-zl100638/</t>
  </si>
  <si>
    <t>https://img01.ztat.net/article/ZL100638.jpg</t>
  </si>
  <si>
    <t>ZL100639</t>
  </si>
  <si>
    <t>https://www.zalando.de/selected-homme-regular-fit-polo---dark-green-zl100639/</t>
  </si>
  <si>
    <t>https://img01.ztat.net/article/ZL100639.jpg</t>
  </si>
  <si>
    <t>ZL100640</t>
  </si>
  <si>
    <t>https://www.zalando.de/nike-essential-polo---dark-blue-zl100640/</t>
  </si>
  <si>
    <t>https://img01.ztat.net/article/ZL100640.jpg</t>
  </si>
  <si>
    <t>ZL100641</t>
  </si>
  <si>
    <t>https://www.zalando.de/lacoste-basic-t-shirt---denim-blue-zl100641/</t>
  </si>
  <si>
    <t>https://img01.ztat.net/article/ZL100641.jpg</t>
  </si>
  <si>
    <t>ZL100642</t>
  </si>
  <si>
    <t>https://www.zalando.de/adidas-performance-essential-t-shirt---white-zl100642/</t>
  </si>
  <si>
    <t>https://img01.ztat.net/article/ZL100642.jpg</t>
  </si>
  <si>
    <t>ZL100643</t>
  </si>
  <si>
    <t>https://www.zalando.de/adidas-performance-essential-t-shirt---navy-zl100643/</t>
  </si>
  <si>
    <t>https://img01.ztat.net/article/ZL100643.jpg</t>
  </si>
  <si>
    <t>ZL100644</t>
  </si>
  <si>
    <t>https://www.zalando.de/jack-jones-junior-essential-t-shirt---red-zl100644/</t>
  </si>
  <si>
    <t>https://img01.ztat.net/article/ZL100644.jpg</t>
  </si>
  <si>
    <t>ZL100645</t>
  </si>
  <si>
    <t>https://www.zalando.de/hummel-regular-fit-polo---mint-zl100645/</t>
  </si>
  <si>
    <t>https://img01.ztat.net/article/ZL100645.jpg</t>
  </si>
  <si>
    <t>ZL100646</t>
  </si>
  <si>
    <t>https://www.zalando.de/anerkjendt-print-t-shirt---dark-green-zl100646/</t>
  </si>
  <si>
    <t>https://img01.ztat.net/article/ZL100646.jpg</t>
  </si>
  <si>
    <t>ZL100647</t>
  </si>
  <si>
    <t>https://www.zalando.de/farah-slim-fit-polo---navy-zl100647/</t>
  </si>
  <si>
    <t>https://img01.ztat.net/article/ZL100647.jpg</t>
  </si>
  <si>
    <t>ZL100648</t>
  </si>
  <si>
    <t>https://www.zalando.de/tommy-hilfiger-basic-t-shirt---navy-zl100648/</t>
  </si>
  <si>
    <t>https://img01.ztat.net/article/ZL100648.jpg</t>
  </si>
  <si>
    <t>ZL100649</t>
  </si>
  <si>
    <t>https://www.zalando.de/nike-regular-fit-t-shirt---anthracite-zl100649/</t>
  </si>
  <si>
    <t>https://img01.ztat.net/article/ZL100649.jpg</t>
  </si>
  <si>
    <t>ZL100650</t>
  </si>
  <si>
    <t>https://www.zalando.de/anerkjendt-slim-fit-polo---dark-green-zl100650/</t>
  </si>
  <si>
    <t>Slim Fit POLO - DARK GREEN</t>
  </si>
  <si>
    <t>https://img01.ztat.net/article/ZL100650.jpg</t>
  </si>
  <si>
    <t>ZL100651</t>
  </si>
  <si>
    <t>https://www.zalando.de/tommy-hilfiger-slim-fit-t-shirt---mint-zl100651/</t>
  </si>
  <si>
    <t>https://img01.ztat.net/article/ZL100651.jpg</t>
  </si>
  <si>
    <t>ZL100652</t>
  </si>
  <si>
    <t>https://www.zalando.de/adidas-performance-essential-t-shirt---rust-zl100652/</t>
  </si>
  <si>
    <t>https://img01.ztat.net/article/ZL100652.jpg</t>
  </si>
  <si>
    <t>ZL100653</t>
  </si>
  <si>
    <t>https://www.zalando.de/denim-and-supply-essential-t-shirt---off-white-zl100653/</t>
  </si>
  <si>
    <t>https://img01.ztat.net/article/ZL100653.jpg</t>
  </si>
  <si>
    <t>ZL100654</t>
  </si>
  <si>
    <t>https://www.zalando.de/roy-robson-regular-fit-polo---dark-blue-zl100654/</t>
  </si>
  <si>
    <t>https://img01.ztat.net/article/ZL100654.jpg</t>
  </si>
  <si>
    <t>ZL100655</t>
  </si>
  <si>
    <t>https://www.zalando.de/converse-essential-t-shirt---beige-zl100655/</t>
  </si>
  <si>
    <t>https://img01.ztat.net/article/ZL100655.jpg</t>
  </si>
  <si>
    <t>ZL100656</t>
  </si>
  <si>
    <t>https://www.zalando.de/denim-and-supply-regular-fit-t-shirt---denim-blue-zl100656/</t>
  </si>
  <si>
    <t>https://img01.ztat.net/article/ZL100656.jpg</t>
  </si>
  <si>
    <t>ZL100657</t>
  </si>
  <si>
    <t>https://www.zalando.de/seidensticker-basic-t-shirt---dark-blue-zl100657/</t>
  </si>
  <si>
    <t>https://img01.ztat.net/article/ZL100657.jpg</t>
  </si>
  <si>
    <t>ZL100658</t>
  </si>
  <si>
    <t>https://www.zalando.de/salomon-basic-polo---bordeaux-zl100658/</t>
  </si>
  <si>
    <t>https://img01.ztat.net/article/ZL100658.jpg</t>
  </si>
  <si>
    <t>ZL100659</t>
  </si>
  <si>
    <t>https://www.zalando.de/adidas-performance-basic-t-shirt---dark-green-zl100659/</t>
  </si>
  <si>
    <t>https://img01.ztat.net/article/ZL100659.jpg</t>
  </si>
  <si>
    <t>ZL100660</t>
  </si>
  <si>
    <t>https://www.zalando.de/guess-slim-fit-polo---royal-blue-zl100660/</t>
  </si>
  <si>
    <t>https://img01.ztat.net/article/ZL100660.jpg</t>
  </si>
  <si>
    <t>ZL100661</t>
  </si>
  <si>
    <t>https://www.zalando.de/levi's-slim-fit-polo---grey-melange-zl100661/</t>
  </si>
  <si>
    <t>https://img01.ztat.net/article/ZL100661.jpg</t>
  </si>
  <si>
    <t>ZL100662</t>
  </si>
  <si>
    <t>https://www.zalando.de/pepe-jeans-slim-fit-polo---olive-zl100662/</t>
  </si>
  <si>
    <t>https://img01.ztat.net/article/ZL100662.jpg</t>
  </si>
  <si>
    <t>ZL100663</t>
  </si>
  <si>
    <t>https://www.zalando.de/yourturn-print-t-shirt---rust-zl100663/</t>
  </si>
  <si>
    <t>https://img01.ztat.net/article/ZL100663.jpg</t>
  </si>
  <si>
    <t>ZL100664</t>
  </si>
  <si>
    <t>https://www.zalando.de/napapijri-basic-polo---khaki-zl100664/</t>
  </si>
  <si>
    <t>https://img01.ztat.net/article/ZL100664.jpg</t>
  </si>
  <si>
    <t>ZL100665</t>
  </si>
  <si>
    <t>https://www.zalando.de/reebok-slim-fit-t-shirt---olive-zl100665/</t>
  </si>
  <si>
    <t>https://img01.ztat.net/article/ZL100665.jpg</t>
  </si>
  <si>
    <t>ZL100666</t>
  </si>
  <si>
    <t>https://www.zalando.de/nike-essential-polo---bordeaux-zl100666/</t>
  </si>
  <si>
    <t>https://img01.ztat.net/article/ZL100666.jpg</t>
  </si>
  <si>
    <t>ZL100667</t>
  </si>
  <si>
    <t>https://www.zalando.de/adidas-performance-regular-fit-t-shirt---olive-zl100667/</t>
  </si>
  <si>
    <t>https://img01.ztat.net/article/ZL100667.jpg</t>
  </si>
  <si>
    <t>ZL100668</t>
  </si>
  <si>
    <t>https://www.zalando.de/kappa-essential-t-shirt---royal-blue-zl100668/</t>
  </si>
  <si>
    <t>https://img01.ztat.net/article/ZL100668.jpg</t>
  </si>
  <si>
    <t>ZL100669</t>
  </si>
  <si>
    <t>https://www.zalando.de/adidas-performance-slim-fit-polo---off-white-zl100669/</t>
  </si>
  <si>
    <t>Slim Fit POLO - OFF WHITE</t>
  </si>
  <si>
    <t>https://img01.ztat.net/article/ZL100669.jpg</t>
  </si>
  <si>
    <t>ZL100670</t>
  </si>
  <si>
    <t>https://www.zalando.de/ben-sherman-essential-polo---beige-zl100670/</t>
  </si>
  <si>
    <t>Ben Sherman</t>
  </si>
  <si>
    <t>https://img01.ztat.net/article/ZL100670.jpg</t>
  </si>
  <si>
    <t>ZL100671</t>
  </si>
  <si>
    <t>https://www.zalando.de/hackett-london-print-polo---beige-zl100671/</t>
  </si>
  <si>
    <t>https://img01.ztat.net/article/ZL100671.jpg</t>
  </si>
  <si>
    <t>ZL100672</t>
  </si>
  <si>
    <t>https://www.zalando.de/bershka-slim-fit-t-shirt---royal-blue-zl100672/</t>
  </si>
  <si>
    <t>https://img01.ztat.net/article/ZL100672.jpg</t>
  </si>
  <si>
    <t>ZL100673</t>
  </si>
  <si>
    <t>https://www.zalando.de/nike-basic-polo---off-white-zl100673/</t>
  </si>
  <si>
    <t>https://img01.ztat.net/article/ZL100673.jpg</t>
  </si>
  <si>
    <t>ZL100674</t>
  </si>
  <si>
    <t>https://www.zalando.de/craft-slim-fit-t-shirt---royal-blue-zl100674/</t>
  </si>
  <si>
    <t>https://img01.ztat.net/article/ZL100674.jpg</t>
  </si>
  <si>
    <t>ZL100675</t>
  </si>
  <si>
    <t>https://www.zalando.de/adidas-performance-regular-fit-polo---rust-zl100675/</t>
  </si>
  <si>
    <t>56.0</t>
  </si>
  <si>
    <t>https://img01.ztat.net/article/ZL100675.jpg</t>
  </si>
  <si>
    <t>ZL100676</t>
  </si>
  <si>
    <t>https://www.zalando.de/new-look-print-polo---anthracite-zl100676/</t>
  </si>
  <si>
    <t>https://img01.ztat.net/article/ZL100676.jpg</t>
  </si>
  <si>
    <t>ZL100677</t>
  </si>
  <si>
    <t>https://www.zalando.de/peter-werth-print-t-shirt---rust-zl100677/</t>
  </si>
  <si>
    <t>https://img01.ztat.net/article/ZL100677.jpg</t>
  </si>
  <si>
    <t>ZL100678</t>
  </si>
  <si>
    <t>https://www.zalando.de/burton-menswear-london-basic-t-shirt---rust-zl100678/</t>
  </si>
  <si>
    <t>https://img01.ztat.net/article/ZL100678.jpg</t>
  </si>
  <si>
    <t>ZL100679</t>
  </si>
  <si>
    <t>https://www.zalando.de/seidensticker-basic-polo---grey-melange-zl100679/</t>
  </si>
  <si>
    <t>https://img01.ztat.net/article/ZL100679.jpg</t>
  </si>
  <si>
    <t>ZL100680</t>
  </si>
  <si>
    <t>https://www.zalando.de/won-hundred-print-polo---rust-zl100680/</t>
  </si>
  <si>
    <t>https://img01.ztat.net/article/ZL100680.jpg</t>
  </si>
  <si>
    <t>ZL100681</t>
  </si>
  <si>
    <t>https://www.zalando.de/replay-print-t-shirt---grey-melange-zl100681/</t>
  </si>
  <si>
    <t>Replay</t>
  </si>
  <si>
    <t>https://img01.ztat.net/article/ZL100681.jpg</t>
  </si>
  <si>
    <t>ZL100682</t>
  </si>
  <si>
    <t>https://www.zalando.de/anti-fashion-print-polo---bordeaux-zl100682/</t>
  </si>
  <si>
    <t>https://img01.ztat.net/article/ZL100682.jpg</t>
  </si>
  <si>
    <t>ZL100683</t>
  </si>
  <si>
    <t>https://www.zalando.de/salomon-essential-polo---denim-blue-zl100683/</t>
  </si>
  <si>
    <t>https://img01.ztat.net/article/ZL100683.jpg</t>
  </si>
  <si>
    <t>ZL100684</t>
  </si>
  <si>
    <t>https://www.zalando.de/j.lindeberg-print-t-shirt---khaki-zl100684/</t>
  </si>
  <si>
    <t>https://img01.ztat.net/article/ZL100684.jpg</t>
  </si>
  <si>
    <t>ZL100685</t>
  </si>
  <si>
    <t>https://www.zalando.de/blend-she-essential-polo---black-zl100685/</t>
  </si>
  <si>
    <t>https://img01.ztat.net/article/ZL100685.jpg</t>
  </si>
  <si>
    <t>ZL100686</t>
  </si>
  <si>
    <t>https://www.zalando.de/adidas-performance-print-polo---grey-melange-zl100686/</t>
  </si>
  <si>
    <t>https://img01.ztat.net/article/ZL100686.jpg</t>
  </si>
  <si>
    <t>ZL100687</t>
  </si>
  <si>
    <t>https://www.zalando.de/farah-regular-fit-t-shirt---light-grey-zl100687/</t>
  </si>
  <si>
    <t>https://img01.ztat.net/article/ZL100687.jpg</t>
  </si>
  <si>
    <t>ZL100688</t>
  </si>
  <si>
    <t>https://www.zalando.de/jack-jones-junior-print-t-shirt---white-zl100688/</t>
  </si>
  <si>
    <t>https://img01.ztat.net/article/ZL100688.jpg</t>
  </si>
  <si>
    <t>ZL100689</t>
  </si>
  <si>
    <t>https://www.zalando.de/nike-regular-fit-t-shirt---black-zl100689/</t>
  </si>
  <si>
    <t>https://img01.ztat.net/article/ZL100689.jpg</t>
  </si>
  <si>
    <t>ZL100690</t>
  </si>
  <si>
    <t>https://www.zalando.de/van-laack-print-t-shirt---red-zl100690/</t>
  </si>
  <si>
    <t>https://img01.ztat.net/article/ZL100690.jpg</t>
  </si>
  <si>
    <t>ZL100691</t>
  </si>
  <si>
    <t>https://www.zalando.de/only-and-sons-denim-essential-t-shirt---navy-zl100691/</t>
  </si>
  <si>
    <t>https://img01.ztat.net/article/ZL100691.jpg</t>
  </si>
  <si>
    <t>ZL100692</t>
  </si>
  <si>
    <t>https://www.zalando.de/pier-1-essential-t-shirt---grey-melange-zl100692/</t>
  </si>
  <si>
    <t>https://img01.ztat.net/article/ZL100692.jpg</t>
  </si>
  <si>
    <t>ZL100693</t>
  </si>
  <si>
    <t>https://www.zalando.de/adidas-performance-basic-polo---royal-blue-zl100693/</t>
  </si>
  <si>
    <t>https://img01.ztat.net/article/ZL100693.jpg</t>
  </si>
  <si>
    <t>ZL100694</t>
  </si>
  <si>
    <t>https://www.zalando.de/nike-regular-fit-t-shirt---anthracite-zl100694/</t>
  </si>
  <si>
    <t>https://img01.ztat.net/article/ZL100694.jpg</t>
  </si>
  <si>
    <t>ZL100695</t>
  </si>
  <si>
    <t>https://www.zalando.de/burton-print-t-shirt---olive-zl100695/</t>
  </si>
  <si>
    <t>https://img01.ztat.net/article/ZL100695.jpg</t>
  </si>
  <si>
    <t>ZL100696</t>
  </si>
  <si>
    <t>https://www.zalando.de/peter-werth-print-t-shirt---royal-blue-zl100696/</t>
  </si>
  <si>
    <t>https://img01.ztat.net/article/ZL100696.jpg</t>
  </si>
  <si>
    <t>ZL100697</t>
  </si>
  <si>
    <t>https://www.zalando.de/fila-basic-polo---red-zl100697/</t>
  </si>
  <si>
    <t>https://img01.ztat.net/article/ZL100697.jpg</t>
  </si>
  <si>
    <t>ZL100698</t>
  </si>
  <si>
    <t>https://www.zalando.de/levi's-print-t-shirt---light-grey-zl100698/</t>
  </si>
  <si>
    <t>https://img01.ztat.net/article/ZL100698.jpg</t>
  </si>
  <si>
    <t>ZL100699</t>
  </si>
  <si>
    <t>https://www.zalando.de/blend-she-essential-polo---rust-zl100699/</t>
  </si>
  <si>
    <t>https://img01.ztat.net/article/ZL100699.jpg</t>
  </si>
  <si>
    <t>ZL100700</t>
  </si>
  <si>
    <t>https://www.zalando.de/tommy-hilfiger-regular-fit-polo---black-zl100700/</t>
  </si>
  <si>
    <t>https://img01.ztat.net/article/ZL100700.jpg</t>
  </si>
  <si>
    <t>ZL100701</t>
  </si>
  <si>
    <t>https://www.zalando.de/casual-friday-basic-polo---white-zl100701/</t>
  </si>
  <si>
    <t>https://img01.ztat.net/article/ZL100701.jpg</t>
  </si>
  <si>
    <t>ZL100702</t>
  </si>
  <si>
    <t>https://www.zalando.de/tommy-hilfiger-print-polo---navy-zl100702/</t>
  </si>
  <si>
    <t>https://img01.ztat.net/article/ZL100702.jpg</t>
  </si>
  <si>
    <t>ZL100703</t>
  </si>
  <si>
    <t>https://www.zalando.de/under-armour-slim-fit-polo---navy-zl100703/</t>
  </si>
  <si>
    <t>https://img01.ztat.net/article/ZL100703.jpg</t>
  </si>
  <si>
    <t>ZL100704</t>
  </si>
  <si>
    <t>https://www.zalando.de/van-laack-print-polo---light-grey-zl100704/</t>
  </si>
  <si>
    <t>https://img01.ztat.net/article/ZL100704.jpg</t>
  </si>
  <si>
    <t>ZL100705</t>
  </si>
  <si>
    <t>https://www.zalando.de/jordan-print-polo---white-zl100705/</t>
  </si>
  <si>
    <t>https://img01.ztat.net/article/ZL100705.jpg</t>
  </si>
  <si>
    <t>ZL100706</t>
  </si>
  <si>
    <t>https://www.zalando.de/adidas-performance-regular-fit-polo---light-grey-zl100706/</t>
  </si>
  <si>
    <t>https://img01.ztat.net/article/ZL100706.jpg</t>
  </si>
  <si>
    <t>ZL100707</t>
  </si>
  <si>
    <t>https://www.zalando.de/ben-sherman-slim-fit-t-shirt---white-zl100707/</t>
  </si>
  <si>
    <t>https://img01.ztat.net/article/ZL100707.jpg</t>
  </si>
  <si>
    <t>ZL100708</t>
  </si>
  <si>
    <t>https://www.zalando.de/adidas-performance-print-t-shirt---dark-green-zl100708/</t>
  </si>
  <si>
    <t>https://img01.ztat.net/article/ZL100708.jpg</t>
  </si>
  <si>
    <t>ZL100709</t>
  </si>
  <si>
    <t>https://www.zalando.de/adidas-performance-slim-fit-t-shirt---beige-zl100709/</t>
  </si>
  <si>
    <t>https://img01.ztat.net/article/ZL100709.jpg</t>
  </si>
  <si>
    <t>ZL100710</t>
  </si>
  <si>
    <t>https://www.zalando.de/j.lindeberg-print-t-shirt---navy-zl100710/</t>
  </si>
  <si>
    <t>https://img01.ztat.net/article/ZL100710.jpg</t>
  </si>
  <si>
    <t>ZL100711</t>
  </si>
  <si>
    <t>https://www.zalando.de/adidas-performance-essential-t-shirt---khaki-zl100711/</t>
  </si>
  <si>
    <t>Essential T-SHIRT - KHAKI</t>
  </si>
  <si>
    <t>https://img01.ztat.net/article/ZL100711.jpg</t>
  </si>
  <si>
    <t>ZL100712</t>
  </si>
  <si>
    <t>https://www.zalando.de/adidas-performance-basic-polo---black-zl100712/</t>
  </si>
  <si>
    <t>https://img01.ztat.net/article/ZL100712.jpg</t>
  </si>
  <si>
    <t>ZL100713</t>
  </si>
  <si>
    <t>https://www.zalando.de/columbia-regular-fit-t-shirt---olive-zl100713/</t>
  </si>
  <si>
    <t>https://img01.ztat.net/article/ZL100713.jpg</t>
  </si>
  <si>
    <t>ZL100714</t>
  </si>
  <si>
    <t>https://www.zalando.de/calvin-klein-print-t-shirt---red-zl100714/</t>
  </si>
  <si>
    <t>https://img01.ztat.net/article/ZL100714.jpg</t>
  </si>
  <si>
    <t>ZL100715</t>
  </si>
  <si>
    <t>https://www.zalando.de/björn-borg-print-polo---navy-zl100715/</t>
  </si>
  <si>
    <t>https://img01.ztat.net/article/ZL100715.jpg</t>
  </si>
  <si>
    <t>ZL100716</t>
  </si>
  <si>
    <t>https://www.zalando.de/joop!-essential-t-shirt---denim-blue-zl100716/</t>
  </si>
  <si>
    <t>https://img01.ztat.net/article/ZL100716.jpg</t>
  </si>
  <si>
    <t>ZL100717</t>
  </si>
  <si>
    <t>https://www.zalando.de/nike-essential-t-shirt---mint-zl100717/</t>
  </si>
  <si>
    <t>https://img01.ztat.net/article/ZL100717.jpg</t>
  </si>
  <si>
    <t>ZL100718</t>
  </si>
  <si>
    <t>https://www.zalando.de/element-print-t-shirt---off-white-zl100718/</t>
  </si>
  <si>
    <t>https://img01.ztat.net/article/ZL100718.jpg</t>
  </si>
  <si>
    <t>ZL100719</t>
  </si>
  <si>
    <t>https://www.zalando.de/shine-regular-fit-t-shirt---khaki-zl100719/</t>
  </si>
  <si>
    <t>https://img01.ztat.net/article/ZL100719.jpg</t>
  </si>
  <si>
    <t>ZL100720</t>
  </si>
  <si>
    <t>https://www.zalando.de/samsøe-samsøe-print-polo---olive-zl100720/</t>
  </si>
  <si>
    <t>https://img01.ztat.net/article/ZL100720.jpg</t>
  </si>
  <si>
    <t>ZL100721</t>
  </si>
  <si>
    <t>https://www.zalando.de/calvin-klein-essential-polo---royal-blue-zl100721/</t>
  </si>
  <si>
    <t>https://img01.ztat.net/article/ZL100721.jpg</t>
  </si>
  <si>
    <t>ZL100722</t>
  </si>
  <si>
    <t>https://www.zalando.de/vans-print-polo---olive-zl100722/</t>
  </si>
  <si>
    <t>https://img01.ztat.net/article/ZL100722.jpg</t>
  </si>
  <si>
    <t>ZL100723</t>
  </si>
  <si>
    <t>https://www.zalando.de/nike-running-print-t-shirt---light-grey-zl100723/</t>
  </si>
  <si>
    <t>https://img01.ztat.net/article/ZL100723.jpg</t>
  </si>
  <si>
    <t>ZL100724</t>
  </si>
  <si>
    <t>https://www.zalando.de/anthracite-essential-t-shirt---off-white-zl100724/</t>
  </si>
  <si>
    <t>https://img01.ztat.net/article/ZL100724.jpg</t>
  </si>
  <si>
    <t>ZL100725</t>
  </si>
  <si>
    <t>https://www.zalando.de/ellesse-essential-t-shirt---bordeaux-zl100725/</t>
  </si>
  <si>
    <t>https://img01.ztat.net/article/ZL100725.jpg</t>
  </si>
  <si>
    <t>ZL100726</t>
  </si>
  <si>
    <t>https://www.zalando.de/calvin-klein-basic-polo---khaki-zl100726/</t>
  </si>
  <si>
    <t>https://img01.ztat.net/article/ZL100726.jpg</t>
  </si>
  <si>
    <t>ZL100727</t>
  </si>
  <si>
    <t>https://www.zalando.de/zalando-essentials-regular-fit-polo---beige-zl100727/</t>
  </si>
  <si>
    <t>https://img01.ztat.net/article/ZL100727.jpg</t>
  </si>
  <si>
    <t>ZL100728</t>
  </si>
  <si>
    <t>https://www.zalando.de/q/s-designed-by-slim-fit-polo---rust-zl100728/</t>
  </si>
  <si>
    <t>https://img01.ztat.net/article/ZL100728.jpg</t>
  </si>
  <si>
    <t>ZL100729</t>
  </si>
  <si>
    <t>https://www.zalando.de/mango-man-basic-t-shirt---dark-blue-zl100729/</t>
  </si>
  <si>
    <t>https://img01.ztat.net/article/ZL100729.jpg</t>
  </si>
  <si>
    <t>ZL100730</t>
  </si>
  <si>
    <t>https://www.zalando.de/the-north-face-basic-polo---rust-zl100730/</t>
  </si>
  <si>
    <t>https://img01.ztat.net/article/ZL100730.jpg</t>
  </si>
  <si>
    <t>ZL100731</t>
  </si>
  <si>
    <t>https://www.zalando.de/only-sons-slim-fit-polo---grey-melange-zl100731/</t>
  </si>
  <si>
    <t>https://img01.ztat.net/article/ZL100731.jpg</t>
  </si>
  <si>
    <t>ZL100732</t>
  </si>
  <si>
    <t>https://www.zalando.de/icebreaker-regular-fit-t-shirt---off-white-zl100732/</t>
  </si>
  <si>
    <t>https://img01.ztat.net/article/ZL100732.jpg</t>
  </si>
  <si>
    <t>ZL100733</t>
  </si>
  <si>
    <t>https://www.zalando.de/fila-slim-fit-t-shirt---navy-zl100733/</t>
  </si>
  <si>
    <t>https://img01.ztat.net/article/ZL100733.jpg</t>
  </si>
  <si>
    <t>ZL100734</t>
  </si>
  <si>
    <t>https://www.zalando.de/denim-and-supply-regular-fit-polo---grey-melange-zl100734/</t>
  </si>
  <si>
    <t>Regular Fit POLO - GREY MELANGE</t>
  </si>
  <si>
    <t>https://img01.ztat.net/article/ZL100734.jpg</t>
  </si>
  <si>
    <t>ZL100735</t>
  </si>
  <si>
    <t>https://www.zalando.de/element-essential-polo---khaki-zl100735/</t>
  </si>
  <si>
    <t>https://img01.ztat.net/article/ZL100735.jpg</t>
  </si>
  <si>
    <t>ZL100736</t>
  </si>
  <si>
    <t>https://www.zalando.de/nike-slim-fit-polo---dark-blue-zl100736/</t>
  </si>
  <si>
    <t>https://img01.ztat.net/article/ZL100736.jpg</t>
  </si>
  <si>
    <t>ZL100737</t>
  </si>
  <si>
    <t>https://www.zalando.de/adidas-performance-regular-fit-polo---anthracite-zl100737/</t>
  </si>
  <si>
    <t>https://img01.ztat.net/article/ZL100737.jpg</t>
  </si>
  <si>
    <t>ZL100738</t>
  </si>
  <si>
    <t>https://www.zalando.de/seidensticker-slim-fit-t-shirt---olive-zl100738/</t>
  </si>
  <si>
    <t>https://img01.ztat.net/article/ZL100738.jpg</t>
  </si>
  <si>
    <t>ZL100739</t>
  </si>
  <si>
    <t>https://www.zalando.de/converse-print-t-shirt---rust-zl100739/</t>
  </si>
  <si>
    <t>https://img01.ztat.net/article/ZL100739.jpg</t>
  </si>
  <si>
    <t>ZL100740</t>
  </si>
  <si>
    <t>https://www.zalando.de/tom-tailor-denim-slim-fit-t-shirt---off-white-zl100740/</t>
  </si>
  <si>
    <t>https://img01.ztat.net/article/ZL100740.jpg</t>
  </si>
  <si>
    <t>ZL100741</t>
  </si>
  <si>
    <t>https://www.zalando.de/nike-regular-fit-polo---mint-zl100741/</t>
  </si>
  <si>
    <t>https://img01.ztat.net/article/ZL100741.jpg</t>
  </si>
  <si>
    <t>ZL100742</t>
  </si>
  <si>
    <t>https://www.zalando.de/nike-slim-fit-polo---light-grey-zl100742/</t>
  </si>
  <si>
    <t>https://img01.ztat.net/article/ZL100742.jpg</t>
  </si>
  <si>
    <t>ZL100743</t>
  </si>
  <si>
    <t>https://www.zalando.de/cars-jeans-print-polo---navy-zl100743/</t>
  </si>
  <si>
    <t>https://img01.ztat.net/article/ZL100743.jpg</t>
  </si>
  <si>
    <t>ZL100744</t>
  </si>
  <si>
    <t>https://www.zalando.de/tom-tailor-denim-essential-t-shirt---beige-zl100744/</t>
  </si>
  <si>
    <t>https://img01.ztat.net/article/ZL100744.jpg</t>
  </si>
  <si>
    <t>ZL100745</t>
  </si>
  <si>
    <t>https://www.zalando.de/calvin-klein-essential-polo---dark-green-zl100745/</t>
  </si>
  <si>
    <t>https://img01.ztat.net/article/ZL100745.jpg</t>
  </si>
  <si>
    <t>ZL100746</t>
  </si>
  <si>
    <t>https://www.zalando.de/french-connection-slim-fit-t-shirt---bordeaux-zl100746/</t>
  </si>
  <si>
    <t>https://img01.ztat.net/article/ZL100746.jpg</t>
  </si>
  <si>
    <t>ZL100747</t>
  </si>
  <si>
    <t>https://www.zalando.de/anthracite-print-polo---dark-green-zl100747/</t>
  </si>
  <si>
    <t>https://img01.ztat.net/article/ZL100747.jpg</t>
  </si>
  <si>
    <t>ZL100748</t>
  </si>
  <si>
    <t>https://www.zalando.de/adidas-performance-essential-t-shirt---navy-zl100748/</t>
  </si>
  <si>
    <t>https://img01.ztat.net/article/ZL100748.jpg</t>
  </si>
  <si>
    <t>ZL100749</t>
  </si>
  <si>
    <t>https://www.zalando.de/anerkjendt-print-t-shirt---bordeaux-zl100749/</t>
  </si>
  <si>
    <t>https://img01.ztat.net/article/ZL100749.jpg</t>
  </si>
  <si>
    <t>ZL100750</t>
  </si>
  <si>
    <t>https://www.zalando.de/only-and-sons-denim-print-polo---royal-blue-zl100750/</t>
  </si>
  <si>
    <t>https://img01.ztat.net/article/ZL100750.jpg</t>
  </si>
  <si>
    <t>ZL100751</t>
  </si>
  <si>
    <t>https://www.zalando.de/puma-slim-fit-t-shirt---black-zl100751/</t>
  </si>
  <si>
    <t>https://img01.ztat.net/article/ZL100751.jpg</t>
  </si>
  <si>
    <t>ZL100752</t>
  </si>
  <si>
    <t>https://www.zalando.de/yourturn-slim-fit-t-shirt---dark-green-zl100752/</t>
  </si>
  <si>
    <t>https://img01.ztat.net/article/ZL100752.jpg</t>
  </si>
  <si>
    <t>ZL100753</t>
  </si>
  <si>
    <t>https://www.zalando.de/name-it-print-polo---black-zl100753/</t>
  </si>
  <si>
    <t>https://img01.ztat.net/article/ZL100753.jpg</t>
  </si>
  <si>
    <t>ZL100754</t>
  </si>
  <si>
    <t>https://www.zalando.de/superdry-basic-t-shirt---black-zl100754/</t>
  </si>
  <si>
    <t>https://img01.ztat.net/article/ZL100754.jpg</t>
  </si>
  <si>
    <t>ZL100755</t>
  </si>
  <si>
    <t>https://www.zalando.de/tommy-hilfiger-print-t-shirt---anthracite-zl100755/</t>
  </si>
  <si>
    <t>https://img01.ztat.net/article/ZL100755.jpg</t>
  </si>
  <si>
    <t>ZL100756</t>
  </si>
  <si>
    <t>https://www.zalando.de/billabong-basic-t-shirt---off-white-zl100756/</t>
  </si>
  <si>
    <t>https://img01.ztat.net/article/ZL100756.jpg</t>
  </si>
  <si>
    <t>ZL100757</t>
  </si>
  <si>
    <t>https://www.zalando.de/vintage-supply-print-polo---grey-melange-zl100757/</t>
  </si>
  <si>
    <t>https://img01.ztat.net/article/ZL100757.jpg</t>
  </si>
  <si>
    <t>ZL100758</t>
  </si>
  <si>
    <t>https://www.zalando.de/nn07-print-polo---olive-zl100758/</t>
  </si>
  <si>
    <t>https://img01.ztat.net/article/ZL100758.jpg</t>
  </si>
  <si>
    <t>ZL100759</t>
  </si>
  <si>
    <t>https://www.zalando.de/gant-print-polo---beige-zl100759/</t>
  </si>
  <si>
    <t>https://img01.ztat.net/article/ZL100759.jpg</t>
  </si>
  <si>
    <t>ZL100760</t>
  </si>
  <si>
    <t>https://www.zalando.de/hackett-london-print-t-shirt---navy-zl100760/</t>
  </si>
  <si>
    <t>https://img01.ztat.net/article/ZL100760.jpg</t>
  </si>
  <si>
    <t>ZL100761</t>
  </si>
  <si>
    <t>https://www.zalando.de/odlo-regular-fit-t-shirt---rust-zl100761/</t>
  </si>
  <si>
    <t>https://img01.ztat.net/article/ZL100761.jpg</t>
  </si>
  <si>
    <t>ZL100762</t>
  </si>
  <si>
    <t>https://www.zalando.de/boss-slim-fit-polo---royal-blue-zl100762/</t>
  </si>
  <si>
    <t>https://img01.ztat.net/article/ZL100762.jpg</t>
  </si>
  <si>
    <t>ZL100763</t>
  </si>
  <si>
    <t>https://www.zalando.de/nike-basic-t-shirt---mint-zl100763/</t>
  </si>
  <si>
    <t>https://img01.ztat.net/article/ZL100763.jpg</t>
  </si>
  <si>
    <t>ZL100764</t>
  </si>
  <si>
    <t>https://www.zalando.de/converse-basic-polo---royal-blue-zl100764/</t>
  </si>
  <si>
    <t>https://img01.ztat.net/article/ZL100764.jpg</t>
  </si>
  <si>
    <t>ZL100765</t>
  </si>
  <si>
    <t>https://www.zalando.de/nike-basic-t-shirt---dark-green-zl100765/</t>
  </si>
  <si>
    <t>https://img01.ztat.net/article/ZL100765.jpg</t>
  </si>
  <si>
    <t>ZL100766</t>
  </si>
  <si>
    <t>https://www.zalando.de/cars-basic-t-shirt---bordeaux-zl100766/</t>
  </si>
  <si>
    <t>https://img01.ztat.net/article/ZL100766.jpg</t>
  </si>
  <si>
    <t>ZL100767</t>
  </si>
  <si>
    <t>https://www.zalando.de/hackett-london-slim-fit-polo---grey-melange-zl100767/</t>
  </si>
  <si>
    <t>https://img01.ztat.net/article/ZL100767.jpg</t>
  </si>
  <si>
    <t>ZL100768</t>
  </si>
  <si>
    <t>https://www.zalando.de/q/s-designed-by-slim-fit-polo---black-zl100768/</t>
  </si>
  <si>
    <t>https://img01.ztat.net/article/ZL100768.jpg</t>
  </si>
  <si>
    <t>ZL100769</t>
  </si>
  <si>
    <t>https://www.zalando.de/threadbare-regular-fit-polo---mint-zl100769/</t>
  </si>
  <si>
    <t>https://img01.ztat.net/article/ZL100769.jpg</t>
  </si>
  <si>
    <t>ZL100770</t>
  </si>
  <si>
    <t>https://www.zalando.de/adidas-performance-print-t-shirt---mint-zl100770/</t>
  </si>
  <si>
    <t>https://img01.ztat.net/article/ZL100770.jpg</t>
  </si>
  <si>
    <t>ZL100771</t>
  </si>
  <si>
    <t>https://www.zalando.de/anerkjendt-basic-t-shirt---dark-blue-zl100771/</t>
  </si>
  <si>
    <t>https://img01.ztat.net/article/ZL100771.jpg</t>
  </si>
  <si>
    <t>ZL100772</t>
  </si>
  <si>
    <t>https://www.zalando.de/puma-basic-polo---mint-zl100772/</t>
  </si>
  <si>
    <t>https://img01.ztat.net/article/ZL100772.jpg</t>
  </si>
  <si>
    <t>ZL100773</t>
  </si>
  <si>
    <t>https://www.zalando.de/craft-sportswear-essential-polo---anthracite-zl100773/</t>
  </si>
  <si>
    <t>https://img01.ztat.net/article/ZL100773.jpg</t>
  </si>
  <si>
    <t>ZL100774</t>
  </si>
  <si>
    <t>https://www.zalando.de/pullandbear-essential-t-shirt---off-white-zl100774/</t>
  </si>
  <si>
    <t>https://img01.ztat.net/article/ZL100774.jpg</t>
  </si>
  <si>
    <t>ZL100775</t>
  </si>
  <si>
    <t>https://www.zalando.de/cars-slim-fit-polo---anthracite-zl100775/</t>
  </si>
  <si>
    <t>https://img01.ztat.net/article/ZL100775.jpg</t>
  </si>
  <si>
    <t>ZL100776</t>
  </si>
  <si>
    <t>https://www.zalando.de/guess-basic-t-shirt---olive-zl100776/</t>
  </si>
  <si>
    <t>https://img01.ztat.net/article/ZL100776.jpg</t>
  </si>
  <si>
    <t>ZL100777</t>
  </si>
  <si>
    <t>https://www.zalando.de/tommy-hilfiger-essential-t-shirt---denim-blue-zl100777/</t>
  </si>
  <si>
    <t>https://img01.ztat.net/article/ZL100777.jpg</t>
  </si>
  <si>
    <t>ZL100778</t>
  </si>
  <si>
    <t>https://www.zalando.de/nike-essential-t-shirt---khaki-zl100778/</t>
  </si>
  <si>
    <t>https://img01.ztat.net/article/ZL100778.jpg</t>
  </si>
  <si>
    <t>ZL100779</t>
  </si>
  <si>
    <t>https://www.zalando.de/fila-print-polo---black-zl100779/</t>
  </si>
  <si>
    <t>https://img01.ztat.net/article/ZL100779.jpg</t>
  </si>
  <si>
    <t>ZL100780</t>
  </si>
  <si>
    <t>https://www.zalando.de/jack-jones-junior-essential-polo---beige-zl100780/</t>
  </si>
  <si>
    <t>https://img01.ztat.net/article/ZL100780.jpg</t>
  </si>
  <si>
    <t>ZL100781</t>
  </si>
  <si>
    <t>https://www.zalando.de/jack-jones-junior-basic-t-shirt---dark-green-zl100781/</t>
  </si>
  <si>
    <t>https://img01.ztat.net/article/ZL100781.jpg</t>
  </si>
  <si>
    <t>ZL100782</t>
  </si>
  <si>
    <t>https://www.zalando.de/jack-and-jones-slim-fit-t-shirt---mint-zl100782/</t>
  </si>
  <si>
    <t>https://img01.ztat.net/article/ZL100782.jpg</t>
  </si>
  <si>
    <t>ZL100783</t>
  </si>
  <si>
    <t>https://www.zalando.de/fila-print-polo---rust-zl100783/</t>
  </si>
  <si>
    <t>https://img01.ztat.net/article/ZL100783.jpg</t>
  </si>
  <si>
    <t>ZL100784</t>
  </si>
  <si>
    <t>https://www.zalando.de/produkt-print-t-shirt---rust-zl100784/</t>
  </si>
  <si>
    <t>https://img01.ztat.net/article/ZL100784.jpg</t>
  </si>
  <si>
    <t>ZL100785</t>
  </si>
  <si>
    <t>https://www.zalando.de/nike-golf-slim-fit-polo---white-zl100785/</t>
  </si>
  <si>
    <t>https://img01.ztat.net/article/ZL100785.jpg</t>
  </si>
  <si>
    <t>ZL100786</t>
  </si>
  <si>
    <t>https://www.zalando.de/new-look-essential-t-shirt---royal-blue-zl100786/</t>
  </si>
  <si>
    <t>https://img01.ztat.net/article/ZL100786.jpg</t>
  </si>
  <si>
    <t>ZL100787</t>
  </si>
  <si>
    <t>https://www.zalando.de/nike-regular-fit-polo---beige-zl100787/</t>
  </si>
  <si>
    <t>https://img01.ztat.net/article/ZL100787.jpg</t>
  </si>
  <si>
    <t>ZL100788</t>
  </si>
  <si>
    <t>https://www.zalando.de/mazine-slim-fit-t-shirt---beige-zl100788/</t>
  </si>
  <si>
    <t>https://img01.ztat.net/article/ZL100788.jpg</t>
  </si>
  <si>
    <t>ZL100789</t>
  </si>
  <si>
    <t>https://www.zalando.de/cleptomanicx-essential-t-shirt---rust-zl100789/</t>
  </si>
  <si>
    <t>https://img01.ztat.net/article/ZL100789.jpg</t>
  </si>
  <si>
    <t>ZL100790</t>
  </si>
  <si>
    <t>https://www.zalando.de/knowledge-cotton-apparel-slim-fit-polo---dark-blue-zl100790/</t>
  </si>
  <si>
    <t>https://img01.ztat.net/article/ZL100790.jpg</t>
  </si>
  <si>
    <t>ZL100791</t>
  </si>
  <si>
    <t>https://www.zalando.de/nike-running-print-polo---mint-zl100791/</t>
  </si>
  <si>
    <t>https://img01.ztat.net/article/ZL100791.jpg</t>
  </si>
  <si>
    <t>ZL100792</t>
  </si>
  <si>
    <t>https://www.zalando.de/river-island-basic-polo---khaki-zl100792/</t>
  </si>
  <si>
    <t>https://img01.ztat.net/article/ZL100792.jpg</t>
  </si>
  <si>
    <t>ZL100793</t>
  </si>
  <si>
    <t>https://www.zalando.de/hackett-london-essential-t-shirt---olive-zl100793/</t>
  </si>
  <si>
    <t>https://img01.ztat.net/article/ZL100793.jpg</t>
  </si>
  <si>
    <t>ZL100794</t>
  </si>
  <si>
    <t>https://www.zalando.de/salomon-slim-fit-t-shirt---denim-blue-zl100794/</t>
  </si>
  <si>
    <t>https://img01.ztat.net/article/ZL100794.jpg</t>
  </si>
  <si>
    <t>ZL100795</t>
  </si>
  <si>
    <t>https://www.zalando.de/tommy-hilfiger-essential-t-shirt---anthracite-zl100795/</t>
  </si>
  <si>
    <t>https://img01.ztat.net/article/ZL100795.jpg</t>
  </si>
  <si>
    <t>ZL100796</t>
  </si>
  <si>
    <t>https://www.zalando.de/calvin-klein-basic-polo---khaki-zl100796/</t>
  </si>
  <si>
    <t>https://img01.ztat.net/article/ZL100796.jpg</t>
  </si>
  <si>
    <t>ZL100797</t>
  </si>
  <si>
    <t>https://www.zalando.de/hummel-regular-fit-polo---dark-blue-zl100797/</t>
  </si>
  <si>
    <t>https://img01.ztat.net/article/ZL100797.jpg</t>
  </si>
  <si>
    <t>ZL100798</t>
  </si>
  <si>
    <t>https://www.zalando.de/adidas-performance-print-t-shirt---beige-zl100798/</t>
  </si>
  <si>
    <t>https://img01.ztat.net/article/ZL100798.jpg</t>
  </si>
  <si>
    <t>ZL100799</t>
  </si>
  <si>
    <t>https://www.zalando.de/produkt-slim-fit-t-shirt---olive-zl100799/</t>
  </si>
  <si>
    <t>https://img01.ztat.net/article/ZL100799.jpg</t>
  </si>
  <si>
    <t>ZL100800</t>
  </si>
  <si>
    <t>https://www.zalando.de/patagonia-regular-fit-t-shirt---white-zl100800/</t>
  </si>
  <si>
    <t>https://img01.ztat.net/article/ZL100800.jpg</t>
  </si>
  <si>
    <t>ZL100801</t>
  </si>
  <si>
    <t>https://www.zalando.de/nike-sb-essential-t-shirt---denim-blue-zl100801/</t>
  </si>
  <si>
    <t>https://img01.ztat.net/article/ZL100801.jpg</t>
  </si>
  <si>
    <t>ZL100802</t>
  </si>
  <si>
    <t>https://www.zalando.de/seidensticker-print-polo---mint-zl100802/</t>
  </si>
  <si>
    <t>https://img01.ztat.net/article/ZL100802.jpg</t>
  </si>
  <si>
    <t>ZL100803</t>
  </si>
  <si>
    <t>https://www.zalando.de/only-and-sons-denim-print-t-shirt---denim-blue-zl100803/</t>
  </si>
  <si>
    <t>https://img01.ztat.net/article/ZL100803.jpg</t>
  </si>
  <si>
    <t>ZL100804</t>
  </si>
  <si>
    <t>https://www.zalando.de/solid-homme-basic-polo---bordeaux-zl100804/</t>
  </si>
  <si>
    <t>Solid Homme</t>
  </si>
  <si>
    <t>https://img01.ztat.net/article/ZL100804.jpg</t>
  </si>
  <si>
    <t>ZL100805</t>
  </si>
  <si>
    <t>https://www.zalando.de/ltb-essential-polo---olive-zl100805/</t>
  </si>
  <si>
    <t>https://img01.ztat.net/article/ZL100805.jpg</t>
  </si>
  <si>
    <t>ZL100806</t>
  </si>
  <si>
    <t>https://www.zalando.de/ea7-emporio-armani-basic-polo---anthracite-zl100806/</t>
  </si>
  <si>
    <t>https://img01.ztat.net/article/ZL100806.jpg</t>
  </si>
  <si>
    <t>ZL100807</t>
  </si>
  <si>
    <t>https://www.zalando.de/calvin-klein-regular-fit-polo---red-zl100807/</t>
  </si>
  <si>
    <t>https://img01.ztat.net/article/ZL100807.jpg</t>
  </si>
  <si>
    <t>ZL100808</t>
  </si>
  <si>
    <t>https://www.zalando.de/tom-tailor-denim-essential-polo---dark-green-zl100808/</t>
  </si>
  <si>
    <t>https://img01.ztat.net/article/ZL100808.jpg</t>
  </si>
  <si>
    <t>ZL100809</t>
  </si>
  <si>
    <t>https://www.zalando.de/urban-classics-print-t-shirt---bordeaux-zl100809/</t>
  </si>
  <si>
    <t>https://img01.ztat.net/article/ZL100809.jpg</t>
  </si>
  <si>
    <t>ZL100810</t>
  </si>
  <si>
    <t>https://www.zalando.de/under-armour-training-regular-fit-t-shirt---grey-melange-zl100810/</t>
  </si>
  <si>
    <t>https://img01.ztat.net/article/ZL100810.jpg</t>
  </si>
  <si>
    <t>ZL100811</t>
  </si>
  <si>
    <t>https://www.zalando.de/polo-ralph-lauren-regular-fit-t-shirt---dark-green-zl100811/</t>
  </si>
  <si>
    <t>https://img01.ztat.net/article/ZL100811.jpg</t>
  </si>
  <si>
    <t>ZL100812</t>
  </si>
  <si>
    <t>https://www.zalando.de/lacoste-essential-polo---navy-zl100812/</t>
  </si>
  <si>
    <t>21.0</t>
  </si>
  <si>
    <t>https://img01.ztat.net/article/ZL100812.jpg</t>
  </si>
  <si>
    <t>ZL100813</t>
  </si>
  <si>
    <t>https://www.zalando.de/nike-essential-t-shirt---rust-zl100813/</t>
  </si>
  <si>
    <t>https://img01.ztat.net/article/ZL100813.jpg</t>
  </si>
  <si>
    <t>ZL100814</t>
  </si>
  <si>
    <t>https://www.zalando.de/lacoste-print-t-shirt---off-white-zl100814/</t>
  </si>
  <si>
    <t>https://img01.ztat.net/article/ZL100814.jpg</t>
  </si>
  <si>
    <t>ZL100815</t>
  </si>
  <si>
    <t>https://www.zalando.de/tommy-hilfiger-slim-fit-t-shirt---navy-zl100815/</t>
  </si>
  <si>
    <t>https://img01.ztat.net/article/ZL100815.jpg</t>
  </si>
  <si>
    <t>ZL100816</t>
  </si>
  <si>
    <t>https://www.zalando.de/pullandbear-essential-t-shirt---denim-blue-zl100816/</t>
  </si>
  <si>
    <t>https://img01.ztat.net/article/ZL100816.jpg</t>
  </si>
  <si>
    <t>ZL100817</t>
  </si>
  <si>
    <t>https://www.zalando.de/anerkjendt-regular-fit-polo---white-zl100817/</t>
  </si>
  <si>
    <t>https://img01.ztat.net/article/ZL100817.jpg</t>
  </si>
  <si>
    <t>ZL100818</t>
  </si>
  <si>
    <t>https://www.zalando.de/tommy-hilfiger-basic-polo---off-white-zl100818/</t>
  </si>
  <si>
    <t>https://img01.ztat.net/article/ZL100818.jpg</t>
  </si>
  <si>
    <t>ZL100819</t>
  </si>
  <si>
    <t>https://www.zalando.de/produkt-slim-fit-polo---anthracite-zl100819/</t>
  </si>
  <si>
    <t>https://img01.ztat.net/article/ZL100819.jpg</t>
  </si>
  <si>
    <t>ZL100820</t>
  </si>
  <si>
    <t>https://www.zalando.de/only-sons-slim-fit-polo---light-grey-zl100820/</t>
  </si>
  <si>
    <t>https://img01.ztat.net/article/ZL100820.jpg</t>
  </si>
  <si>
    <t>ZL100821</t>
  </si>
  <si>
    <t>https://www.zalando.de/urban-classics-basic-t-shirt---mint-zl100821/</t>
  </si>
  <si>
    <t>https://img01.ztat.net/article/ZL100821.jpg</t>
  </si>
  <si>
    <t>ZL100822</t>
  </si>
  <si>
    <t>https://www.zalando.de/tommy-hilfiger-slim-fit-t-shirt---rust-zl100822/</t>
  </si>
  <si>
    <t>https://img01.ztat.net/article/ZL100822.jpg</t>
  </si>
  <si>
    <t>ZL100823</t>
  </si>
  <si>
    <t>https://www.zalando.de/puma-print-t-shirt---grey-melange-zl100823/</t>
  </si>
  <si>
    <t>https://img01.ztat.net/article/ZL100823.jpg</t>
  </si>
  <si>
    <t>ZL100824</t>
  </si>
  <si>
    <t>https://www.zalando.de/mango-man-slim-fit-polo---navy-zl100824/</t>
  </si>
  <si>
    <t>https://img01.ztat.net/article/ZL100824.jpg</t>
  </si>
  <si>
    <t>ZL100825</t>
  </si>
  <si>
    <t>https://www.zalando.de/adidas-performance-basic-polo---grey-melange-zl100825/</t>
  </si>
  <si>
    <t>https://img01.ztat.net/article/ZL100825.jpg</t>
  </si>
  <si>
    <t>ZL100826</t>
  </si>
  <si>
    <t>https://www.zalando.de/nike-print-t-shirt---dark-green-zl100826/</t>
  </si>
  <si>
    <t>https://img01.ztat.net/article/ZL100826.jpg</t>
  </si>
  <si>
    <t>ZL100827</t>
  </si>
  <si>
    <t>https://www.zalando.de/cmp-regular-fit-t-shirt---off-white-zl100827/</t>
  </si>
  <si>
    <t>https://img01.ztat.net/article/ZL100827.jpg</t>
  </si>
  <si>
    <t>ZL100828</t>
  </si>
  <si>
    <t>https://www.zalando.de/odlo-regular-fit-t-shirt---off-white-zl100828/</t>
  </si>
  <si>
    <t>https://img01.ztat.net/article/ZL100828.jpg</t>
  </si>
  <si>
    <t>ZL100829</t>
  </si>
  <si>
    <t>https://www.zalando.de/nike-slim-fit-t-shirt---white-zl100829/</t>
  </si>
  <si>
    <t>https://img01.ztat.net/article/ZL100829.jpg</t>
  </si>
  <si>
    <t>ZL100830</t>
  </si>
  <si>
    <t>https://www.zalando.de/shine-slim-fit-polo---denim-blue-zl100830/</t>
  </si>
  <si>
    <t>https://img01.ztat.net/article/ZL100830.jpg</t>
  </si>
  <si>
    <t>ZL100831</t>
  </si>
  <si>
    <t>https://www.zalando.de/replay-essential-polo---off-white-zl100831/</t>
  </si>
  <si>
    <t>https://img01.ztat.net/article/ZL100831.jpg</t>
  </si>
  <si>
    <t>ZL100832</t>
  </si>
  <si>
    <t>https://www.zalando.de/bruuns-bazaar-slim-fit-polo---olive-zl100832/</t>
  </si>
  <si>
    <t>https://img01.ztat.net/article/ZL100832.jpg</t>
  </si>
  <si>
    <t>ZL100833</t>
  </si>
  <si>
    <t>https://www.zalando.de/anti-fashion-essential-polo---red-zl100833/</t>
  </si>
  <si>
    <t>https://img01.ztat.net/article/ZL100833.jpg</t>
  </si>
  <si>
    <t>ZL100834</t>
  </si>
  <si>
    <t>https://www.zalando.de/nike-print-t-shirt---white-zl100834/</t>
  </si>
  <si>
    <t>https://img01.ztat.net/article/ZL100834.jpg</t>
  </si>
  <si>
    <t>ZL100835</t>
  </si>
  <si>
    <t>https://www.zalando.de/burton-slim-fit-polo---olive-zl100835/</t>
  </si>
  <si>
    <t>https://img01.ztat.net/article/ZL100835.jpg</t>
  </si>
  <si>
    <t>ZL100836</t>
  </si>
  <si>
    <t>https://www.zalando.de/esprit-basic-t-shirt---royal-blue-zl100836/</t>
  </si>
  <si>
    <t>https://img01.ztat.net/article/ZL100836.jpg</t>
  </si>
  <si>
    <t>ZL100837</t>
  </si>
  <si>
    <t>https://www.zalando.de/only-sons-essential-polo---olive-zl100837/</t>
  </si>
  <si>
    <t>https://img01.ztat.net/article/ZL100837.jpg</t>
  </si>
  <si>
    <t>ZL100838</t>
  </si>
  <si>
    <t>https://www.zalando.de/tommy-hilfiger-regular-fit-polo---light-grey-zl100838/</t>
  </si>
  <si>
    <t>https://img01.ztat.net/article/ZL100838.jpg</t>
  </si>
  <si>
    <t>ZL100839</t>
  </si>
  <si>
    <t>https://www.zalando.de/minimum-regular-fit-t-shirt---bordeaux-zl100839/</t>
  </si>
  <si>
    <t>https://img01.ztat.net/article/ZL100839.jpg</t>
  </si>
  <si>
    <t>ZL100840</t>
  </si>
  <si>
    <t>https://www.zalando.de/adidas-performance-print-polo---beige-zl100840/</t>
  </si>
  <si>
    <t>https://img01.ztat.net/article/ZL100840.jpg</t>
  </si>
  <si>
    <t>ZL100841</t>
  </si>
  <si>
    <t>https://www.zalando.de/anti-fashion-basic-polo---navy-zl100841/</t>
  </si>
  <si>
    <t>https://img01.ztat.net/article/ZL100841.jpg</t>
  </si>
  <si>
    <t>ZL100842</t>
  </si>
  <si>
    <t>https://www.zalando.de/jack-jones-junior-slim-fit-polo---mint-zl100842/</t>
  </si>
  <si>
    <t>https://img01.ztat.net/article/ZL100842.jpg</t>
  </si>
  <si>
    <t>ZL100843</t>
  </si>
  <si>
    <t>https://www.zalando.de/urban-classics-basic-t-shirt---light-grey-zl100843/</t>
  </si>
  <si>
    <t>https://img01.ztat.net/article/ZL100843.jpg</t>
  </si>
  <si>
    <t>ZL100844</t>
  </si>
  <si>
    <t>https://www.zalando.de/tommy-hilfiger-essential-t-shirt---rust-zl100844/</t>
  </si>
  <si>
    <t>https://img01.ztat.net/article/ZL100844.jpg</t>
  </si>
  <si>
    <t>ZL100845</t>
  </si>
  <si>
    <t>https://www.zalando.de/q/s-designed-by-slim-fit-polo---dark-green-zl100845/</t>
  </si>
  <si>
    <t>https://img01.ztat.net/article/ZL100845.jpg</t>
  </si>
  <si>
    <t>ZL100846</t>
  </si>
  <si>
    <t>https://www.zalando.de/adidas-performance-essential-polo---khaki-zl100846/</t>
  </si>
  <si>
    <t>https://img01.ztat.net/article/ZL100846.jpg</t>
  </si>
  <si>
    <t>ZL100847</t>
  </si>
  <si>
    <t>https://www.zalando.de/denim-and-supply-slim-fit-polo---anthracite-zl100847/</t>
  </si>
  <si>
    <t>https://img01.ztat.net/article/ZL100847.jpg</t>
  </si>
  <si>
    <t>ZL100848</t>
  </si>
  <si>
    <t>https://www.zalando.de/only-and-sons-slim-fit-polo---navy-zl100848/</t>
  </si>
  <si>
    <t>Only &amp; Sons</t>
  </si>
  <si>
    <t>https://img01.ztat.net/article/ZL100848.jpg</t>
  </si>
  <si>
    <t>ZL100849</t>
  </si>
  <si>
    <t>https://www.zalando.de/solid-homme-print-polo---red-zl100849/</t>
  </si>
  <si>
    <t>https://img01.ztat.net/article/ZL100849.jpg</t>
  </si>
  <si>
    <t>ZL100850</t>
  </si>
  <si>
    <t>https://www.zalando.de/anerkjendt-slim-fit-polo---black-zl100850/</t>
  </si>
  <si>
    <t>https://img01.ztat.net/article/ZL100850.jpg</t>
  </si>
  <si>
    <t>ZL100851</t>
  </si>
  <si>
    <t>https://www.zalando.de/nike-essential-t-shirt---off-white-zl100851/</t>
  </si>
  <si>
    <t>https://img01.ztat.net/article/ZL100851.jpg</t>
  </si>
  <si>
    <t>ZL100852</t>
  </si>
  <si>
    <t>https://www.zalando.de/adidas-performance-basic-t-shirt---royal-blue-zl100852/</t>
  </si>
  <si>
    <t>https://img01.ztat.net/article/ZL100852.jpg</t>
  </si>
  <si>
    <t>ZL100853</t>
  </si>
  <si>
    <t>https://www.zalando.de/french-connection-slim-fit-polo---khaki-zl100853/</t>
  </si>
  <si>
    <t>https://img01.ztat.net/article/ZL100853.jpg</t>
  </si>
  <si>
    <t>ZL100854</t>
  </si>
  <si>
    <t>https://www.zalando.de/odlo-regular-fit-t-shirt---beige-zl100854/</t>
  </si>
  <si>
    <t>https://img01.ztat.net/article/ZL100854.jpg</t>
  </si>
  <si>
    <t>ZL100855</t>
  </si>
  <si>
    <t>https://www.zalando.de/craft-sportswear-slim-fit-polo---off-white-zl100855/</t>
  </si>
  <si>
    <t>https://img01.ztat.net/article/ZL100855.jpg</t>
  </si>
  <si>
    <t>ZL100856</t>
  </si>
  <si>
    <t>https://www.zalando.de/nike-regular-fit-t-shirt---dark-green-zl100856/</t>
  </si>
  <si>
    <t>https://img01.ztat.net/article/ZL100856.jpg</t>
  </si>
  <si>
    <t>ZL100857</t>
  </si>
  <si>
    <t>https://www.zalando.de/solid-homme-essential-t-shirt---dark-green-zl100857/</t>
  </si>
  <si>
    <t>https://img01.ztat.net/article/ZL100857.jpg</t>
  </si>
  <si>
    <t>ZL100858</t>
  </si>
  <si>
    <t>https://www.zalando.de/burton-london-regular-fit-polo---royal-blue-zl100858/</t>
  </si>
  <si>
    <t>https://img01.ztat.net/article/ZL100858.jpg</t>
  </si>
  <si>
    <t>ZL100859</t>
  </si>
  <si>
    <t>https://www.zalando.de/anerkjendt-essential-polo---black-zl100859/</t>
  </si>
  <si>
    <t>https://img01.ztat.net/article/ZL100859.jpg</t>
  </si>
  <si>
    <t>ZL100860</t>
  </si>
  <si>
    <t>https://www.zalando.de/wrangler-print-polo---olive-zl100860/</t>
  </si>
  <si>
    <t>https://img01.ztat.net/article/ZL100860.jpg</t>
  </si>
  <si>
    <t>ZL100861</t>
  </si>
  <si>
    <t>https://www.zalando.de/the-north-face-basic-polo---bordeaux-zl100861/</t>
  </si>
  <si>
    <t>https://img01.ztat.net/article/ZL100861.jpg</t>
  </si>
  <si>
    <t>ZL100862</t>
  </si>
  <si>
    <t>https://www.zalando.de/kappa-basic-t-shirt---olive-zl100862/</t>
  </si>
  <si>
    <t>https://img01.ztat.net/article/ZL100862.jpg</t>
  </si>
  <si>
    <t>ZL100863</t>
  </si>
  <si>
    <t>https://www.zalando.de/nike-sb-essential-polo---royal-blue-zl100863/</t>
  </si>
  <si>
    <t>https://img01.ztat.net/article/ZL100863.jpg</t>
  </si>
  <si>
    <t>ZL100864</t>
  </si>
  <si>
    <t>https://www.zalando.de/adidas-performance-print-t-shirt---denim-blue-zl100864/</t>
  </si>
  <si>
    <t>https://img01.ztat.net/article/ZL100864.jpg</t>
  </si>
  <si>
    <t>ZL100865</t>
  </si>
  <si>
    <t>https://www.zalando.de/adidas-performance-print-t-shirt---beige-zl100865/</t>
  </si>
  <si>
    <t>https://img01.ztat.net/article/ZL100865.jpg</t>
  </si>
  <si>
    <t>ZL100866</t>
  </si>
  <si>
    <t>https://www.zalando.de/tommy-hilfiger-slim-fit-t-shirt---khaki-zl100866/</t>
  </si>
  <si>
    <t>https://img01.ztat.net/article/ZL100866.jpg</t>
  </si>
  <si>
    <t>ZL100867</t>
  </si>
  <si>
    <t>https://www.zalando.de/anerkjendt-print-t-shirt---rust-zl100867/</t>
  </si>
  <si>
    <t>https://img01.ztat.net/article/ZL100867.jpg</t>
  </si>
  <si>
    <t>ZL100868</t>
  </si>
  <si>
    <t>https://www.zalando.de/knowledge-cotton-apparel-print-polo---beige-zl100868/</t>
  </si>
  <si>
    <t>https://img01.ztat.net/article/ZL100868.jpg</t>
  </si>
  <si>
    <t>ZL100869</t>
  </si>
  <si>
    <t>https://www.zalando.de/urban-classics-essential-polo---bordeaux-zl100869/</t>
  </si>
  <si>
    <t>https://img01.ztat.net/article/ZL100869.jpg</t>
  </si>
  <si>
    <t>ZL100870</t>
  </si>
  <si>
    <t>https://www.zalando.de/only-and-sons-denim-regular-fit-t-shirt---denim-blue-zl100870/</t>
  </si>
  <si>
    <t>https://img01.ztat.net/article/ZL100870.jpg</t>
  </si>
  <si>
    <t>ZL100871</t>
  </si>
  <si>
    <t>https://www.zalando.de/puma-basic-polo---denim-blue-zl100871/</t>
  </si>
  <si>
    <t>https://img01.ztat.net/article/ZL100871.jpg</t>
  </si>
  <si>
    <t>ZL100872</t>
  </si>
  <si>
    <t>https://www.zalando.de/strellson-premium-regular-fit-polo---bordeaux-zl100872/</t>
  </si>
  <si>
    <t>53.0</t>
  </si>
  <si>
    <t>https://img01.ztat.net/article/ZL100872.jpg</t>
  </si>
  <si>
    <t>ZL100873</t>
  </si>
  <si>
    <t>https://www.zalando.de/timberland-pro-print-polo---red-zl100873/</t>
  </si>
  <si>
    <t>https://img01.ztat.net/article/ZL100873.jpg</t>
  </si>
  <si>
    <t>ZL100874</t>
  </si>
  <si>
    <t>https://www.zalando.de/olymp-print-t-shirt---dark-green-zl100874/</t>
  </si>
  <si>
    <t>https://img01.ztat.net/article/ZL100874.jpg</t>
  </si>
  <si>
    <t>ZL100875</t>
  </si>
  <si>
    <t>https://www.zalando.de/patagonia-slim-fit-t-shirt---khaki-zl100875/</t>
  </si>
  <si>
    <t>https://img01.ztat.net/article/ZL100875.jpg</t>
  </si>
  <si>
    <t>ZL100876</t>
  </si>
  <si>
    <t>https://www.zalando.de/adidas-performance-basic-polo---navy-zl100876/</t>
  </si>
  <si>
    <t>https://img01.ztat.net/article/ZL100876.jpg</t>
  </si>
  <si>
    <t>ZL100877</t>
  </si>
  <si>
    <t>https://www.zalando.de/iriedaily-essential-t-shirt---white-zl100877/</t>
  </si>
  <si>
    <t>https://img01.ztat.net/article/ZL100877.jpg</t>
  </si>
  <si>
    <t>ZL100878</t>
  </si>
  <si>
    <t>https://www.zalando.de/tommy-hilfiger-slim-fit-t-shirt---anthracite-zl100878/</t>
  </si>
  <si>
    <t>https://img01.ztat.net/article/ZL100878.jpg</t>
  </si>
  <si>
    <t>ZL100879</t>
  </si>
  <si>
    <t>https://www.zalando.de/guess-regular-fit-polo---black-zl100879/</t>
  </si>
  <si>
    <t>https://img01.ztat.net/article/ZL100879.jpg</t>
  </si>
  <si>
    <t>ZL100880</t>
  </si>
  <si>
    <t>https://www.zalando.de/windsor.-essential-t-shirt---mint-zl100880/</t>
  </si>
  <si>
    <t>https://img01.ztat.net/article/ZL100880.jpg</t>
  </si>
  <si>
    <t>ZL100881</t>
  </si>
  <si>
    <t>https://www.zalando.de/van-laack-slim-fit-polo---grey-melange-zl100881/</t>
  </si>
  <si>
    <t>https://img01.ztat.net/article/ZL100881.jpg</t>
  </si>
  <si>
    <t>ZL100882</t>
  </si>
  <si>
    <t>https://www.zalando.de/puma-basic-polo---red-zl100882/</t>
  </si>
  <si>
    <t>https://img01.ztat.net/article/ZL100882.jpg</t>
  </si>
  <si>
    <t>ZL100883</t>
  </si>
  <si>
    <t>https://www.zalando.de/nn07-slim-fit-polo---navy-zl100883/</t>
  </si>
  <si>
    <t>https://img01.ztat.net/article/ZL100883.jpg</t>
  </si>
  <si>
    <t>ZL100884</t>
  </si>
  <si>
    <t>https://www.zalando.de/polo-ralph-lauren-essential-t-shirt---grey-melange-zl100884/</t>
  </si>
  <si>
    <t>https://img01.ztat.net/article/ZL100884.jpg</t>
  </si>
  <si>
    <t>ZL100885</t>
  </si>
  <si>
    <t>https://www.zalando.de/alpha-industries-print-polo---red-zl100885/</t>
  </si>
  <si>
    <t>https://img01.ztat.net/article/ZL100885.jpg</t>
  </si>
  <si>
    <t>ZL100886</t>
  </si>
  <si>
    <t>https://www.zalando.de/only-sons-basic-t-shirt---light-grey-zl100886/</t>
  </si>
  <si>
    <t>https://img01.ztat.net/article/ZL100886.jpg</t>
  </si>
  <si>
    <t>ZL100887</t>
  </si>
  <si>
    <t>https://www.zalando.de/nike-regular-fit-t-shirt---dark-blue-zl100887/</t>
  </si>
  <si>
    <t>https://img01.ztat.net/article/ZL100887.jpg</t>
  </si>
  <si>
    <t>ZL100888</t>
  </si>
  <si>
    <t>https://www.zalando.de/nike-slim-fit-t-shirt---red-zl100888/</t>
  </si>
  <si>
    <t>https://img01.ztat.net/article/ZL100888.jpg</t>
  </si>
  <si>
    <t>ZL100889</t>
  </si>
  <si>
    <t>https://www.zalando.de/puma-regular-fit-t-shirt---red-zl100889/</t>
  </si>
  <si>
    <t>https://img01.ztat.net/article/ZL100889.jpg</t>
  </si>
  <si>
    <t>ZL100890</t>
  </si>
  <si>
    <t>https://www.zalando.de/nike-regular-fit-t-shirt---off-white-zl100890/</t>
  </si>
  <si>
    <t>https://img01.ztat.net/article/ZL100890.jpg</t>
  </si>
  <si>
    <t>ZL100891</t>
  </si>
  <si>
    <t>https://www.zalando.de/pier-one-slim-fit-t-shirt---white-zl100891/</t>
  </si>
  <si>
    <t>https://img01.ztat.net/article/ZL100891.jpg</t>
  </si>
  <si>
    <t>ZL100892</t>
  </si>
  <si>
    <t>https://www.zalando.de/bershka-print-t-shirt---mint-zl100892/</t>
  </si>
  <si>
    <t>https://img01.ztat.net/article/ZL100892.jpg</t>
  </si>
  <si>
    <t>ZL100893</t>
  </si>
  <si>
    <t>https://www.zalando.de/nike-slim-fit-polo---dark-green-zl100893/</t>
  </si>
  <si>
    <t>https://img01.ztat.net/article/ZL100893.jpg</t>
  </si>
  <si>
    <t>ZL100894</t>
  </si>
  <si>
    <t>https://www.zalando.de/nike-print-polo---rust-zl100894/</t>
  </si>
  <si>
    <t>https://img01.ztat.net/article/ZL100894.jpg</t>
  </si>
  <si>
    <t>ZL100895</t>
  </si>
  <si>
    <t>https://www.zalando.de/tommy-hilfiger-print-polo---anthracite-zl100895/</t>
  </si>
  <si>
    <t>https://img01.ztat.net/article/ZL100895.jpg</t>
  </si>
  <si>
    <t>ZL100896</t>
  </si>
  <si>
    <t>https://www.zalando.de/guess-print-t-shirt---anthracite-zl100896/</t>
  </si>
  <si>
    <t>https://img01.ztat.net/article/ZL100896.jpg</t>
  </si>
  <si>
    <t>ZL100897</t>
  </si>
  <si>
    <t>https://www.zalando.de/puma-print-t-shirt---dark-blue-zl100897/</t>
  </si>
  <si>
    <t>https://img01.ztat.net/article/ZL100897.jpg</t>
  </si>
  <si>
    <t>ZL100898</t>
  </si>
  <si>
    <t>https://www.zalando.de/ben-sherman-print-polo---mint-zl100898/</t>
  </si>
  <si>
    <t>https://img01.ztat.net/article/ZL100898.jpg</t>
  </si>
  <si>
    <t>ZL100899</t>
  </si>
  <si>
    <t>https://www.zalando.de/cars-print-polo---grey-melange-zl100899/</t>
  </si>
  <si>
    <t>https://img01.ztat.net/article/ZL100899.jpg</t>
  </si>
  <si>
    <t>ZL100900</t>
  </si>
  <si>
    <t>https://www.zalando.de/nike-regular-fit-polo---rust-zl100900/</t>
  </si>
  <si>
    <t>https://img01.ztat.net/article/ZL100900.jpg</t>
  </si>
  <si>
    <t>ZL100901</t>
  </si>
  <si>
    <t>https://www.zalando.de/marc-o'polo-regular-fit-t-shirt---white-zl100901/</t>
  </si>
  <si>
    <t>https://img01.ztat.net/article/ZL100901.jpg</t>
  </si>
  <si>
    <t>ZL100902</t>
  </si>
  <si>
    <t>https://www.zalando.de/nike-regular-fit-polo---dark-blue-zl100902/</t>
  </si>
  <si>
    <t>https://img01.ztat.net/article/ZL100902.jpg</t>
  </si>
  <si>
    <t>ZL100903</t>
  </si>
  <si>
    <t>https://www.zalando.de/g-star-print-t-shirt---anthracite-zl100903/</t>
  </si>
  <si>
    <t>https://img01.ztat.net/article/ZL100903.jpg</t>
  </si>
  <si>
    <t>ZL100904</t>
  </si>
  <si>
    <t>https://www.zalando.de/q/s-designed-by-regular-fit-polo---mint-zl100904/</t>
  </si>
  <si>
    <t>https://img01.ztat.net/article/ZL100904.jpg</t>
  </si>
  <si>
    <t>ZL100905</t>
  </si>
  <si>
    <t>https://www.zalando.de/adidas-performance-basic-polo---mint-zl100905/</t>
  </si>
  <si>
    <t>https://img01.ztat.net/article/ZL100905.jpg</t>
  </si>
  <si>
    <t>ZL100906</t>
  </si>
  <si>
    <t>https://www.zalando.de/brixton-print-polo---olive-zl100906/</t>
  </si>
  <si>
    <t>https://img01.ztat.net/article/ZL100906.jpg</t>
  </si>
  <si>
    <t>ZL100907</t>
  </si>
  <si>
    <t>https://www.zalando.de/nn07-essential-t-shirt---mint-zl100907/</t>
  </si>
  <si>
    <t>https://img01.ztat.net/article/ZL100907.jpg</t>
  </si>
  <si>
    <t>ZL100908</t>
  </si>
  <si>
    <t>https://www.zalando.de/digel-print-t-shirt---olive-zl100908/</t>
  </si>
  <si>
    <t>https://img01.ztat.net/article/ZL100908.jpg</t>
  </si>
  <si>
    <t>ZL100909</t>
  </si>
  <si>
    <t>https://www.zalando.de/salomon-slim-fit-t-shirt---white-zl100909/</t>
  </si>
  <si>
    <t>https://img01.ztat.net/article/ZL100909.jpg</t>
  </si>
  <si>
    <t>ZL100910</t>
  </si>
  <si>
    <t>https://www.zalando.de/odlo-slim-fit-polo---grey-melange-zl100910/</t>
  </si>
  <si>
    <t>https://img01.ztat.net/article/ZL100910.jpg</t>
  </si>
  <si>
    <t>ZL100911</t>
  </si>
  <si>
    <t>https://www.zalando.de/shine-original-print-t-shirt---rust-zl100911/</t>
  </si>
  <si>
    <t>https://img01.ztat.net/article/ZL100911.jpg</t>
  </si>
  <si>
    <t>ZL100912</t>
  </si>
  <si>
    <t>https://www.zalando.de/anerkjendt-essential-t-shirt---olive-zl100912/</t>
  </si>
  <si>
    <t>https://img01.ztat.net/article/ZL100912.jpg</t>
  </si>
  <si>
    <t>ZL100913</t>
  </si>
  <si>
    <t>https://www.zalando.de/mazine-essential-polo---red-zl100913/</t>
  </si>
  <si>
    <t>https://img01.ztat.net/article/ZL100913.jpg</t>
  </si>
  <si>
    <t>ZL100914</t>
  </si>
  <si>
    <t>https://www.zalando.de/name-it-print-polo---royal-blue-zl100914/</t>
  </si>
  <si>
    <t>https://img01.ztat.net/article/ZL100914.jpg</t>
  </si>
  <si>
    <t>ZL100915</t>
  </si>
  <si>
    <t>https://www.zalando.de/tommy-hilfiger-print-t-shirt---dark-green-zl100915/</t>
  </si>
  <si>
    <t>https://img01.ztat.net/article/ZL100915.jpg</t>
  </si>
  <si>
    <t>ZL100916</t>
  </si>
  <si>
    <t>https://www.zalando.de/levi's-essential-t-shirt---dark-green-zl100916/</t>
  </si>
  <si>
    <t>https://img01.ztat.net/article/ZL100916.jpg</t>
  </si>
  <si>
    <t>ZL100917</t>
  </si>
  <si>
    <t>https://www.zalando.de/solid-homme-basic-polo---royal-blue-zl100917/</t>
  </si>
  <si>
    <t>https://img01.ztat.net/article/ZL100917.jpg</t>
  </si>
  <si>
    <t>ZL100918</t>
  </si>
  <si>
    <t>https://www.zalando.de/mango-man-regular-fit-polo---navy-zl100918/</t>
  </si>
  <si>
    <t>https://img01.ztat.net/article/ZL100918.jpg</t>
  </si>
  <si>
    <t>ZL100919</t>
  </si>
  <si>
    <t>https://www.zalando.de/salomon-essential-t-shirt---beige-zl100919/</t>
  </si>
  <si>
    <t>https://img01.ztat.net/article/ZL100919.jpg</t>
  </si>
  <si>
    <t>ZL100920</t>
  </si>
  <si>
    <t>https://www.zalando.de/tommy-hilfiger-regular-fit-t-shirt---navy-zl100920/</t>
  </si>
  <si>
    <t>https://img01.ztat.net/article/ZL100920.jpg</t>
  </si>
  <si>
    <t>ZL100921</t>
  </si>
  <si>
    <t>https://www.zalando.de/tiger-of-sweden-slim-fit-t-shirt---denim-blue-zl100921/</t>
  </si>
  <si>
    <t>https://img01.ztat.net/article/ZL100921.jpg</t>
  </si>
  <si>
    <t>ZL100922</t>
  </si>
  <si>
    <t>https://www.zalando.de/under-armour-slim-fit-t-shirt---black-zl100922/</t>
  </si>
  <si>
    <t>https://img01.ztat.net/article/ZL100922.jpg</t>
  </si>
  <si>
    <t>ZL100923</t>
  </si>
  <si>
    <t>https://www.zalando.de/topman-basic-polo---rust-zl100923/</t>
  </si>
  <si>
    <t>https://img01.ztat.net/article/ZL100923.jpg</t>
  </si>
  <si>
    <t>ZL100924</t>
  </si>
  <si>
    <t>https://www.zalando.de/element-essential-t-shirt---light-grey-zl100924/</t>
  </si>
  <si>
    <t>https://img01.ztat.net/article/ZL100924.jpg</t>
  </si>
  <si>
    <t>ZL100925</t>
  </si>
  <si>
    <t>https://www.zalando.de/j.lindeberg-regular-fit-polo---light-grey-zl100925/</t>
  </si>
  <si>
    <t>https://img01.ztat.net/article/ZL100925.jpg</t>
  </si>
  <si>
    <t>ZL100926</t>
  </si>
  <si>
    <t>https://www.zalando.de/tommy-hilfiger-slim-fit-t-shirt---royal-blue-zl100926/</t>
  </si>
  <si>
    <t>https://img01.ztat.net/article/ZL100926.jpg</t>
  </si>
  <si>
    <t>ZL100927</t>
  </si>
  <si>
    <t>https://www.zalando.de/replay-regular-fit-t-shirt---mint-zl100927/</t>
  </si>
  <si>
    <t>https://img01.ztat.net/article/ZL100927.jpg</t>
  </si>
  <si>
    <t>ZL100928</t>
  </si>
  <si>
    <t>https://www.zalando.de/produkt-essential-t-shirt---black-zl100928/</t>
  </si>
  <si>
    <t>https://img01.ztat.net/article/ZL100928.jpg</t>
  </si>
  <si>
    <t>ZL100929</t>
  </si>
  <si>
    <t>https://www.zalando.de/nike-sb-slim-fit-polo---dark-green-zl100929/</t>
  </si>
  <si>
    <t>https://img01.ztat.net/article/ZL100929.jpg</t>
  </si>
  <si>
    <t>ZL100930</t>
  </si>
  <si>
    <t>https://www.zalando.de/adidas-performance-basic-polo---off-white-zl100930/</t>
  </si>
  <si>
    <t>https://img01.ztat.net/article/ZL100930.jpg</t>
  </si>
  <si>
    <t>ZL100931</t>
  </si>
  <si>
    <t>https://www.zalando.de/adidas-performance-basic-polo---anthracite-zl100931/</t>
  </si>
  <si>
    <t>https://img01.ztat.net/article/ZL100931.jpg</t>
  </si>
  <si>
    <t>ZL100932</t>
  </si>
  <si>
    <t>https://www.zalando.de/gap-print-t-shirt---rust-zl100932/</t>
  </si>
  <si>
    <t>https://img01.ztat.net/article/ZL100932.jpg</t>
  </si>
  <si>
    <t>ZL100933</t>
  </si>
  <si>
    <t>https://www.zalando.de/element-print-t-shirt---red-zl100933/</t>
  </si>
  <si>
    <t>https://img01.ztat.net/article/ZL100933.jpg</t>
  </si>
  <si>
    <t>ZL100934</t>
  </si>
  <si>
    <t>https://www.zalando.de/mango-man-slim-fit-t-shirt---beige-zl100934/</t>
  </si>
  <si>
    <t>https://img01.ztat.net/article/ZL100934.jpg</t>
  </si>
  <si>
    <t>ZL100935</t>
  </si>
  <si>
    <t>https://www.zalando.de/nike-essential-polo---bordeaux-zl100935/</t>
  </si>
  <si>
    <t>https://img01.ztat.net/article/ZL100935.jpg</t>
  </si>
  <si>
    <t>ZL100936</t>
  </si>
  <si>
    <t>https://www.zalando.de/new-look-basic-t-shirt---olive-zl100936/</t>
  </si>
  <si>
    <t>https://img01.ztat.net/article/ZL100936.jpg</t>
  </si>
  <si>
    <t>ZL100937</t>
  </si>
  <si>
    <t>https://www.zalando.de/produkt-basic-polo---bordeaux-zl100937/</t>
  </si>
  <si>
    <t>https://img01.ztat.net/article/ZL100937.jpg</t>
  </si>
  <si>
    <t>ZL100938</t>
  </si>
  <si>
    <t>https://www.zalando.de/icebreaker-slim-fit-polo---anthracite-zl100938/</t>
  </si>
  <si>
    <t>https://img01.ztat.net/article/ZL100938.jpg</t>
  </si>
  <si>
    <t>ZL100939</t>
  </si>
  <si>
    <t>https://www.zalando.de/nike-print-polo---navy-zl100939/</t>
  </si>
  <si>
    <t>https://img01.ztat.net/article/ZL100939.jpg</t>
  </si>
  <si>
    <t>ZL100940</t>
  </si>
  <si>
    <t>https://www.zalando.de/nike-basic-t-shirt---grey-melange-zl100940/</t>
  </si>
  <si>
    <t>https://img01.ztat.net/article/ZL100940.jpg</t>
  </si>
  <si>
    <t>ZL100941</t>
  </si>
  <si>
    <t>https://www.zalando.de/gant-essential-polo---grey-melange-zl100941/</t>
  </si>
  <si>
    <t>https://img01.ztat.net/article/ZL100941.jpg</t>
  </si>
  <si>
    <t>ZL100942</t>
  </si>
  <si>
    <t>https://www.zalando.de/knowledge-cotton-apparel-basic-polo---dark-blue-zl100942/</t>
  </si>
  <si>
    <t>https://img01.ztat.net/article/ZL100942.jpg</t>
  </si>
  <si>
    <t>ZL100943</t>
  </si>
  <si>
    <t>https://www.zalando.de/puma-essential-polo---denim-blue-zl100943/</t>
  </si>
  <si>
    <t>https://img01.ztat.net/article/ZL100943.jpg</t>
  </si>
  <si>
    <t>ZL100944</t>
  </si>
  <si>
    <t>https://www.zalando.de/nike-essential-t-shirt---bordeaux-zl100944/</t>
  </si>
  <si>
    <t>https://img01.ztat.net/article/ZL100944.jpg</t>
  </si>
  <si>
    <t>ZL100945</t>
  </si>
  <si>
    <t>https://www.zalando.de/puma-slim-fit-t-shirt---olive-zl100945/</t>
  </si>
  <si>
    <t>https://img01.ztat.net/article/ZL100945.jpg</t>
  </si>
  <si>
    <t>ZL100946</t>
  </si>
  <si>
    <t>https://www.zalando.de/reebok-slim-fit-polo---denim-blue-zl100946/</t>
  </si>
  <si>
    <t>https://img01.ztat.net/article/ZL100946.jpg</t>
  </si>
  <si>
    <t>ZL100947</t>
  </si>
  <si>
    <t>https://www.zalando.de/bruuns-bazaar-regular-fit-polo---rust-zl100947/</t>
  </si>
  <si>
    <t>https://img01.ztat.net/article/ZL100947.jpg</t>
  </si>
  <si>
    <t>ZL100948</t>
  </si>
  <si>
    <t>https://www.zalando.de/shine-slim-fit-t-shirt---white-zl100948/</t>
  </si>
  <si>
    <t>https://img01.ztat.net/article/ZL100948.jpg</t>
  </si>
  <si>
    <t>ZL100949</t>
  </si>
  <si>
    <t>https://www.zalando.de/björn-borg-essential-polo---dark-blue-zl100949/</t>
  </si>
  <si>
    <t>https://img01.ztat.net/article/ZL100949.jpg</t>
  </si>
  <si>
    <t>ZL100950</t>
  </si>
  <si>
    <t>https://www.zalando.de/napapijri-basic-t-shirt---dark-green-zl100950/</t>
  </si>
  <si>
    <t>https://img01.ztat.net/article/ZL100950.jpg</t>
  </si>
  <si>
    <t>ZL100951</t>
  </si>
  <si>
    <t>https://www.zalando.de/jack-jones-junior-slim-fit-t-shirt---khaki-zl100951/</t>
  </si>
  <si>
    <t>https://img01.ztat.net/article/ZL100951.jpg</t>
  </si>
  <si>
    <t>ZL100952</t>
  </si>
  <si>
    <t>https://www.zalando.de/nike-print-polo---red-zl100952/</t>
  </si>
  <si>
    <t>https://img01.ztat.net/article/ZL100952.jpg</t>
  </si>
  <si>
    <t>ZL100953</t>
  </si>
  <si>
    <t>https://www.zalando.de/produkt-basic-polo---red-zl100953/</t>
  </si>
  <si>
    <t>https://img01.ztat.net/article/ZL100953.jpg</t>
  </si>
  <si>
    <t>ZL100954</t>
  </si>
  <si>
    <t>https://www.zalando.de/redefined-rebel-basic-t-shirt---black-zl100954/</t>
  </si>
  <si>
    <t>https://img01.ztat.net/article/ZL100954.jpg</t>
  </si>
  <si>
    <t>ZL100955</t>
  </si>
  <si>
    <t>https://www.zalando.de/cars-basic-t-shirt---rust-zl100955/</t>
  </si>
  <si>
    <t>https://img01.ztat.net/article/ZL100955.jpg</t>
  </si>
  <si>
    <t>ZL100956</t>
  </si>
  <si>
    <t>https://www.zalando.de/nike-basic-polo---grey-melange-zl100956/</t>
  </si>
  <si>
    <t>https://img01.ztat.net/article/ZL100956.jpg</t>
  </si>
  <si>
    <t>ZL100957</t>
  </si>
  <si>
    <t>https://www.zalando.de/guess-regular-fit-polo---dark-blue-zl100957/</t>
  </si>
  <si>
    <t>https://img01.ztat.net/article/ZL100957.jpg</t>
  </si>
  <si>
    <t>ZL100958</t>
  </si>
  <si>
    <t>https://www.zalando.de/element-basic-t-shirt---khaki-zl100958/</t>
  </si>
  <si>
    <t>https://img01.ztat.net/article/ZL100958.jpg</t>
  </si>
  <si>
    <t>ZL100959</t>
  </si>
  <si>
    <t>https://www.zalando.de/celio-regular-fit-polo---dark-green-zl100959/</t>
  </si>
  <si>
    <t>https://img01.ztat.net/article/ZL100959.jpg</t>
  </si>
  <si>
    <t>ZL100960</t>
  </si>
  <si>
    <t>https://www.zalando.de/cross-jeans-regular-fit-t-shirt---navy-zl100960/</t>
  </si>
  <si>
    <t>https://img01.ztat.net/article/ZL100960.jpg</t>
  </si>
  <si>
    <t>ZL100961</t>
  </si>
  <si>
    <t>https://www.zalando.de/cmp-essential-t-shirt---bordeaux-zl100961/</t>
  </si>
  <si>
    <t>https://img01.ztat.net/article/ZL100961.jpg</t>
  </si>
  <si>
    <t>ZL100962</t>
  </si>
  <si>
    <t>https://www.zalando.de/adidas-performance-slim-fit-polo---off-white-zl100962/</t>
  </si>
  <si>
    <t>https://img01.ztat.net/article/ZL100962.jpg</t>
  </si>
  <si>
    <t>ZL100963</t>
  </si>
  <si>
    <t>https://www.zalando.de/jack-jones-junior-basic-polo---olive-zl100963/</t>
  </si>
  <si>
    <t>https://img01.ztat.net/article/ZL100963.jpg</t>
  </si>
  <si>
    <t>ZL100964</t>
  </si>
  <si>
    <t>https://www.zalando.de/nudie-jeans-slim-fit-polo---off-white-zl100964/</t>
  </si>
  <si>
    <t>https://img01.ztat.net/article/ZL100964.jpg</t>
  </si>
  <si>
    <t>ZL100965</t>
  </si>
  <si>
    <t>https://www.zalando.de/adidas-performance-print-t-shirt---rust-zl100965/</t>
  </si>
  <si>
    <t>https://img01.ztat.net/article/ZL100965.jpg</t>
  </si>
  <si>
    <t>ZL100966</t>
  </si>
  <si>
    <t>https://www.zalando.de/tommy-hilfiger-regular-fit-polo---rust-zl100966/</t>
  </si>
  <si>
    <t>https://img01.ztat.net/article/ZL100966.jpg</t>
  </si>
  <si>
    <t>ZL100967</t>
  </si>
  <si>
    <t>https://www.zalando.de/under-armour-basic-polo---off-white-zl100967/</t>
  </si>
  <si>
    <t>https://img01.ztat.net/article/ZL100967.jpg</t>
  </si>
  <si>
    <t>ZL100968</t>
  </si>
  <si>
    <t>https://www.zalando.de/jack-jones-junior-regular-fit-polo---beige-zl100968/</t>
  </si>
  <si>
    <t>https://img01.ztat.net/article/ZL100968.jpg</t>
  </si>
  <si>
    <t>ZL100969</t>
  </si>
  <si>
    <t>https://www.zalando.de/blend-she-print-t-shirt---mint-zl100969/</t>
  </si>
  <si>
    <t>https://img01.ztat.net/article/ZL100969.jpg</t>
  </si>
  <si>
    <t>ZL100970</t>
  </si>
  <si>
    <t>https://www.zalando.de/ea7-emporio-armani-regular-fit-polo---dark-blue-zl100970/</t>
  </si>
  <si>
    <t>https://img01.ztat.net/article/ZL100970.jpg</t>
  </si>
  <si>
    <t>ZL100971</t>
  </si>
  <si>
    <t>https://www.zalando.de/calvin-klein-print-polo---dark-green-zl100971/</t>
  </si>
  <si>
    <t>https://img01.ztat.net/article/ZL100971.jpg</t>
  </si>
  <si>
    <t>ZL100972</t>
  </si>
  <si>
    <t>https://www.zalando.de/carhartt-wip-basic-t-shirt---beige-zl100972/</t>
  </si>
  <si>
    <t>https://img01.ztat.net/article/ZL100972.jpg</t>
  </si>
  <si>
    <t>ZL100973</t>
  </si>
  <si>
    <t>https://www.zalando.de/barbour-basic-t-shirt---khaki-zl100973/</t>
  </si>
  <si>
    <t>https://img01.ztat.net/article/ZL100973.jpg</t>
  </si>
  <si>
    <t>ZL100974</t>
  </si>
  <si>
    <t>https://www.zalando.de/adidas-performance-print-polo---off-white-zl100974/</t>
  </si>
  <si>
    <t>https://img01.ztat.net/article/ZL100974.jpg</t>
  </si>
  <si>
    <t>ZL100975</t>
  </si>
  <si>
    <t>https://www.zalando.de/guess-essential-t-shirt---royal-blue-zl100975/</t>
  </si>
  <si>
    <t>https://img01.ztat.net/article/ZL100975.jpg</t>
  </si>
  <si>
    <t>ZL100976</t>
  </si>
  <si>
    <t>https://www.zalando.de/fila-print-polo---black-zl100976/</t>
  </si>
  <si>
    <t>https://img01.ztat.net/article/ZL100976.jpg</t>
  </si>
  <si>
    <t>ZL100977</t>
  </si>
  <si>
    <t>https://www.zalando.de/tommy-hilfiger-slim-fit-t-shirt---off-white-zl100977/</t>
  </si>
  <si>
    <t>https://img01.ztat.net/article/ZL100977.jpg</t>
  </si>
  <si>
    <t>ZL100978</t>
  </si>
  <si>
    <t>https://www.zalando.de/ellesse-print-t-shirt---olive-zl100978/</t>
  </si>
  <si>
    <t>https://img01.ztat.net/article/ZL100978.jpg</t>
  </si>
  <si>
    <t>ZL100979</t>
  </si>
  <si>
    <t>https://www.zalando.de/fila-basic-t-shirt---light-grey-zl100979/</t>
  </si>
  <si>
    <t>https://img01.ztat.net/article/ZL100979.jpg</t>
  </si>
  <si>
    <t>ZL100980</t>
  </si>
  <si>
    <t>https://www.zalando.de/j.lindeberg-basic-polo---olive-zl100980/</t>
  </si>
  <si>
    <t>https://img01.ztat.net/article/ZL100980.jpg</t>
  </si>
  <si>
    <t>ZL100981</t>
  </si>
  <si>
    <t>https://www.zalando.de/patagonia-print-t-shirt---mint-zl100981/</t>
  </si>
  <si>
    <t>https://img01.ztat.net/article/ZL100981.jpg</t>
  </si>
  <si>
    <t>ZL100982</t>
  </si>
  <si>
    <t>https://www.zalando.de/björn-borg-regular-fit-t-shirt---royal-blue-zl100982/</t>
  </si>
  <si>
    <t>https://img01.ztat.net/article/ZL100982.jpg</t>
  </si>
  <si>
    <t>ZL100983</t>
  </si>
  <si>
    <t>https://www.zalando.de/patagonia-basic-t-shirt---black-zl100983/</t>
  </si>
  <si>
    <t>https://img01.ztat.net/article/ZL100983.jpg</t>
  </si>
  <si>
    <t>ZL100984</t>
  </si>
  <si>
    <t>https://www.zalando.de/salomon-print-polo---khaki-zl100984/</t>
  </si>
  <si>
    <t>https://img01.ztat.net/article/ZL100984.jpg</t>
  </si>
  <si>
    <t>ZL100985</t>
  </si>
  <si>
    <t>https://www.zalando.de/nike-essential-polo---royal-blue-zl100985/</t>
  </si>
  <si>
    <t>https://img01.ztat.net/article/ZL100985.jpg</t>
  </si>
  <si>
    <t>ZL100986</t>
  </si>
  <si>
    <t>https://www.zalando.de/brixton-essential-t-shirt---dark-blue-zl100986/</t>
  </si>
  <si>
    <t>https://img01.ztat.net/article/ZL100986.jpg</t>
  </si>
  <si>
    <t>ZL100987</t>
  </si>
  <si>
    <t>https://www.zalando.de/adidas-performance-basic-t-shirt---grey-melange-zl100987/</t>
  </si>
  <si>
    <t>https://img01.ztat.net/article/ZL100987.jpg</t>
  </si>
  <si>
    <t>ZL100988</t>
  </si>
  <si>
    <t>https://www.zalando.de/weekday-slim-fit-t-shirt---white-zl100988/</t>
  </si>
  <si>
    <t>https://img01.ztat.net/article/ZL100988.jpg</t>
  </si>
  <si>
    <t>ZL100989</t>
  </si>
  <si>
    <t>https://www.zalando.de/calvin-klein-print-polo---grey-melange-zl100989/</t>
  </si>
  <si>
    <t>https://img01.ztat.net/article/ZL100989.jpg</t>
  </si>
  <si>
    <t>ZL100990</t>
  </si>
  <si>
    <t>https://www.zalando.de/adidas-performance-regular-fit-t-shirt---dark-blue-zl100990/</t>
  </si>
  <si>
    <t>https://img01.ztat.net/article/ZL100990.jpg</t>
  </si>
  <si>
    <t>ZL100991</t>
  </si>
  <si>
    <t>https://www.zalando.de/only-and-sons-essential-polo---denim-blue-zl100991/</t>
  </si>
  <si>
    <t>https://img01.ztat.net/article/ZL100991.jpg</t>
  </si>
  <si>
    <t>ZL100992</t>
  </si>
  <si>
    <t>https://www.zalando.de/timberland-slim-fit-polo---khaki-zl100992/</t>
  </si>
  <si>
    <t>https://img01.ztat.net/article/ZL100992.jpg</t>
  </si>
  <si>
    <t>ZL100993</t>
  </si>
  <si>
    <t>https://www.zalando.de/yourturn-regular-fit-polo---off-white-zl100993/</t>
  </si>
  <si>
    <t>https://img01.ztat.net/article/ZL100993.jpg</t>
  </si>
  <si>
    <t>ZL100994</t>
  </si>
  <si>
    <t>https://www.zalando.de/j.lindeberg-essential-t-shirt---white-zl100994/</t>
  </si>
  <si>
    <t>https://img01.ztat.net/article/ZL100994.jpg</t>
  </si>
  <si>
    <t>ZL100995</t>
  </si>
  <si>
    <t>https://www.zalando.de/mango-man-slim-fit-t-shirt---white-zl100995/</t>
  </si>
  <si>
    <t>https://img01.ztat.net/article/ZL100995.jpg</t>
  </si>
  <si>
    <t>ZL100996</t>
  </si>
  <si>
    <t>https://www.zalando.de/element-essential-polo---navy-zl100996/</t>
  </si>
  <si>
    <t>https://img01.ztat.net/article/ZL100996.jpg</t>
  </si>
  <si>
    <t>ZL100997</t>
  </si>
  <si>
    <t>https://www.zalando.de/anthracite-slim-fit-t-shirt---royal-blue-zl100997/</t>
  </si>
  <si>
    <t>https://img01.ztat.net/article/ZL100997.jpg</t>
  </si>
  <si>
    <t>ZL100998</t>
  </si>
  <si>
    <t>https://www.zalando.de/pier-1-essential-polo---khaki-zl100998/</t>
  </si>
  <si>
    <t>https://img01.ztat.net/article/ZL100998.jpg</t>
  </si>
  <si>
    <t>Sku</t>
  </si>
  <si>
    <t>Product_url</t>
  </si>
  <si>
    <t>Brand</t>
  </si>
  <si>
    <t>Product_name</t>
  </si>
  <si>
    <t>Category</t>
  </si>
  <si>
    <t>Subcategory</t>
  </si>
  <si>
    <t>Subsubcategory</t>
  </si>
  <si>
    <t>Color</t>
  </si>
  <si>
    <t>Size_range</t>
  </si>
  <si>
    <t>Price_retail</t>
  </si>
  <si>
    <t>Price_current</t>
  </si>
  <si>
    <t>Price_label</t>
  </si>
  <si>
    <t>Currency</t>
  </si>
  <si>
    <t>Sort_by_ranking</t>
  </si>
  <si>
    <t>Rating</t>
  </si>
  <si>
    <t>Reviews_count</t>
  </si>
  <si>
    <t>Promotion</t>
  </si>
  <si>
    <t>Sku_variant</t>
  </si>
  <si>
    <t>In_stock</t>
  </si>
  <si>
    <t>Scan_date</t>
  </si>
  <si>
    <t>Image_url</t>
  </si>
  <si>
    <t/>
  </si>
  <si>
    <t>S</t>
  </si>
  <si>
    <t>Regular Price</t>
  </si>
  <si>
    <t>0</t>
  </si>
  <si>
    <t>XS</t>
  </si>
  <si>
    <t>Adidas Performance</t>
  </si>
  <si>
    <t>M</t>
  </si>
  <si>
    <t>Adidas Originals</t>
  </si>
  <si>
    <t>Essential Polo - Off White</t>
  </si>
  <si>
    <t>Name It</t>
  </si>
  <si>
    <t>Basic Polo - Beige</t>
  </si>
  <si>
    <t>Van Laack</t>
  </si>
  <si>
    <t>Gap</t>
  </si>
  <si>
    <t>Essential T-Shirt - Grey Melange</t>
  </si>
  <si>
    <t>Regular Fit Polo - Mint</t>
  </si>
  <si>
    <t>Boss Orange</t>
  </si>
  <si>
    <t>Celio</t>
  </si>
  <si>
    <t>Carhartt Wip</t>
  </si>
  <si>
    <t>Yourturn</t>
  </si>
  <si>
    <t>Basic Polo - White</t>
  </si>
  <si>
    <t>Timberland Pro</t>
  </si>
  <si>
    <t>Mango Man</t>
  </si>
  <si>
    <t>Slim Fit Polo - Bordeaux</t>
  </si>
  <si>
    <t>Ltb</t>
  </si>
  <si>
    <t>Olymp</t>
  </si>
  <si>
    <t>Ea7 Emporio Armani</t>
  </si>
  <si>
    <t>Regular Fit T-Shirt - Anthracite</t>
  </si>
  <si>
    <t>Print Polo - Rust</t>
  </si>
  <si>
    <t>Q/S Designed By</t>
  </si>
  <si>
    <t>Basic Polo - Bordeaux</t>
  </si>
  <si>
    <t>Tiger Of Sweden</t>
  </si>
  <si>
    <t>Joop!</t>
  </si>
  <si>
    <t>Regular Fit Polo - White</t>
  </si>
  <si>
    <t>Regular Fit Polo - Dark Green</t>
  </si>
  <si>
    <t>Nike Sb</t>
  </si>
  <si>
    <t>Regular Fit Polo - Bordeaux</t>
  </si>
  <si>
    <t>Slim Fit Polo - Dark Green</t>
  </si>
  <si>
    <t>Indicode Jeans</t>
  </si>
  <si>
    <t>Regular Fit T-Shirt - Royal Blue</t>
  </si>
  <si>
    <t>Essential T-Shirt - Khaki</t>
  </si>
  <si>
    <t>Slim Fit Polo - Dark Blue</t>
  </si>
  <si>
    <t>Cmp</t>
  </si>
  <si>
    <t>Print T-Shirt - Dark Green</t>
  </si>
  <si>
    <t>Slim Fit T-Shirt - Beige</t>
  </si>
  <si>
    <t>Jack &amp; Jones Junior</t>
  </si>
  <si>
    <t>Jack &amp; Jones Plus</t>
  </si>
  <si>
    <t>Discount</t>
  </si>
  <si>
    <t>Discount Level</t>
  </si>
  <si>
    <t>Count Discounted Products</t>
  </si>
  <si>
    <t>What is the average, minimum, and maximum current price per brand?</t>
  </si>
  <si>
    <t>Row Labels</t>
  </si>
  <si>
    <t>Grand Total</t>
  </si>
  <si>
    <t>Column1</t>
  </si>
  <si>
    <t>Max Retail Price</t>
  </si>
  <si>
    <t>Min Retail Price</t>
  </si>
  <si>
    <t>Average Reteil Price</t>
  </si>
  <si>
    <t>Which 10 products have the largest absolute price drop ?</t>
  </si>
  <si>
    <t>Number Of Product</t>
  </si>
  <si>
    <t>How many products does each brand have listed? Which brand has the most SKUs?</t>
  </si>
  <si>
    <t>Number of Sku</t>
  </si>
  <si>
    <t> Average retail price</t>
  </si>
  <si>
    <t>Percentage of Product</t>
  </si>
  <si>
    <t>Number of Products</t>
  </si>
  <si>
    <t>Revenue</t>
  </si>
  <si>
    <t>What is the total revenue potential per brand?</t>
  </si>
  <si>
    <t>Product name</t>
  </si>
  <si>
    <t>Current Price</t>
  </si>
  <si>
    <t>Sku </t>
  </si>
  <si>
    <t>Average Price</t>
  </si>
  <si>
    <t>Product</t>
  </si>
  <si>
    <r>
      <rPr>
        <b/>
        <sz val="8"/>
        <color rgb="FF1F2328"/>
        <rFont val="Segoe UI"/>
        <family val="2"/>
      </rPr>
      <t> Product count and average price by </t>
    </r>
    <r>
      <rPr>
        <b/>
        <sz val="7"/>
        <color rgb="FF1F2328"/>
        <rFont val="Consolas"/>
        <family val="3"/>
      </rPr>
      <t>SUBCATEGORY</t>
    </r>
    <r>
      <rPr>
        <b/>
        <sz val="8"/>
        <color rgb="FF1F2328"/>
        <rFont val="Segoe UI"/>
        <family val="2"/>
      </rPr>
      <t> and </t>
    </r>
    <r>
      <rPr>
        <b/>
        <sz val="7"/>
        <color rgb="FF1F2328"/>
        <rFont val="Consolas"/>
        <family val="3"/>
      </rPr>
      <t>SUBSUBCATEGORY</t>
    </r>
    <r>
      <rPr>
        <b/>
        <sz val="8"/>
        <color rgb="FF1F2328"/>
        <rFont val="Segoe UI"/>
        <family val="2"/>
      </rPr>
      <t>.</t>
    </r>
  </si>
  <si>
    <t>Basic Procut Name</t>
  </si>
  <si>
    <t>Price range</t>
  </si>
  <si>
    <t>Price Distribution</t>
  </si>
  <si>
    <t>0–15</t>
  </si>
  <si>
    <t>15-30</t>
  </si>
  <si>
    <t>30-50</t>
  </si>
  <si>
    <t>&gt;50</t>
  </si>
  <si>
    <t>Total Order</t>
  </si>
  <si>
    <t>Discount &gt;30%</t>
  </si>
  <si>
    <t>How many products fall into each price band: €0–15, €15–30, €30–50, €50+?</t>
  </si>
  <si>
    <t>For each brand, how many products have a discount greater than 30%?</t>
  </si>
  <si>
    <t>SKU and return the product name, brand, and current 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</si>
</sst>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9" formatCode="#,##0.0\ &quot;€&quot;"/>
    <numFmt numFmtId="170" formatCode="0.0"/>
  </numFmts>
  <fonts count="1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8"/>
      <color rgb="FF1F2328"/>
      <name val="Segoe UI"/>
      <family val="2"/>
    </font>
    <font>
      <b/>
      <sz val="8"/>
      <color rgb="FF1F2328"/>
      <name val="Segoe UI"/>
      <family val="2"/>
    </font>
    <font>
      <sz val="8"/>
      <name val="Calibri"/>
      <family val="2"/>
      <charset val="1"/>
    </font>
    <font>
      <b/>
      <sz val="9"/>
      <color rgb="FF1F2328"/>
      <name val="Segoe UI"/>
      <family val="2"/>
    </font>
    <font>
      <b/>
      <sz val="7"/>
      <color rgb="FF1F2328"/>
      <name val="Consolas"/>
      <family val="3"/>
    </font>
    <font>
      <b/>
      <sz val="11"/>
      <color theme="1"/>
      <name val="Calibri"/>
      <family val="2"/>
    </font>
    <font>
      <sz val="12"/>
      <color rgb="FF1F2328"/>
      <name val="Calibri"/>
      <family val="2"/>
      <scheme val="minor"/>
    </font>
    <font>
      <b/>
      <sz val="14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23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  <xf numFmtId="14" fontId="0" fillId="2" borderId="0" xfId="0" applyNumberFormat="1" applyFill="1"/>
    <xf numFmtId="164" fontId="1" fillId="0" borderId="0" xfId="1" applyNumberFormat="1"/>
    <xf numFmtId="164" fontId="1" fillId="2" borderId="0" xfId="1" applyNumberFormat="1" applyFill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70" fontId="0" fillId="0" borderId="0" xfId="0" applyNumberFormat="1"/>
    <xf numFmtId="10" fontId="0" fillId="0" borderId="0" xfId="0" applyNumberFormat="1"/>
    <xf numFmtId="0" fontId="5" fillId="0" borderId="0" xfId="0" applyFont="1"/>
    <xf numFmtId="2" fontId="0" fillId="0" borderId="0" xfId="0" applyNumberFormat="1"/>
    <xf numFmtId="0" fontId="0" fillId="0" borderId="0" xfId="0" applyAlignment="1">
      <alignment horizontal="left" indent="1"/>
    </xf>
    <xf numFmtId="0" fontId="1" fillId="2" borderId="0" xfId="0" applyNumberFormat="1" applyFont="1" applyFill="1"/>
    <xf numFmtId="0" fontId="7" fillId="0" borderId="0" xfId="0" applyFont="1"/>
    <xf numFmtId="0" fontId="0" fillId="2" borderId="1" xfId="0" applyNumberFormat="1" applyFont="1" applyFill="1" applyBorder="1"/>
    <xf numFmtId="0" fontId="8" fillId="0" borderId="0" xfId="0" applyFont="1"/>
    <xf numFmtId="0" fontId="9" fillId="0" borderId="0" xfId="0" applyFont="1"/>
    <xf numFmtId="164" fontId="1" fillId="3" borderId="0" xfId="1" applyNumberFormat="1" applyFill="1"/>
  </cellXfs>
  <cellStyles count="2">
    <cellStyle name="Normal" xfId="0" builtinId="0"/>
    <cellStyle name="Percent" xfId="1" builtinId="5"/>
  </cellStyles>
  <dxfs count="83">
    <dxf>
      <font>
        <color rgb="FFC00000"/>
      </font>
    </dxf>
    <dxf>
      <numFmt numFmtId="164" formatCode="0.0%"/>
      <fill>
        <patternFill patternType="solid">
          <fgColor indexed="64"/>
          <bgColor theme="3" tint="0.79998168889431442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0.0%"/>
      <fill>
        <patternFill patternType="solid">
          <fgColor indexed="64"/>
          <bgColor theme="0"/>
        </patternFill>
      </fill>
    </dxf>
    <dxf>
      <numFmt numFmtId="164" formatCode="0.0%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4" formatCode="0.0%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64" formatCode="0.0%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Brands by Number of Products Listed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Brand!$N$8</c:f>
              <c:strCache>
                <c:ptCount val="1"/>
                <c:pt idx="0">
                  <c:v>Number of Products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Brand!$M$9:$M$18</c:f>
              <c:strCache>
                <c:ptCount val="10"/>
                <c:pt idx="0">
                  <c:v>Nike</c:v>
                </c:pt>
                <c:pt idx="1">
                  <c:v>Adidas Performance</c:v>
                </c:pt>
                <c:pt idx="2">
                  <c:v>Tommy Hilfiger</c:v>
                </c:pt>
                <c:pt idx="3">
                  <c:v>Only &amp; Sons</c:v>
                </c:pt>
                <c:pt idx="4">
                  <c:v>Cars Jeans</c:v>
                </c:pt>
                <c:pt idx="5">
                  <c:v>Calvin Klein</c:v>
                </c:pt>
                <c:pt idx="6">
                  <c:v>Produkt</c:v>
                </c:pt>
                <c:pt idx="7">
                  <c:v>Anerkjendt</c:v>
                </c:pt>
                <c:pt idx="8">
                  <c:v>Salomon</c:v>
                </c:pt>
                <c:pt idx="9">
                  <c:v>Jack &amp; Jones Junior</c:v>
                </c:pt>
              </c:strCache>
            </c:strRef>
          </c:cat>
          <c:val>
            <c:numRef>
              <c:f>Brand!$N$9:$N$18</c:f>
              <c:numCache>
                <c:formatCode>General</c:formatCode>
                <c:ptCount val="10"/>
                <c:pt idx="0">
                  <c:v>100</c:v>
                </c:pt>
                <c:pt idx="1">
                  <c:v>75</c:v>
                </c:pt>
                <c:pt idx="2">
                  <c:v>62</c:v>
                </c:pt>
                <c:pt idx="3">
                  <c:v>27</c:v>
                </c:pt>
                <c:pt idx="4">
                  <c:v>23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18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CB-490F-B6E1-3E4AB6900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8095551"/>
        <c:axId val="808112831"/>
      </c:barChart>
      <c:catAx>
        <c:axId val="80809555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08112831"/>
        <c:crosses val="autoZero"/>
        <c:auto val="1"/>
        <c:lblAlgn val="ctr"/>
        <c:lblOffset val="100"/>
        <c:noMultiLvlLbl val="0"/>
      </c:catAx>
      <c:valAx>
        <c:axId val="8081128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0809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>
      <cx:tx>
        <cx:txData>
          <cx:v>Price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DE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Calibri"/>
            </a:rPr>
            <a:t>Price Distribution</a:t>
          </a:r>
        </a:p>
      </cx:txPr>
    </cx:title>
    <cx:plotArea>
      <cx:plotAreaRegion>
        <cx:plotSurface>
          <cx:spPr>
            <a:noFill/>
          </cx:spPr>
        </cx:plotSurface>
        <cx:series layoutId="clusteredColumn" uniqueId="{00000000-831C-42B8-BBE3-2607525CFF35}">
          <cx:tx>
            <cx:txData>
              <cx:f>_xlchart.v1.5</cx:f>
              <cx:v>Total Order</cx:v>
            </cx:txData>
          </cx:tx>
          <cx:dataLabels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A2C029CB-05A5-4BE4-AB69-2E331010C829}">
          <cx:axisId val="2"/>
        </cx:series>
      </cx:plotAreaRegion>
      <cx:axis id="0">
        <cx:catScaling gapWidth="0.400000006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DE" sz="900" b="0" i="0" u="none" strike="noStrike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latin typeface="Calibri"/>
                  </a:rPr>
                  <a:t>Price Range</a:t>
                </a:r>
                <a:endParaRPr lang="en-US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Orders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DE" sz="900" b="0" i="0" u="none" strike="noStrike" baseline="0">
                  <a:solidFill>
                    <a:srgbClr val="000000">
                      <a:lumMod val="65000"/>
                      <a:lumOff val="35000"/>
                    </a:srgbClr>
                  </a:solidFill>
                  <a:latin typeface="Calibri"/>
                </a:rPr>
                <a:t>Orders</a:t>
              </a:r>
            </a:p>
          </cx:txPr>
        </cx:title>
        <cx:tickLabels/>
      </cx:axis>
      <cx:axis id="2" hidden="1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844551</xdr:colOff>
      <xdr:row>6</xdr:row>
      <xdr:rowOff>171450</xdr:rowOff>
    </xdr:from>
    <xdr:to>
      <xdr:col>11</xdr:col>
      <xdr:colOff>527051</xdr:colOff>
      <xdr:row>18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F36C380-AF08-5CFE-E926-F1690467B4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2951" y="1276350"/>
              <a:ext cx="4514850" cy="2178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DE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50800</xdr:colOff>
      <xdr:row>4</xdr:row>
      <xdr:rowOff>31750</xdr:rowOff>
    </xdr:from>
    <xdr:to>
      <xdr:col>16</xdr:col>
      <xdr:colOff>1568450</xdr:colOff>
      <xdr:row>25</xdr:row>
      <xdr:rowOff>31750</xdr:rowOff>
    </xdr:to>
    <xdr:graphicFrame macro="">
      <xdr:nvGraphicFramePr>
        <xdr:cNvPr id="5" name="Top10Brands">
          <a:extLst>
            <a:ext uri="{FF2B5EF4-FFF2-40B4-BE49-F238E27FC236}">
              <a16:creationId xmlns:a16="http://schemas.microsoft.com/office/drawing/2014/main" id="{D140BD85-60B1-A83B-BD27-591149768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Ziku khan" refreshedDate="46206.476188310182" backgroundQuery="1" createdVersion="8" refreshedVersion="8" minRefreshableVersion="3" recordCount="0" supportSubquery="1" supportAdvancedDrill="1" xr:uid="{4B949D32-D25D-4DAD-AD55-B1BF0771AE25}">
  <cacheSource type="external" connectionId="4"/>
  <cacheFields count="4">
    <cacheField name="[Sales__3].[Brand].[Brand]" caption="Brand" numFmtId="0" hierarchy="2" level="1">
      <sharedItems count="135">
        <s v="Adidas Originals"/>
        <s v="Adidas Performance"/>
        <s v="Alpha Industries"/>
        <s v="Anerkjendt"/>
        <s v="Anthracite"/>
        <s v="Anti Fashion"/>
        <s v="Armani Exchange"/>
        <s v="Baldessarini"/>
        <s v="Barbour"/>
        <s v="Ben Sherman"/>
        <s v="Bershka"/>
        <s v="Billabong"/>
        <s v="Björn Borg"/>
        <s v="Blend"/>
        <s v="Blend She"/>
        <s v="Boss"/>
        <s v="Boss Orange"/>
        <s v="Brixton"/>
        <s v="Bruuns Bazaar"/>
        <s v="Burton Menswear London"/>
        <s v="Calvin Klein"/>
        <s v="Carhartt Wip"/>
        <s v="Cars Jeans"/>
        <s v="Casual Friday"/>
        <s v="Celio"/>
        <s v="Champion"/>
        <s v="Cleptomanicx"/>
        <s v="Cmp"/>
        <s v="Colours &amp; Sons"/>
        <s v="Columbia"/>
        <s v="Converse"/>
        <s v="Craft"/>
        <s v="Cross Jeans"/>
        <s v="Denim &amp; Supply"/>
        <s v="Dickies"/>
        <s v="Diesel"/>
        <s v="Digel"/>
        <s v="Ea7 Emporio Armani"/>
        <s v="Element"/>
        <s v="Ellesse"/>
        <s v="Esprit"/>
        <s v="Eterna"/>
        <s v="Farah"/>
        <s v="Fila"/>
        <s v="Fred Perry"/>
        <s v="French Connection"/>
        <s v="Gant"/>
        <s v="Gap"/>
        <s v="G-Star"/>
        <s v="Guess"/>
        <s v="Hackett London"/>
        <s v="Herrlicher"/>
        <s v="Hollister Co."/>
        <s v="Hummel"/>
        <s v="Icebreaker"/>
        <s v="Indicode Jeans"/>
        <s v="Iriedaily"/>
        <s v="J.Lindeberg"/>
        <s v="Jack &amp; Jones"/>
        <s v="Jack &amp; Jones Junior"/>
        <s v="Jack &amp; Jones Plus"/>
        <s v="Jack Wolfskin"/>
        <s v="Joop!"/>
        <s v="Jordan"/>
        <s v="Kaporal"/>
        <s v="Kappa"/>
        <s v="Knowledge Cotton Apparel"/>
        <s v="Lacoste"/>
        <s v="Levi's"/>
        <s v="Ltb"/>
        <s v="Mango Man"/>
        <s v="Marc O'Polo"/>
        <s v="Matinique"/>
        <s v="Mazine"/>
        <s v="Minimum"/>
        <s v="Mustang"/>
        <s v="Name It"/>
        <s v="Napapijri"/>
        <s v="New Look"/>
        <s v="Nike"/>
        <s v="Nike Golf"/>
        <s v="Nike Running"/>
        <s v="Nike Sb"/>
        <s v="Nike Sportswear"/>
        <s v="Nudie Jeans"/>
        <s v="Odlo"/>
        <s v="Olymp"/>
        <s v="Only &amp; Sons"/>
        <s v="Patagonia"/>
        <s v="Pepe Jeans"/>
        <s v="Peter Werth"/>
        <s v="Petrol Industries"/>
        <s v="Pier One"/>
        <s v="Polo Ralph Lauren"/>
        <s v="Produkt"/>
        <s v="Pull&amp;Bear"/>
        <s v="Puma"/>
        <s v="Q/S Designed By"/>
        <s v="Quiksilver"/>
        <s v="Redefined Rebel"/>
        <s v="Reebok"/>
        <s v="Replay"/>
        <s v="River Island"/>
        <s v="Roy Robson"/>
        <s v="Salomon"/>
        <s v="Samsøe Samsøe"/>
        <s v="Seidensticker"/>
        <s v="Selected Homme"/>
        <s v="Shine Original"/>
        <s v="Solid Homme"/>
        <s v="Strellson Premium"/>
        <s v="Superdry"/>
        <s v="Teddy Smith"/>
        <s v="The North Face"/>
        <s v="Threadbare"/>
        <s v="Tiger Of Sweden"/>
        <s v="Timberland"/>
        <s v="Timberland Pro"/>
        <s v="Tom Tailor Denim"/>
        <s v="Tommy Hilfiger"/>
        <s v="Topman"/>
        <s v="Umbro"/>
        <s v="Under Armour"/>
        <s v="Under Armour Training"/>
        <s v="Urban Classics"/>
        <s v="Van Laack"/>
        <s v="Vans"/>
        <s v="Vintage Supply"/>
        <s v="Weekday"/>
        <s v="Windsor."/>
        <s v="Won Hundred"/>
        <s v="Wrangler"/>
        <s v="Yourturn"/>
        <s v="Zalando Essentials"/>
        <s v="Zign"/>
      </sharedItems>
    </cacheField>
    <cacheField name="[Measures].[Average of Price_retail]" caption="Average of Price_retail" numFmtId="0" hierarchy="26" level="32767"/>
    <cacheField name="[Measures].[Max of Price_retail]" caption="Max of Price_retail" numFmtId="0" hierarchy="27" level="32767"/>
    <cacheField name="[Measures].[Min of Price_retail]" caption="Min of Price_retail" numFmtId="0" hierarchy="28" level="32767"/>
  </cacheFields>
  <cacheHierarchies count="31">
    <cacheHierarchy uniqueName="[Sales__3].[Sku]" caption="Sku" attribute="1" defaultMemberUniqueName="[Sales__3].[Sku].[All]" allUniqueName="[Sales__3].[Sku].[All]" dimensionUniqueName="[Sales__3]" displayFolder="" count="0" memberValueDatatype="130" unbalanced="0"/>
    <cacheHierarchy uniqueName="[Sales__3].[Product_url]" caption="Product_url" attribute="1" defaultMemberUniqueName="[Sales__3].[Product_url].[All]" allUniqueName="[Sales__3].[Product_url].[All]" dimensionUniqueName="[Sales__3]" displayFolder="" count="0" memberValueDatatype="130" unbalanced="0"/>
    <cacheHierarchy uniqueName="[Sales__3].[Brand]" caption="Brand" attribute="1" defaultMemberUniqueName="[Sales__3].[Brand].[All]" allUniqueName="[Sales__3].[Brand].[All]" dimensionUniqueName="[Sales__3]" displayFolder="" count="2" memberValueDatatype="130" unbalanced="0">
      <fieldsUsage count="2">
        <fieldUsage x="-1"/>
        <fieldUsage x="0"/>
      </fieldsUsage>
    </cacheHierarchy>
    <cacheHierarchy uniqueName="[Sales__3].[Product_name]" caption="Product_name" attribute="1" defaultMemberUniqueName="[Sales__3].[Product_name].[All]" allUniqueName="[Sales__3].[Product_name].[All]" dimensionUniqueName="[Sales__3]" displayFolder="" count="0" memberValueDatatype="130" unbalanced="0"/>
    <cacheHierarchy uniqueName="[Sales__3].[Category]" caption="Category" attribute="1" defaultMemberUniqueName="[Sales__3].[Category].[All]" allUniqueName="[Sales__3].[Category].[All]" dimensionUniqueName="[Sales__3]" displayFolder="" count="0" memberValueDatatype="130" unbalanced="0"/>
    <cacheHierarchy uniqueName="[Sales__3].[Subcategory]" caption="Subcategory" attribute="1" defaultMemberUniqueName="[Sales__3].[Subcategory].[All]" allUniqueName="[Sales__3].[Subcategory].[All]" dimensionUniqueName="[Sales__3]" displayFolder="" count="0" memberValueDatatype="130" unbalanced="0"/>
    <cacheHierarchy uniqueName="[Sales__3].[Subsubcategory]" caption="Subsubcategory" attribute="1" defaultMemberUniqueName="[Sales__3].[Subsubcategory].[All]" allUniqueName="[Sales__3].[Subsubcategory].[All]" dimensionUniqueName="[Sales__3]" displayFolder="" count="0" memberValueDatatype="130" unbalanced="0"/>
    <cacheHierarchy uniqueName="[Sales__3].[Color]" caption="Color" attribute="1" defaultMemberUniqueName="[Sales__3].[Color].[All]" allUniqueName="[Sales__3].[Color].[All]" dimensionUniqueName="[Sales__3]" displayFolder="" count="0" memberValueDatatype="130" unbalanced="0"/>
    <cacheHierarchy uniqueName="[Sales__3].[Size_range]" caption="Size_range" attribute="1" defaultMemberUniqueName="[Sales__3].[Size_range].[All]" allUniqueName="[Sales__3].[Size_range].[All]" dimensionUniqueName="[Sales__3]" displayFolder="" count="0" memberValueDatatype="130" unbalanced="0"/>
    <cacheHierarchy uniqueName="[Sales__3].[Price_retail]" caption="Price_retail" attribute="1" defaultMemberUniqueName="[Sales__3].[Price_retail].[All]" allUniqueName="[Sales__3].[Price_retail].[All]" dimensionUniqueName="[Sales__3]" displayFolder="" count="0" memberValueDatatype="5" unbalanced="0"/>
    <cacheHierarchy uniqueName="[Sales__3].[Price_current]" caption="Price_current" attribute="1" defaultMemberUniqueName="[Sales__3].[Price_current].[All]" allUniqueName="[Sales__3].[Price_current].[All]" dimensionUniqueName="[Sales__3]" displayFolder="" count="0" memberValueDatatype="5" unbalanced="0"/>
    <cacheHierarchy uniqueName="[Sales__3].[Price_label]" caption="Price_label" attribute="1" defaultMemberUniqueName="[Sales__3].[Price_label].[All]" allUniqueName="[Sales__3].[Price_label].[All]" dimensionUniqueName="[Sales__3]" displayFolder="" count="0" memberValueDatatype="130" unbalanced="0"/>
    <cacheHierarchy uniqueName="[Sales__3].[Currency]" caption="Currency" attribute="1" defaultMemberUniqueName="[Sales__3].[Currency].[All]" allUniqueName="[Sales__3].[Currency].[All]" dimensionUniqueName="[Sales__3]" displayFolder="" count="0" memberValueDatatype="130" unbalanced="0"/>
    <cacheHierarchy uniqueName="[Sales__3].[Sort_by_ranking]" caption="Sort_by_ranking" attribute="1" defaultMemberUniqueName="[Sales__3].[Sort_by_ranking].[All]" allUniqueName="[Sales__3].[Sort_by_ranking].[All]" dimensionUniqueName="[Sales__3]" displayFolder="" count="0" memberValueDatatype="20" unbalanced="0"/>
    <cacheHierarchy uniqueName="[Sales__3].[Rating]" caption="Rating" attribute="1" defaultMemberUniqueName="[Sales__3].[Rating].[All]" allUniqueName="[Sales__3].[Rating].[All]" dimensionUniqueName="[Sales__3]" displayFolder="" count="0" memberValueDatatype="130" unbalanced="0"/>
    <cacheHierarchy uniqueName="[Sales__3].[Reviews_count]" caption="Reviews_count" attribute="1" defaultMemberUniqueName="[Sales__3].[Reviews_count].[All]" allUniqueName="[Sales__3].[Reviews_count].[All]" dimensionUniqueName="[Sales__3]" displayFolder="" count="0" memberValueDatatype="130" unbalanced="0"/>
    <cacheHierarchy uniqueName="[Sales__3].[Promotion]" caption="Promotion" attribute="1" defaultMemberUniqueName="[Sales__3].[Promotion].[All]" allUniqueName="[Sales__3].[Promotion].[All]" dimensionUniqueName="[Sales__3]" displayFolder="" count="0" memberValueDatatype="130" unbalanced="0"/>
    <cacheHierarchy uniqueName="[Sales__3].[Sku_variant]" caption="Sku_variant" attribute="1" defaultMemberUniqueName="[Sales__3].[Sku_variant].[All]" allUniqueName="[Sales__3].[Sku_variant].[All]" dimensionUniqueName="[Sales__3]" displayFolder="" count="0" memberValueDatatype="130" unbalanced="0"/>
    <cacheHierarchy uniqueName="[Sales__3].[In_stock]" caption="In_stock" attribute="1" defaultMemberUniqueName="[Sales__3].[In_stock].[All]" allUniqueName="[Sales__3].[In_stock].[All]" dimensionUniqueName="[Sales__3]" displayFolder="" count="0" memberValueDatatype="130" unbalanced="0"/>
    <cacheHierarchy uniqueName="[Sales__3].[Scan_date]" caption="Scan_date" attribute="1" time="1" defaultMemberUniqueName="[Sales__3].[Scan_date].[All]" allUniqueName="[Sales__3].[Scan_date].[All]" dimensionUniqueName="[Sales__3]" displayFolder="" count="0" memberValueDatatype="7" unbalanced="0"/>
    <cacheHierarchy uniqueName="[Sales__3].[Image_url]" caption="Image_url" attribute="1" defaultMemberUniqueName="[Sales__3].[Image_url].[All]" allUniqueName="[Sales__3].[Image_url].[All]" dimensionUniqueName="[Sales__3]" displayFolder="" count="0" memberValueDatatype="130" unbalanced="0"/>
    <cacheHierarchy uniqueName="[Sales__3].[Discount]" caption="Discount" attribute="1" defaultMemberUniqueName="[Sales__3].[Discount].[All]" allUniqueName="[Sales__3].[Discount].[All]" dimensionUniqueName="[Sales__3]" displayFolder="" count="0" memberValueDatatype="5" unbalanced="0"/>
    <cacheHierarchy uniqueName="[Sales__3].[Discount Level]" caption="Discount Level" attribute="1" defaultMemberUniqueName="[Sales__3].[Discount Level].[All]" allUniqueName="[Sales__3].[Discount Level].[All]" dimensionUniqueName="[Sales__3]" displayFolder="" count="0" memberValueDatatype="130" unbalanced="0"/>
    <cacheHierarchy uniqueName="[Measures].[__XL_Count Sales__3]" caption="__XL_Count Sales__3" measure="1" displayFolder="" measureGroup="Sales__3" count="0" hidden="1"/>
    <cacheHierarchy uniqueName="[Measures].[__No measures defined]" caption="__No measures defined" measure="1" displayFolder="" count="0" hidden="1"/>
    <cacheHierarchy uniqueName="[Measures].[Sum of Price_retail]" caption="Sum of Price_retail" measure="1" displayFolder="" measureGroup="Sales__3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_retail]" caption="Average of Price_retail" measure="1" displayFolder="" measureGroup="Sales__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ax of Price_retail]" caption="Max of Price_retail" measure="1" displayFolder="" measureGroup="Sales__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in of Price_retail]" caption="Min of Price_retail" measure="1" displayFolder="" measureGroup="Sales__3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Price_current]" caption="Sum of Price_current" measure="1" displayFolder="" measureGroup="Sales__3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Discount]" caption="Sum of Discount" measure="1" displayFolder="" measureGroup="Sales__3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2">
    <dimension measure="1" name="Measures" uniqueName="[Measures]" caption="Measures"/>
    <dimension name="Sales__3" uniqueName="[Sales__3]" caption="Sales__3"/>
  </dimensions>
  <measureGroups count="1">
    <measureGroup name="Sales__3" caption="Sales__3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iku khan" refreshedDate="46206.485278356478" createdVersion="8" refreshedVersion="8" minRefreshableVersion="3" recordCount="984" xr:uid="{4A2501EB-21D4-423A-A2E5-D7DF4BD57220}">
  <cacheSource type="worksheet">
    <worksheetSource name="Real_Sales"/>
  </cacheSource>
  <cacheFields count="23">
    <cacheField name="Sku" numFmtId="0">
      <sharedItems/>
    </cacheField>
    <cacheField name="Product_url" numFmtId="0">
      <sharedItems/>
    </cacheField>
    <cacheField name="Brand" numFmtId="0">
      <sharedItems count="135">
        <s v="Produkt"/>
        <s v="Zign"/>
        <s v="Selected Homme"/>
        <s v="Denim &amp; Supply"/>
        <s v="Lacoste"/>
        <s v="Mango Man"/>
        <s v="Adidas Performance"/>
        <s v="Petrol Industries"/>
        <s v="Tommy Hilfiger"/>
        <s v="Van Laack"/>
        <s v="J.Lindeberg"/>
        <s v="New Look"/>
        <s v="Columbia"/>
        <s v="Bershka"/>
        <s v="Calvin Klein"/>
        <s v="Timberland Pro"/>
        <s v="Name It"/>
        <s v="Strellson Premium"/>
        <s v="Vans"/>
        <s v="Adidas Originals"/>
        <s v="Polo Ralph Lauren"/>
        <s v="Puma"/>
        <s v="The North Face"/>
        <s v="Roy Robson"/>
        <s v="Diesel"/>
        <s v="Nike"/>
        <s v="Anerkjendt"/>
        <s v="Odlo"/>
        <s v="Cmp"/>
        <s v="Dickies"/>
        <s v="Cars Jeans"/>
        <s v="Craft"/>
        <s v="Carhartt Wip"/>
        <s v="Levi's"/>
        <s v="Jack &amp; Jones Junior"/>
        <s v="Eterna"/>
        <s v="Urban Classics"/>
        <s v="Reebok"/>
        <s v="Blend She"/>
        <s v="Fila"/>
        <s v="Threadbare"/>
        <s v="Seidensticker"/>
        <s v="Herrlicher"/>
        <s v="Replay"/>
        <s v="Won Hundred"/>
        <s v="Colours &amp; Sons"/>
        <s v="Weekday"/>
        <s v="Teddy Smith"/>
        <s v="Boss"/>
        <s v="Yourturn"/>
        <s v="Napapijri"/>
        <s v="Mazine"/>
        <s v="Element"/>
        <s v="Salomon"/>
        <s v="Converse"/>
        <s v="Umbro"/>
        <s v="Mustang"/>
        <s v="Wrangler"/>
        <s v="Burton Menswear London"/>
        <s v="Anthracite"/>
        <s v="Pepe Jeans"/>
        <s v="Only &amp; Sons"/>
        <s v="Pier One"/>
        <s v="Gap"/>
        <s v="Jack &amp; Jones Plus"/>
        <s v="Nike Sb"/>
        <s v="Iriedaily"/>
        <s v="Ltb"/>
        <s v="Nudie Jeans"/>
        <s v="G-Star"/>
        <s v="Quiksilver"/>
        <s v="Shine Original"/>
        <s v="Tom Tailor Denim"/>
        <s v="Topman"/>
        <s v="Celio"/>
        <s v="Jordan"/>
        <s v="Hummel"/>
        <s v="Superdry"/>
        <s v="Farah"/>
        <s v="Ellesse"/>
        <s v="Olymp"/>
        <s v="Patagonia"/>
        <s v="Guess"/>
        <s v="Cleptomanicx"/>
        <s v="Digel"/>
        <s v="Hollister Co."/>
        <s v="Casual Friday"/>
        <s v="Nike Running"/>
        <s v="Pull&amp;Bear"/>
        <s v="Björn Borg"/>
        <s v="Brixton"/>
        <s v="Timberland"/>
        <s v="Q/S Designed By"/>
        <s v="Peter Werth"/>
        <s v="Redefined Rebel"/>
        <s v="Nike Golf"/>
        <s v="Under Armour"/>
        <s v="Kappa"/>
        <s v="Esprit"/>
        <s v="Zalando Essentials"/>
        <s v="Bruuns Bazaar"/>
        <s v="Nike Sportswear"/>
        <s v="Jack &amp; Jones"/>
        <s v="Champion"/>
        <s v="Hackett London"/>
        <s v="Jack Wolfskin"/>
        <s v="Anti Fashion"/>
        <s v="Boss Orange"/>
        <s v="Gant"/>
        <s v="Ea7 Emporio Armani"/>
        <s v="Billabong"/>
        <s v="Minimum"/>
        <s v="Marc O'Polo"/>
        <s v="Blend"/>
        <s v="Baldessarini"/>
        <s v="Windsor."/>
        <s v="French Connection"/>
        <s v="River Island"/>
        <s v="Matinique"/>
        <s v="Samsøe Samsøe"/>
        <s v="Armani Exchange"/>
        <s v="Vintage Supply"/>
        <s v="Knowledge Cotton Apparel"/>
        <s v="Under Armour Training"/>
        <s v="Alpha Industries"/>
        <s v="Barbour"/>
        <s v="Fred Perry"/>
        <s v="Tiger Of Sweden"/>
        <s v="Cross Jeans"/>
        <s v="Joop!"/>
        <s v="Icebreaker"/>
        <s v="Indicode Jeans"/>
        <s v="Kaporal"/>
        <s v="Ben Sherman"/>
        <s v="Solid Homme"/>
      </sharedItems>
    </cacheField>
    <cacheField name="Product_name" numFmtId="0">
      <sharedItems/>
    </cacheField>
    <cacheField name="Category" numFmtId="0">
      <sharedItems/>
    </cacheField>
    <cacheField name="Subcategory" numFmtId="0">
      <sharedItems count="2">
        <s v="Polo Shirts"/>
        <s v="T-Shirts"/>
      </sharedItems>
    </cacheField>
    <cacheField name="Subsubcategory" numFmtId="0">
      <sharedItems count="7">
        <s v="Slim Fit Polos"/>
        <s v="Slim Fit T-Shirts"/>
        <s v="Pique Polos"/>
        <s v="Basic Polos"/>
        <s v="Basic T-Shirts"/>
        <s v="Print T-Shirts"/>
        <s v="Long Sleeve T-Shirts"/>
      </sharedItems>
    </cacheField>
    <cacheField name="Color" numFmtId="0">
      <sharedItems containsBlank="1"/>
    </cacheField>
    <cacheField name="Size_range" numFmtId="0">
      <sharedItems/>
    </cacheField>
    <cacheField name="Price_retail" numFmtId="0">
      <sharedItems containsSemiMixedTypes="0" containsString="0" containsNumber="1" minValue="6.99" maxValue="99.99"/>
    </cacheField>
    <cacheField name="Price_current" numFmtId="0">
      <sharedItems containsSemiMixedTypes="0" containsString="0" containsNumber="1" minValue="3.99" maxValue="88.07"/>
    </cacheField>
    <cacheField name="Price_label" numFmtId="0">
      <sharedItems/>
    </cacheField>
    <cacheField name="Currency" numFmtId="0">
      <sharedItems/>
    </cacheField>
    <cacheField name="Sort_by_ranking" numFmtId="0">
      <sharedItems containsSemiMixedTypes="0" containsString="0" containsNumber="1" containsInteger="1" minValue="1" maxValue="999"/>
    </cacheField>
    <cacheField name="Rating" numFmtId="0">
      <sharedItems/>
    </cacheField>
    <cacheField name="Reviews_count" numFmtId="0">
      <sharedItems/>
    </cacheField>
    <cacheField name="Promotion" numFmtId="0">
      <sharedItems containsNonDate="0" containsString="0" containsBlank="1"/>
    </cacheField>
    <cacheField name="Sku_variant" numFmtId="0">
      <sharedItems containsNonDate="0" containsString="0" containsBlank="1"/>
    </cacheField>
    <cacheField name="In_stock" numFmtId="0">
      <sharedItems containsBlank="1"/>
    </cacheField>
    <cacheField name="Scan_date" numFmtId="14">
      <sharedItems containsSemiMixedTypes="0" containsNonDate="0" containsDate="1" containsString="0" minDate="2023-01-29T00:00:00" maxDate="2023-01-30T00:00:00"/>
    </cacheField>
    <cacheField name="Image_url" numFmtId="0">
      <sharedItems/>
    </cacheField>
    <cacheField name="Discount" numFmtId="164">
      <sharedItems containsSemiMixedTypes="0" containsString="0" containsNumber="1" minValue="0" maxValue="0.700207468879668"/>
    </cacheField>
    <cacheField name="Discount 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4">
  <r>
    <s v="ZL100449"/>
    <s v="https://www.zalando.de/produkt-regular-fit-polo---denim-blue-zl100449/"/>
    <x v="0"/>
    <s v="Regular Fit POLO - DENIM BLUE"/>
    <s v="Men's T-Shirts &amp; Polos"/>
    <x v="0"/>
    <x v="0"/>
    <s v="Denim Blue"/>
    <s v="XS"/>
    <n v="19.28"/>
    <n v="5.78"/>
    <s v="SALE"/>
    <s v="EUR"/>
    <n v="492"/>
    <s v="3.2"/>
    <s v="0"/>
    <m/>
    <m/>
    <s v="Yes"/>
    <d v="2023-01-29T00:00:00"/>
    <s v="https://img01.ztat.net/article/ZL100449.jpg"/>
    <n v="0.700207468879668"/>
    <s v="High"/>
  </r>
  <r>
    <s v="ZL100278"/>
    <s v="https://www.zalando.de/zign-print-polo---black-zl100278/"/>
    <x v="1"/>
    <s v="Print POLO - BLACK"/>
    <s v="Men's T-Shirts &amp; Polos"/>
    <x v="0"/>
    <x v="0"/>
    <s v="Black"/>
    <s v="S"/>
    <n v="50.08"/>
    <n v="15.02"/>
    <s v="SALE"/>
    <s v="EUR"/>
    <n v="393"/>
    <s v="4.0"/>
    <s v="30.0"/>
    <m/>
    <m/>
    <s v="Yes"/>
    <d v="2023-01-29T00:00:00"/>
    <s v="https://img01.ztat.net/article/ZL100278.jpg"/>
    <n v="0.70007987220447288"/>
    <s v="High"/>
  </r>
  <r>
    <s v="ZL100116"/>
    <s v="https://www.zalando.de/selected-homme-essential-t-shirt---bordeaux-zl100116/"/>
    <x v="2"/>
    <s v="Essential T-SHIRT - BORDEAUX"/>
    <s v="Men's T-Shirts &amp; Polos"/>
    <x v="1"/>
    <x v="1"/>
    <s v="Bordeaux"/>
    <s v="M"/>
    <n v="18.190000000000001"/>
    <n v="6.76"/>
    <s v="SALE"/>
    <s v="EUR"/>
    <n v="893"/>
    <s v="3.1"/>
    <s v="33.0"/>
    <m/>
    <m/>
    <s v="Yes"/>
    <d v="2023-01-29T00:00:00"/>
    <s v="https://img01.ztat.net/article/ZL100116.jpg"/>
    <n v="0.62836723474436507"/>
    <s v="High"/>
  </r>
  <r>
    <s v="ZL100109"/>
    <s v="https://www.zalando.de/denim-and-supply-essential-t-shirt---white-zl100109/"/>
    <x v="3"/>
    <s v="Essential T-SHIRT - WHITE"/>
    <s v="Men's T-Shirts &amp; Polos"/>
    <x v="1"/>
    <x v="1"/>
    <s v="White"/>
    <s v="M"/>
    <n v="23.55"/>
    <n v="9.2899999999999991"/>
    <s v="SALE"/>
    <s v="EUR"/>
    <n v="983"/>
    <s v="3.3"/>
    <s v="36.0"/>
    <m/>
    <m/>
    <s v="Yes"/>
    <d v="2023-01-29T00:00:00"/>
    <s v="https://img01.ztat.net/article/ZL100109.jpg"/>
    <n v="0.60552016985138013"/>
    <s v="High"/>
  </r>
  <r>
    <s v="ZL100288"/>
    <s v="https://www.zalando.de/lacoste-essential-polo---rust-zl100004/"/>
    <x v="4"/>
    <s v="Essential POLO - RUST"/>
    <s v="Men's T-Shirts &amp; Polos"/>
    <x v="0"/>
    <x v="2"/>
    <s v="Rust"/>
    <s v="XS"/>
    <n v="32.81"/>
    <n v="13.19"/>
    <s v="SALE"/>
    <s v="EUR"/>
    <n v="535"/>
    <s v="3.3"/>
    <s v="34.0"/>
    <m/>
    <m/>
    <s v="Yes"/>
    <d v="2023-01-29T00:00:00"/>
    <s v="https://img01.ztat.net/article/ZL100004.jpg"/>
    <n v="0.59798841816519366"/>
    <s v="High"/>
  </r>
  <r>
    <s v="ZL100918"/>
    <s v="https://www.zalando.de/mango-man-regular-fit-polo---navy-zl100918/"/>
    <x v="5"/>
    <s v="Regular Fit POLO - NAVY"/>
    <s v="Men's T-Shirts &amp; Polos"/>
    <x v="0"/>
    <x v="0"/>
    <s v="Navy"/>
    <s v="XS"/>
    <n v="27.86"/>
    <n v="11.56"/>
    <s v="SALE"/>
    <s v="EUR"/>
    <n v="733"/>
    <s v="4.3"/>
    <s v="31.0"/>
    <m/>
    <m/>
    <s v="No"/>
    <d v="2023-01-29T00:00:00"/>
    <s v="https://img01.ztat.net/article/ZL100918.jpg"/>
    <n v="0.58506819813352473"/>
    <s v="High"/>
  </r>
  <r>
    <s v="ZL100484"/>
    <s v="https://www.zalando.de/produkt-regular-fit-polo---dark-blue-zl100484/"/>
    <x v="0"/>
    <s v="Regular Fit POLO - DARK BLUE"/>
    <s v="Men's T-Shirts &amp; Polos"/>
    <x v="0"/>
    <x v="3"/>
    <s v="Dark Blue"/>
    <s v="XS"/>
    <n v="18.62"/>
    <n v="7.76"/>
    <s v="SALE"/>
    <s v="EUR"/>
    <n v="784"/>
    <s v="4.6"/>
    <s v="42.0"/>
    <m/>
    <m/>
    <s v="No"/>
    <d v="2023-01-29T00:00:00"/>
    <s v="https://img01.ztat.net/article/ZL100484.jpg"/>
    <n v="0.58324382384532769"/>
    <s v="High"/>
  </r>
  <r>
    <s v="ZL100008"/>
    <s v="https://www.zalando.de/adidas-performance-print-t-shirt---khaki-zl100008/"/>
    <x v="6"/>
    <s v="Print T-SHIRT - KHAKI"/>
    <s v="Men's T-Shirts &amp; Polos"/>
    <x v="1"/>
    <x v="1"/>
    <s v="Khaki"/>
    <s v="S"/>
    <n v="15.06"/>
    <n v="6.31"/>
    <s v="SALE"/>
    <s v="EUR"/>
    <n v="557"/>
    <s v="3.4"/>
    <s v="41.0"/>
    <m/>
    <m/>
    <s v="No"/>
    <d v="2023-01-29T00:00:00"/>
    <s v="https://img01.ztat.net/article/ZL100008.jpg"/>
    <n v="0.58100929614873831"/>
    <s v="High"/>
  </r>
  <r>
    <s v="ZL100000"/>
    <s v="https://www.zalando.de/petrol-industries-slim-fit-polo---red-zl100000/"/>
    <x v="7"/>
    <s v="Slim Fit POLO - RED"/>
    <s v="Men's T-Shirts &amp; Polos"/>
    <x v="0"/>
    <x v="2"/>
    <s v="Red"/>
    <s v=""/>
    <n v="99.99"/>
    <n v="42.31"/>
    <s v="SALE"/>
    <s v="EUR"/>
    <n v="652"/>
    <s v="5.0"/>
    <s v="47.0"/>
    <m/>
    <m/>
    <s v="No"/>
    <d v="2023-01-29T00:00:00"/>
    <s v="https://img01.ztat.net/article/ZL100000.jpg"/>
    <n v="0.57685768576857677"/>
    <s v="High"/>
  </r>
  <r>
    <s v="ZL100630"/>
    <s v="https://www.zalando.de/tommy-hilfiger-basic-polo---beige-zl100630/"/>
    <x v="8"/>
    <s v="Basic POLO - BEIGE"/>
    <s v="Men's T-Shirts &amp; Polos"/>
    <x v="0"/>
    <x v="3"/>
    <s v="Beige"/>
    <s v="XS"/>
    <n v="25.34"/>
    <n v="10.74"/>
    <s v="SALE"/>
    <s v="EUR"/>
    <n v="586"/>
    <s v="3.3"/>
    <s v="49.0"/>
    <m/>
    <m/>
    <s v="Yes"/>
    <d v="2023-01-29T00:00:00"/>
    <s v="https://img01.ztat.net/article/ZL100630.jpg"/>
    <n v="0.57616416732438835"/>
    <s v="High"/>
  </r>
  <r>
    <s v="ZL100881"/>
    <s v="https://www.zalando.de/van-laack-slim-fit-polo---grey-melange-zl100881/"/>
    <x v="9"/>
    <s v="Slim Fit POLO - GREY MELANGE"/>
    <s v="Men's T-Shirts &amp; Polos"/>
    <x v="0"/>
    <x v="2"/>
    <s v="Grey Melange"/>
    <s v="S"/>
    <n v="13.88"/>
    <n v="5.98"/>
    <s v="SALE"/>
    <s v="EUR"/>
    <n v="494"/>
    <s v="0"/>
    <s v="32.0"/>
    <m/>
    <m/>
    <s v="Yes"/>
    <d v="2023-01-29T00:00:00"/>
    <s v="https://img01.ztat.net/article/ZL100881.jpg"/>
    <n v="0.56916426512968299"/>
    <s v="High"/>
  </r>
  <r>
    <s v="ZL100925"/>
    <s v="https://www.zalando.de/j.lindeberg-regular-fit-polo---light-grey-zl100925/"/>
    <x v="10"/>
    <s v="Regular Fit POLO - LIGHT GREY"/>
    <s v="Men's T-Shirts &amp; Polos"/>
    <x v="0"/>
    <x v="3"/>
    <s v="Light Grey"/>
    <s v="XS"/>
    <n v="31.94"/>
    <n v="13.8"/>
    <s v="SALE"/>
    <s v="EUR"/>
    <n v="901"/>
    <s v="3.3"/>
    <s v="29.0"/>
    <m/>
    <m/>
    <s v="Yes"/>
    <d v="2023-01-29T00:00:00"/>
    <s v="https://img01.ztat.net/article/ZL100925.jpg"/>
    <n v="0.56793988728866629"/>
    <s v="High"/>
  </r>
  <r>
    <s v="ZL100786"/>
    <s v="https://www.zalando.de/new-look-essential-t-shirt---royal-blue-zl100786/"/>
    <x v="11"/>
    <s v="Essential T-SHIRT - ROYAL BLUE"/>
    <s v="Men's T-Shirts &amp; Polos"/>
    <x v="1"/>
    <x v="4"/>
    <s v="Royal Blue"/>
    <s v="S"/>
    <n v="41.92"/>
    <n v="18.2"/>
    <s v="SALE"/>
    <s v="EUR"/>
    <n v="111"/>
    <s v="0"/>
    <s v="27.0"/>
    <m/>
    <m/>
    <s v="Yes"/>
    <d v="2023-01-29T00:00:00"/>
    <s v="https://img01.ztat.net/article/ZL100786.jpg"/>
    <n v="0.56583969465648853"/>
    <s v="High"/>
  </r>
  <r>
    <s v="ZL100456"/>
    <s v="https://www.zalando.de/zign-regular-fit-polo---beige-zl100456/"/>
    <x v="1"/>
    <s v="Regular Fit POLO - BEIGE"/>
    <s v="Men's T-Shirts &amp; Polos"/>
    <x v="0"/>
    <x v="0"/>
    <s v="Beige"/>
    <s v="S"/>
    <n v="48.28"/>
    <n v="21.13"/>
    <s v="SALE"/>
    <s v="EUR"/>
    <n v="695"/>
    <s v="4.5"/>
    <s v="0"/>
    <m/>
    <m/>
    <s v="Yes"/>
    <d v="2023-01-29T00:00:00"/>
    <s v="https://img01.ztat.net/article/ZL100456.jpg"/>
    <n v="0.56234465617232809"/>
    <s v="High"/>
  </r>
  <r>
    <s v="ZL100359"/>
    <s v="https://www.zalando.de/columbia-print-t-shirt---white-zl100359/"/>
    <x v="12"/>
    <s v="Print T-SHIRT - WHITE"/>
    <s v="Men's T-Shirts &amp; Polos"/>
    <x v="1"/>
    <x v="1"/>
    <s v="White"/>
    <s v="S"/>
    <n v="8.99"/>
    <n v="3.99"/>
    <s v="SALE"/>
    <s v="EUR"/>
    <n v="892"/>
    <s v="3.7"/>
    <s v="42.0"/>
    <m/>
    <m/>
    <s v="Yes"/>
    <d v="2023-01-29T00:00:00"/>
    <s v="https://img01.ztat.net/article/ZL100359.jpg"/>
    <n v="0.55617352614015569"/>
    <s v="High"/>
  </r>
  <r>
    <s v="ZL100440"/>
    <s v="https://www.zalando.de/tommy-hilfiger-basic-polo---dark-blue-zl100440/"/>
    <x v="8"/>
    <s v="Basic POLO - DARK BLUE"/>
    <s v="Men's T-Shirts &amp; Polos"/>
    <x v="0"/>
    <x v="0"/>
    <s v="Dark Blue"/>
    <s v="XS"/>
    <n v="8.99"/>
    <n v="3.99"/>
    <s v="SALE"/>
    <s v="EUR"/>
    <n v="362"/>
    <s v="3.6"/>
    <s v="37.0"/>
    <m/>
    <m/>
    <s v="Yes"/>
    <d v="2023-01-29T00:00:00"/>
    <s v="https://img01.ztat.net/article/ZL100440.jpg"/>
    <n v="0.55617352614015569"/>
    <s v="High"/>
  </r>
  <r>
    <s v="ZL100672"/>
    <s v="https://www.zalando.de/bershka-slim-fit-t-shirt---royal-blue-zl100672/"/>
    <x v="13"/>
    <s v="Slim Fit T-SHIRT - ROYAL BLUE"/>
    <s v="Men's T-Shirts &amp; Polos"/>
    <x v="1"/>
    <x v="1"/>
    <s v="Royal Blue"/>
    <s v="XS"/>
    <n v="8.99"/>
    <n v="3.99"/>
    <s v="SALE"/>
    <s v="EUR"/>
    <n v="197"/>
    <s v="3.2"/>
    <s v="39.0"/>
    <m/>
    <m/>
    <s v="Yes"/>
    <d v="2023-01-29T00:00:00"/>
    <s v="https://img01.ztat.net/article/ZL100672.jpg"/>
    <n v="0.55617352614015569"/>
    <s v="High"/>
  </r>
  <r>
    <s v="ZL100726"/>
    <s v="https://www.zalando.de/calvin-klein-basic-polo---khaki-zl100726/"/>
    <x v="14"/>
    <s v="Basic POLO - KHAKI"/>
    <s v="Men's T-Shirts &amp; Polos"/>
    <x v="0"/>
    <x v="3"/>
    <s v="Khaki"/>
    <s v="S"/>
    <n v="8.99"/>
    <n v="3.99"/>
    <s v="SALE"/>
    <s v="EUR"/>
    <n v="339"/>
    <s v="0"/>
    <s v="27.0"/>
    <m/>
    <m/>
    <s v="Yes"/>
    <d v="2023-01-29T00:00:00"/>
    <s v="https://img01.ztat.net/article/ZL100726.jpg"/>
    <n v="0.55617352614015569"/>
    <s v="High"/>
  </r>
  <r>
    <s v="ZL100576"/>
    <s v="https://www.zalando.de/tommy-hilfiger-print-t-shirt---dark-green-zl100576/"/>
    <x v="8"/>
    <s v="Print T-SHIRT - DARK GREEN"/>
    <s v="Men's T-Shirts &amp; Polos"/>
    <x v="1"/>
    <x v="5"/>
    <s v="Dark Green"/>
    <s v="XS"/>
    <n v="25.47"/>
    <n v="11.32"/>
    <s v="SALE"/>
    <s v="EUR"/>
    <n v="46"/>
    <s v="3.4"/>
    <s v="20.0"/>
    <m/>
    <m/>
    <s v="Yes"/>
    <d v="2023-01-29T00:00:00"/>
    <s v="https://img01.ztat.net/article/ZL100576.jpg"/>
    <n v="0.55555555555555547"/>
    <s v="High"/>
  </r>
  <r>
    <s v="ZL100873"/>
    <s v="https://www.zalando.de/timberland-pro-print-polo---red-zl100873/"/>
    <x v="15"/>
    <s v="Print POLO - RED"/>
    <s v="Men's T-Shirts &amp; Polos"/>
    <x v="0"/>
    <x v="2"/>
    <s v="Red"/>
    <s v="S"/>
    <n v="8.99"/>
    <n v="4.04"/>
    <s v="SALE"/>
    <s v="EUR"/>
    <n v="280"/>
    <s v="4.6"/>
    <s v="0"/>
    <m/>
    <m/>
    <s v="Yes"/>
    <d v="2023-01-29T00:00:00"/>
    <s v="https://img01.ztat.net/article/ZL100873.jpg"/>
    <n v="0.55061179087875423"/>
    <s v="High"/>
  </r>
  <r>
    <s v="ZL100637"/>
    <s v="https://www.zalando.de/tommy-hilfiger-slim-fit-polo---bordeaux-zl100637/"/>
    <x v="8"/>
    <s v="Slim Fit POLO - BORDEAUX"/>
    <s v="Men's T-Shirts &amp; Polos"/>
    <x v="0"/>
    <x v="2"/>
    <s v="Bordeaux"/>
    <s v="M"/>
    <n v="15.01"/>
    <n v="6.81"/>
    <s v="SALE"/>
    <s v="EUR"/>
    <n v="204"/>
    <s v="3.6"/>
    <s v="31.0"/>
    <m/>
    <m/>
    <s v="Yes"/>
    <d v="2023-01-29T00:00:00"/>
    <s v="https://img01.ztat.net/article/ZL100637.jpg"/>
    <n v="0.5463024650233177"/>
    <s v="High"/>
  </r>
  <r>
    <s v="ZL100914"/>
    <s v="https://www.zalando.de/name-it-print-polo---royal-blue-zl100914/"/>
    <x v="16"/>
    <s v="Print POLO - ROYAL BLUE"/>
    <s v="Men's T-Shirts &amp; Polos"/>
    <x v="0"/>
    <x v="3"/>
    <s v="Royal Blue"/>
    <s v="XS"/>
    <n v="13.58"/>
    <n v="6.21"/>
    <s v="SALE"/>
    <s v="EUR"/>
    <n v="651"/>
    <s v="3.9"/>
    <s v="35.0"/>
    <m/>
    <m/>
    <s v="Yes"/>
    <d v="2023-01-29T00:00:00"/>
    <s v="https://img01.ztat.net/article/ZL100914.jpg"/>
    <n v="0.54270986745213545"/>
    <s v="High"/>
  </r>
  <r>
    <s v="ZL100872"/>
    <s v="https://www.zalando.de/strellson-premium-regular-fit-polo---bordeaux-zl100872/"/>
    <x v="17"/>
    <s v="Regular Fit POLO - BORDEAUX"/>
    <s v="Men's T-Shirts &amp; Polos"/>
    <x v="0"/>
    <x v="2"/>
    <s v="Bordeaux"/>
    <s v="S"/>
    <n v="11.93"/>
    <n v="5.46"/>
    <s v="SALE"/>
    <s v="EUR"/>
    <n v="283"/>
    <s v="3.2"/>
    <s v="53.0"/>
    <m/>
    <m/>
    <s v="Yes"/>
    <d v="2023-01-29T00:00:00"/>
    <s v="https://img01.ztat.net/article/ZL100872.jpg"/>
    <n v="0.54233025984911987"/>
    <s v="High"/>
  </r>
  <r>
    <s v="ZL100974"/>
    <s v="https://www.zalando.de/adidas-performance-print-polo---off-white-zl100974/"/>
    <x v="6"/>
    <s v="Print POLO - OFF WHITE"/>
    <s v="Men's T-Shirts &amp; Polos"/>
    <x v="0"/>
    <x v="2"/>
    <m/>
    <s v="S"/>
    <n v="25.21"/>
    <n v="11.61"/>
    <s v="SALE"/>
    <s v="EUR"/>
    <n v="173"/>
    <s v="0"/>
    <s v="N/A"/>
    <m/>
    <m/>
    <s v="Yes"/>
    <d v="2023-01-29T00:00:00"/>
    <s v="https://img01.ztat.net/article/ZL100974.jpg"/>
    <n v="0.53946846489488298"/>
    <s v="High"/>
  </r>
  <r>
    <s v="ZL100537"/>
    <s v="https://www.zalando.de/vans-slim-fit-polo---beige-zl100537/"/>
    <x v="18"/>
    <s v="Slim Fit POLO - BEIGE"/>
    <s v="Men's T-Shirts &amp; Polos"/>
    <x v="0"/>
    <x v="2"/>
    <s v="Beige"/>
    <s v="M"/>
    <n v="14.1"/>
    <n v="6.53"/>
    <s v="SALE"/>
    <s v="EUR"/>
    <n v="656"/>
    <s v="4.1"/>
    <s v="34.0"/>
    <m/>
    <m/>
    <s v="Yes"/>
    <d v="2023-01-29T00:00:00"/>
    <s v="https://img01.ztat.net/article/ZL100537.jpg"/>
    <n v="0.53687943262411342"/>
    <s v="High"/>
  </r>
  <r>
    <s v="ZL100067"/>
    <s v="https://www.zalando.de/adidas-originals-print-t-shirt---white-zl100067/"/>
    <x v="19"/>
    <s v="Print T-SHIRT - WHITE"/>
    <s v="Men's T-Shirts &amp; Polos"/>
    <x v="1"/>
    <x v="6"/>
    <s v="White"/>
    <s v="S"/>
    <n v="13.41"/>
    <n v="6.23"/>
    <s v="SALE"/>
    <s v="EUR"/>
    <n v="818"/>
    <s v="5.0"/>
    <s v="32.0"/>
    <m/>
    <m/>
    <s v="Yes"/>
    <d v="2023-01-29T00:00:00"/>
    <s v="https://img01.ztat.net/article/ZL100067.jpg"/>
    <n v="0.53542132736763604"/>
    <s v="High"/>
  </r>
  <r>
    <s v="ZL100231"/>
    <s v="https://www.zalando.de/polo-ralph-lauren-basic-polo---beige-zl100231/"/>
    <x v="20"/>
    <s v="Basic POLO - BEIGE"/>
    <s v="Men's T-Shirts &amp; Polos"/>
    <x v="0"/>
    <x v="3"/>
    <s v="Beige"/>
    <s v="M"/>
    <n v="15.84"/>
    <n v="7.41"/>
    <s v="SALE"/>
    <s v="EUR"/>
    <n v="8"/>
    <s v="3.5"/>
    <s v="31.0"/>
    <m/>
    <m/>
    <s v="Yes"/>
    <d v="2023-01-29T00:00:00"/>
    <s v="https://img01.ztat.net/article/ZL100231.jpg"/>
    <n v="0.53219696969696972"/>
    <s v="High"/>
  </r>
  <r>
    <s v="ZL100421"/>
    <s v="https://www.zalando.de/adidas-performance-slim-fit-polo---olive-zl100421/"/>
    <x v="6"/>
    <s v="Slim Fit POLO - OLIVE"/>
    <s v="Men's T-Shirts &amp; Polos"/>
    <x v="0"/>
    <x v="0"/>
    <s v="Olive"/>
    <s v="S"/>
    <n v="8.99"/>
    <n v="4.2300000000000004"/>
    <s v="SALE"/>
    <s v="EUR"/>
    <n v="590"/>
    <s v="3.3"/>
    <s v="42.0"/>
    <m/>
    <m/>
    <s v="Yes"/>
    <d v="2023-01-29T00:00:00"/>
    <s v="https://img01.ztat.net/article/ZL100421.jpg"/>
    <n v="0.52947719688542827"/>
    <s v="High"/>
  </r>
  <r>
    <s v="ZL100422"/>
    <s v="https://www.zalando.de/puma-basic-t-shirt---dark-blue-zl100422/"/>
    <x v="21"/>
    <s v="Basic T-SHIRT - DARK BLUE"/>
    <s v="Men's T-Shirts &amp; Polos"/>
    <x v="1"/>
    <x v="6"/>
    <s v="Dark Blue"/>
    <s v="XS"/>
    <n v="28.79"/>
    <n v="13.89"/>
    <s v="SALE"/>
    <s v="EUR"/>
    <n v="920"/>
    <s v="4.0"/>
    <s v="44.0"/>
    <m/>
    <m/>
    <s v="No"/>
    <d v="2023-01-29T00:00:00"/>
    <s v="https://img01.ztat.net/article/ZL100422.jpg"/>
    <n v="0.51754081278221598"/>
    <s v="High"/>
  </r>
  <r>
    <s v="ZL100236"/>
    <s v="https://www.zalando.de/the-north-face-regular-fit-polo---navy-zl100236/"/>
    <x v="22"/>
    <s v="Regular Fit POLO - NAVY"/>
    <s v="Men's T-Shirts &amp; Polos"/>
    <x v="0"/>
    <x v="0"/>
    <s v="Navy"/>
    <s v="M"/>
    <n v="8.99"/>
    <n v="4.34"/>
    <s v="SALE"/>
    <s v="EUR"/>
    <n v="871"/>
    <s v="4.1"/>
    <s v="32.0"/>
    <m/>
    <m/>
    <s v="Yes"/>
    <d v="2023-01-29T00:00:00"/>
    <s v="https://img01.ztat.net/article/ZL100236.jpg"/>
    <n v="0.51724137931034486"/>
    <s v="High"/>
  </r>
  <r>
    <s v="ZL100654"/>
    <s v="https://www.zalando.de/roy-robson-regular-fit-polo---dark-blue-zl100654/"/>
    <x v="23"/>
    <s v="Regular Fit POLO - DARK BLUE"/>
    <s v="Men's T-Shirts &amp; Polos"/>
    <x v="0"/>
    <x v="0"/>
    <s v="Dark Blue"/>
    <s v="S"/>
    <n v="15.56"/>
    <n v="7.52"/>
    <s v="SALE"/>
    <s v="EUR"/>
    <n v="361"/>
    <s v="0"/>
    <s v="34.0"/>
    <m/>
    <m/>
    <s v="Yes"/>
    <d v="2023-01-29T00:00:00"/>
    <s v="https://img01.ztat.net/article/ZL100654.jpg"/>
    <n v="0.51670951156812339"/>
    <s v="High"/>
  </r>
  <r>
    <s v="ZL100034"/>
    <s v="https://www.zalando.de/diesel-slim-fit-polo---royal-blue-zl100034/"/>
    <x v="24"/>
    <s v="Slim Fit POLO - ROYAL BLUE"/>
    <s v="Men's T-Shirts &amp; Polos"/>
    <x v="0"/>
    <x v="3"/>
    <s v="Royal Blue"/>
    <s v="M"/>
    <n v="15.22"/>
    <n v="7.41"/>
    <s v="SALE"/>
    <s v="EUR"/>
    <n v="53"/>
    <s v="0"/>
    <s v="28.0"/>
    <m/>
    <m/>
    <s v="Yes"/>
    <d v="2023-01-29T00:00:00"/>
    <s v="https://img01.ztat.net/article/ZL100034.jpg"/>
    <n v="0.51314060446780552"/>
    <s v="High"/>
  </r>
  <r>
    <s v="ZL100214"/>
    <s v="https://www.zalando.de/adidas-performance-basic-polo---royal-blue-zl100214/"/>
    <x v="6"/>
    <s v="Basic POLO - ROYAL BLUE"/>
    <s v="Men's T-Shirts &amp; Polos"/>
    <x v="0"/>
    <x v="0"/>
    <s v="Royal Blue"/>
    <s v="M"/>
    <n v="11.98"/>
    <n v="5.86"/>
    <s v="SALE"/>
    <s v="EUR"/>
    <n v="178"/>
    <s v="5.0"/>
    <s v="36.0"/>
    <m/>
    <m/>
    <s v="Yes"/>
    <d v="2023-01-29T00:00:00"/>
    <s v="https://img01.ztat.net/article/ZL100214.jpg"/>
    <n v="0.51085141903171949"/>
    <s v="High"/>
  </r>
  <r>
    <s v="ZL100264"/>
    <s v="https://www.zalando.de/bershka-regular-fit-t-shirt---red-zl100264/"/>
    <x v="13"/>
    <s v="Regular Fit T-SHIRT - RED"/>
    <s v="Men's T-Shirts &amp; Polos"/>
    <x v="1"/>
    <x v="5"/>
    <s v="Red"/>
    <s v="M"/>
    <n v="25.94"/>
    <n v="12.72"/>
    <s v="SALE"/>
    <s v="EUR"/>
    <n v="396"/>
    <s v="0"/>
    <s v="35.0"/>
    <m/>
    <m/>
    <s v="Yes"/>
    <d v="2023-01-29T00:00:00"/>
    <s v="https://img01.ztat.net/article/ZL100264.jpg"/>
    <n v="0.5096376252891287"/>
    <s v="High"/>
  </r>
  <r>
    <s v="ZL100157"/>
    <s v="https://www.zalando.de/lacoste-print-polo---anthracite-zl100157/"/>
    <x v="4"/>
    <s v="Print POLO - ANTHRACITE"/>
    <s v="Men's T-Shirts &amp; Polos"/>
    <x v="0"/>
    <x v="2"/>
    <s v="Anthracite"/>
    <s v="M"/>
    <n v="27.57"/>
    <n v="13.57"/>
    <s v="SALE"/>
    <s v="EUR"/>
    <n v="77"/>
    <s v="4.6"/>
    <s v="40.0"/>
    <m/>
    <m/>
    <s v="Yes"/>
    <d v="2023-01-29T00:00:00"/>
    <s v="https://img01.ztat.net/article/ZL100157.jpg"/>
    <n v="0.50779833151976783"/>
    <s v="High"/>
  </r>
  <r>
    <s v="ZL100935"/>
    <s v="https://www.zalando.de/nike-essential-polo---bordeaux-zl100935/"/>
    <x v="25"/>
    <s v="Essential POLO - BORDEAUX"/>
    <s v="Men's T-Shirts &amp; Polos"/>
    <x v="0"/>
    <x v="2"/>
    <s v="Bordeaux"/>
    <s v="S"/>
    <n v="11.61"/>
    <n v="5.76"/>
    <s v="SALE"/>
    <s v="EUR"/>
    <n v="154"/>
    <s v="3.3"/>
    <s v="35.0"/>
    <m/>
    <m/>
    <s v="Yes"/>
    <d v="2023-01-29T00:00:00"/>
    <s v="https://img01.ztat.net/article/ZL100935.jpg"/>
    <n v="0.50387596899224807"/>
    <s v="High"/>
  </r>
  <r>
    <s v="ZL100414"/>
    <s v="https://www.zalando.de/anerkjendt-essential-polo---light-grey-zl100414/"/>
    <x v="26"/>
    <s v="Essential POLO - LIGHT GREY"/>
    <s v="Men's T-Shirts &amp; Polos"/>
    <x v="0"/>
    <x v="2"/>
    <s v="Light Grey"/>
    <s v="S"/>
    <n v="25.68"/>
    <n v="12.77"/>
    <s v="SALE"/>
    <s v="EUR"/>
    <n v="424"/>
    <s v="4.8"/>
    <s v="44.0"/>
    <m/>
    <m/>
    <s v="Yes"/>
    <d v="2023-01-29T00:00:00"/>
    <s v="https://img01.ztat.net/article/ZL100414.jpg"/>
    <n v="0.50272585669781933"/>
    <s v="High"/>
  </r>
  <r>
    <s v="ZL100074"/>
    <s v="https://www.zalando.de/nn07-essential-t-shirt---rust-zl100074/"/>
    <x v="25"/>
    <s v="Essential T-SHIRT - RUST"/>
    <s v="Men's T-Shirts &amp; Polos"/>
    <x v="1"/>
    <x v="4"/>
    <s v="Rust"/>
    <s v="M"/>
    <n v="32.99"/>
    <n v="16.43"/>
    <s v="SALE"/>
    <s v="EUR"/>
    <n v="598"/>
    <s v="0"/>
    <s v="34.0"/>
    <m/>
    <m/>
    <s v="Yes"/>
    <d v="2023-01-29T00:00:00"/>
    <s v="https://img01.ztat.net/article/ZL100074.jpg"/>
    <n v="0.50197029402849347"/>
    <s v="High"/>
  </r>
  <r>
    <s v="ZL100524"/>
    <s v="https://www.zalando.de/nn07-basic-polo---royal-blue-zl100524/"/>
    <x v="25"/>
    <s v="Basic POLO - ROYAL BLUE"/>
    <s v="Men's T-Shirts &amp; Polos"/>
    <x v="0"/>
    <x v="0"/>
    <s v="Royal Blue"/>
    <s v="XS"/>
    <n v="8.99"/>
    <n v="4.4800000000000004"/>
    <s v="SALE"/>
    <s v="EUR"/>
    <n v="798"/>
    <s v="4.1"/>
    <s v="30.0"/>
    <m/>
    <m/>
    <m/>
    <d v="2023-01-29T00:00:00"/>
    <s v="https://img01.ztat.net/article/ZL100524.jpg"/>
    <n v="0.50166852057842048"/>
    <s v="High"/>
  </r>
  <r>
    <s v="ZL100761"/>
    <s v="https://www.zalando.de/odlo-regular-fit-t-shirt---rust-zl100761/"/>
    <x v="27"/>
    <s v="Regular Fit T-SHIRT - RUST"/>
    <s v="Men's T-Shirts &amp; Polos"/>
    <x v="1"/>
    <x v="1"/>
    <s v="Rust"/>
    <s v="S"/>
    <n v="30.05"/>
    <n v="15.02"/>
    <s v="SALE"/>
    <s v="EUR"/>
    <n v="854"/>
    <s v="4.3"/>
    <s v="0"/>
    <m/>
    <m/>
    <s v="Yes"/>
    <d v="2023-01-29T00:00:00"/>
    <s v="https://img01.ztat.net/article/ZL100761.jpg"/>
    <n v="0.5001663893510816"/>
    <s v="High"/>
  </r>
  <r>
    <s v="ZL100827"/>
    <s v="https://www.zalando.de/cmp-regular-fit-t-shirt---off-white-zl100827/"/>
    <x v="28"/>
    <s v="Regular Fit T-SHIRT - OFF WHITE"/>
    <s v="Men's T-Shirts &amp; Polos"/>
    <x v="1"/>
    <x v="1"/>
    <s v="Off White"/>
    <s v="M"/>
    <n v="14.78"/>
    <n v="7.4"/>
    <s v="SALE"/>
    <s v="EUR"/>
    <n v="343"/>
    <s v="4.4"/>
    <s v="43.0"/>
    <m/>
    <m/>
    <s v="Yes"/>
    <d v="2023-01-29T00:00:00"/>
    <s v="https://img01.ztat.net/article/ZL100827.jpg"/>
    <n v="0.49932341001353175"/>
    <s v="Moderate"/>
  </r>
  <r>
    <s v="ZL100077"/>
    <s v="https://www.zalando.de/dickies-print-polo---white-zl100077/"/>
    <x v="29"/>
    <s v="Print POLO - WHITE"/>
    <s v="Men's T-Shirts &amp; Polos"/>
    <x v="0"/>
    <x v="2"/>
    <s v="White"/>
    <s v="S"/>
    <n v="31.93"/>
    <n v="16.02"/>
    <s v="SALE"/>
    <s v="EUR"/>
    <n v="971"/>
    <s v="3.1"/>
    <s v="0"/>
    <m/>
    <m/>
    <s v="Yes"/>
    <d v="2023-01-29T00:00:00"/>
    <s v="https://img01.ztat.net/article/ZL100077.jpg"/>
    <n v="0.49827748199185717"/>
    <s v="Moderate"/>
  </r>
  <r>
    <s v="ZL100276"/>
    <s v="https://www.zalando.de/cars-regular-fit-polo---white-zl100276/"/>
    <x v="30"/>
    <s v="Regular Fit POLO - WHITE"/>
    <s v="Men's T-Shirts &amp; Polos"/>
    <x v="0"/>
    <x v="3"/>
    <s v="White"/>
    <s v="XS"/>
    <n v="20.8"/>
    <n v="10.45"/>
    <s v="SALE"/>
    <s v="EUR"/>
    <n v="774"/>
    <s v="4.3"/>
    <s v="36.0"/>
    <m/>
    <m/>
    <s v="Yes"/>
    <d v="2023-01-29T00:00:00"/>
    <s v="https://img01.ztat.net/article/ZL100276.jpg"/>
    <n v="0.49759615384615391"/>
    <s v="Moderate"/>
  </r>
  <r>
    <s v="ZL100054"/>
    <s v="https://www.zalando.de/craft-basic-polo---denim-blue-zl100054/"/>
    <x v="31"/>
    <s v="Basic POLO - DENIM BLUE"/>
    <s v="Men's T-Shirts &amp; Polos"/>
    <x v="0"/>
    <x v="2"/>
    <s v="Denim Blue"/>
    <s v="XS"/>
    <n v="9.6999999999999993"/>
    <n v="4.88"/>
    <s v="SALE"/>
    <s v="EUR"/>
    <n v="228"/>
    <s v="3.2"/>
    <s v="37.0"/>
    <m/>
    <m/>
    <s v="Yes"/>
    <d v="2023-01-29T00:00:00"/>
    <s v="https://img01.ztat.net/article/ZL100054.jpg"/>
    <n v="0.49690721649484532"/>
    <s v="Moderate"/>
  </r>
  <r>
    <s v="ZL100471"/>
    <s v="https://www.zalando.de/carhartt-wip-slim-fit-t-shirt---grey-melange-zl100471/"/>
    <x v="32"/>
    <s v="Slim Fit T-SHIRT - GREY MELANGE"/>
    <s v="Men's T-Shirts &amp; Polos"/>
    <x v="1"/>
    <x v="4"/>
    <s v="Grey Melange"/>
    <s v="M"/>
    <n v="20.92"/>
    <n v="10.6"/>
    <s v="SALE"/>
    <s v="EUR"/>
    <n v="968"/>
    <s v="4.1"/>
    <s v="29.0"/>
    <m/>
    <m/>
    <s v="Yes"/>
    <d v="2023-01-29T00:00:00"/>
    <s v="https://img01.ztat.net/article/ZL100471.jpg"/>
    <n v="0.49330783938814537"/>
    <s v="Moderate"/>
  </r>
  <r>
    <s v="ZL100144"/>
    <s v="https://www.zalando.de/levi's-essential-polo---navy-zl100144/"/>
    <x v="33"/>
    <s v="Essential POLO - NAVY"/>
    <s v="Men's T-Shirts &amp; Polos"/>
    <x v="0"/>
    <x v="2"/>
    <s v="Navy"/>
    <s v="S"/>
    <n v="8.99"/>
    <n v="4.59"/>
    <s v="SALE"/>
    <s v="EUR"/>
    <n v="267"/>
    <s v="4.7"/>
    <s v="46.0"/>
    <m/>
    <m/>
    <s v="Yes"/>
    <d v="2023-01-29T00:00:00"/>
    <s v="https://img01.ztat.net/article/ZL100144.jpg"/>
    <n v="0.48943270300333708"/>
    <s v="Moderate"/>
  </r>
  <r>
    <s v="ZL100216"/>
    <s v="https://www.zalando.de/lacoste-print-t-shirt---grey-melange-zl100216/"/>
    <x v="4"/>
    <s v="Print T-SHIRT - GREY MELANGE"/>
    <s v="Men's T-Shirts &amp; Polos"/>
    <x v="1"/>
    <x v="4"/>
    <s v="Grey Melange"/>
    <s v="XS"/>
    <n v="8.99"/>
    <n v="4.59"/>
    <s v="SALE"/>
    <s v="EUR"/>
    <n v="779"/>
    <s v="0"/>
    <s v="33.0"/>
    <m/>
    <m/>
    <s v="No"/>
    <d v="2023-01-29T00:00:00"/>
    <s v="https://img01.ztat.net/article/ZL100216.jpg"/>
    <n v="0.48943270300333708"/>
    <s v="Moderate"/>
  </r>
  <r>
    <s v="ZL100302"/>
    <s v="https://www.zalando.de/adidas-performance-regular-fit-t-shirt---olive-zl100302/"/>
    <x v="6"/>
    <s v="Regular Fit T-SHIRT - OLIVE"/>
    <s v="Men's T-Shirts &amp; Polos"/>
    <x v="1"/>
    <x v="5"/>
    <s v="Olive"/>
    <s v="XS"/>
    <n v="12.47"/>
    <n v="6.37"/>
    <s v="SALE"/>
    <s v="EUR"/>
    <n v="432"/>
    <s v="4.4"/>
    <s v="36.0"/>
    <m/>
    <m/>
    <s v="Yes"/>
    <d v="2023-01-29T00:00:00"/>
    <s v="https://img01.ztat.net/article/ZL100302.jpg"/>
    <n v="0.48917401764234164"/>
    <s v="Moderate"/>
  </r>
  <r>
    <s v="ZL100217"/>
    <s v="https://www.zalando.de/jack-jones-junior-slim-fit-polo---mint-zl100217/"/>
    <x v="34"/>
    <s v="Slim Fit POLO - MINT"/>
    <s v="Men's T-Shirts &amp; Polos"/>
    <x v="0"/>
    <x v="3"/>
    <s v="Mint"/>
    <s v="S"/>
    <n v="11.45"/>
    <n v="5.85"/>
    <s v="SALE"/>
    <s v="EUR"/>
    <n v="80"/>
    <s v="4.4"/>
    <s v="32.0"/>
    <m/>
    <m/>
    <s v="Yes"/>
    <d v="2023-01-29T00:00:00"/>
    <s v="https://img01.ztat.net/article/ZL100217.jpg"/>
    <n v="0.48908296943231439"/>
    <s v="Moderate"/>
  </r>
  <r>
    <s v="ZL100525"/>
    <s v="https://www.zalando.de/adidas-performance-basic-t-shirt---denim-blue-zl100525/"/>
    <x v="6"/>
    <s v="Basic T-SHIRT - DENIM BLUE"/>
    <s v="Men's T-Shirts &amp; Polos"/>
    <x v="1"/>
    <x v="1"/>
    <s v="Denim Blue"/>
    <s v="S"/>
    <n v="8.99"/>
    <n v="4.6100000000000003"/>
    <s v="SALE"/>
    <s v="EUR"/>
    <n v="780"/>
    <s v="4.7"/>
    <s v="36.0"/>
    <m/>
    <m/>
    <s v="Yes"/>
    <d v="2023-01-29T00:00:00"/>
    <s v="https://img01.ztat.net/article/ZL100525.jpg"/>
    <n v="0.48720800889877641"/>
    <s v="Moderate"/>
  </r>
  <r>
    <s v="ZL100628"/>
    <s v="https://www.zalando.de/eterna-print-polo---dark-green-zl100628/"/>
    <x v="35"/>
    <s v="Print POLO - DARK GREEN"/>
    <s v="Men's T-Shirts &amp; Polos"/>
    <x v="0"/>
    <x v="2"/>
    <s v="Dark Green"/>
    <s v=""/>
    <n v="26.39"/>
    <n v="13.56"/>
    <s v="SALE"/>
    <s v="EUR"/>
    <n v="705"/>
    <s v="4.4"/>
    <s v="23.0"/>
    <m/>
    <m/>
    <s v="Yes"/>
    <d v="2023-01-29T00:00:00"/>
    <s v="https://img01.ztat.net/article/ZL100628.jpg"/>
    <n v="0.48616900341038272"/>
    <s v="Moderate"/>
  </r>
  <r>
    <s v="ZL100488"/>
    <s v="https://www.zalando.de/levi's-regular-fit-polo---black-zl100488/"/>
    <x v="33"/>
    <s v="Regular Fit POLO - BLACK"/>
    <s v="Men's T-Shirts &amp; Polos"/>
    <x v="0"/>
    <x v="0"/>
    <s v="Black"/>
    <s v="S"/>
    <n v="22.9"/>
    <n v="11.82"/>
    <s v="SALE"/>
    <s v="EUR"/>
    <n v="422"/>
    <s v="3.1"/>
    <s v="32.0"/>
    <m/>
    <m/>
    <s v="No"/>
    <d v="2023-01-29T00:00:00"/>
    <s v="https://img01.ztat.net/article/ZL100488.jpg"/>
    <n v="0.48384279475982528"/>
    <s v="Moderate"/>
  </r>
  <r>
    <s v="ZL100393"/>
    <s v="https://www.zalando.de/urban-classics-slim-fit-t-shirt---bordeaux-zl100393/"/>
    <x v="36"/>
    <s v="Slim Fit T-SHIRT - BORDEAUX"/>
    <s v="Men's T-Shirts &amp; Polos"/>
    <x v="1"/>
    <x v="5"/>
    <s v="Bordeaux"/>
    <s v="M"/>
    <n v="8.99"/>
    <n v="4.66"/>
    <s v="SALE"/>
    <s v="EUR"/>
    <n v="235"/>
    <s v="0"/>
    <s v="30.0"/>
    <m/>
    <m/>
    <s v="Yes"/>
    <d v="2023-01-29T00:00:00"/>
    <s v="https://img01.ztat.net/article/ZL100393.jpg"/>
    <n v="0.48164627363737483"/>
    <s v="Moderate"/>
  </r>
  <r>
    <s v="ZL100889"/>
    <s v="https://www.zalando.de/puma-regular-fit-t-shirt---red-zl100889/"/>
    <x v="21"/>
    <s v="Regular Fit T-SHIRT - RED"/>
    <s v="Men's T-Shirts &amp; Polos"/>
    <x v="1"/>
    <x v="5"/>
    <s v="Red"/>
    <s v="S"/>
    <n v="9.99"/>
    <n v="5.18"/>
    <s v="SALE"/>
    <s v="EUR"/>
    <n v="907"/>
    <s v="4.2"/>
    <s v="0"/>
    <m/>
    <m/>
    <s v="Yes"/>
    <d v="2023-01-29T00:00:00"/>
    <s v="https://img01.ztat.net/article/ZL100889.jpg"/>
    <n v="0.48148148148148151"/>
    <s v="Moderate"/>
  </r>
  <r>
    <s v="ZL100856"/>
    <s v="https://www.zalando.de/nike-regular-fit-t-shirt---dark-green-zl100856/"/>
    <x v="25"/>
    <s v="Regular Fit T-SHIRT - DARK GREEN"/>
    <s v="Men's T-Shirts &amp; Polos"/>
    <x v="1"/>
    <x v="1"/>
    <s v="Dark Green"/>
    <s v="XS"/>
    <n v="13.57"/>
    <n v="7.07"/>
    <s v="SALE"/>
    <s v="EUR"/>
    <n v="254"/>
    <s v="4.5"/>
    <s v="36.0"/>
    <m/>
    <m/>
    <s v="No"/>
    <d v="2023-01-29T00:00:00"/>
    <s v="https://img01.ztat.net/article/ZL100856.jpg"/>
    <n v="0.47899778924097275"/>
    <s v="Moderate"/>
  </r>
  <r>
    <s v="ZL100586"/>
    <s v="https://www.zalando.de/reebok-regular-fit-polo---khaki-zl100586/"/>
    <x v="37"/>
    <s v="Regular Fit POLO - KHAKI"/>
    <s v="Men's T-Shirts &amp; Polos"/>
    <x v="0"/>
    <x v="3"/>
    <s v="Khaki"/>
    <s v="S"/>
    <n v="23.14"/>
    <n v="12.07"/>
    <s v="SALE"/>
    <s v="EUR"/>
    <n v="449"/>
    <s v="4.8"/>
    <s v="44.0"/>
    <m/>
    <m/>
    <s v="Yes"/>
    <d v="2023-01-29T00:00:00"/>
    <s v="https://img01.ztat.net/article/ZL100586.jpg"/>
    <n v="0.47839239412273121"/>
    <s v="Moderate"/>
  </r>
  <r>
    <s v="ZL100303"/>
    <s v="https://www.zalando.de/blend-she-essential-polo---bordeaux-zl100303/"/>
    <x v="38"/>
    <s v="Essential POLO - BORDEAUX"/>
    <s v="Men's T-Shirts &amp; Polos"/>
    <x v="0"/>
    <x v="3"/>
    <s v="Bordeaux"/>
    <s v="XS"/>
    <n v="8.99"/>
    <n v="4.7"/>
    <s v="SALE"/>
    <s v="EUR"/>
    <n v="957"/>
    <s v="4.8"/>
    <s v="24.0"/>
    <m/>
    <m/>
    <s v="Yes"/>
    <d v="2023-01-29T00:00:00"/>
    <s v="https://img01.ztat.net/article/ZL100303.jpg"/>
    <n v="0.47719688542825361"/>
    <s v="Moderate"/>
  </r>
  <r>
    <s v="ZL100606"/>
    <s v="https://www.zalando.de/fila-essential-t-shirt---rust-zl100606/"/>
    <x v="39"/>
    <s v="Essential T-SHIRT - RUST"/>
    <s v="Men's T-Shirts &amp; Polos"/>
    <x v="1"/>
    <x v="5"/>
    <s v="Rust"/>
    <s v="XS"/>
    <n v="16.07"/>
    <n v="8.4499999999999993"/>
    <s v="SALE"/>
    <s v="EUR"/>
    <n v="789"/>
    <s v="3.3"/>
    <s v="33.0"/>
    <m/>
    <m/>
    <s v="Yes"/>
    <d v="2023-01-29T00:00:00"/>
    <s v="https://img01.ztat.net/article/ZL100606.jpg"/>
    <n v="0.47417548226509026"/>
    <s v="Moderate"/>
  </r>
  <r>
    <s v="ZL100121"/>
    <s v="https://www.zalando.de/jack-jones-junior-print-t-shirt---red-zl100121/"/>
    <x v="34"/>
    <s v="Print T-SHIRT - RED"/>
    <s v="Men's T-Shirts &amp; Polos"/>
    <x v="1"/>
    <x v="1"/>
    <s v="Red"/>
    <s v="S"/>
    <n v="16.12"/>
    <n v="8.56"/>
    <s v="SALE"/>
    <s v="EUR"/>
    <n v="66"/>
    <s v="4.3"/>
    <s v="33.0"/>
    <m/>
    <m/>
    <s v="Yes"/>
    <d v="2023-01-29T00:00:00"/>
    <s v="https://img01.ztat.net/article/ZL100121.jpg"/>
    <n v="0.46898263027295284"/>
    <s v="Moderate"/>
  </r>
  <r>
    <s v="ZL100769"/>
    <s v="https://www.zalando.de/threadbare-regular-fit-polo---mint-zl100769/"/>
    <x v="40"/>
    <s v="Regular Fit POLO - MINT"/>
    <s v="Men's T-Shirts &amp; Polos"/>
    <x v="0"/>
    <x v="2"/>
    <s v="Mint"/>
    <s v="S"/>
    <n v="24.26"/>
    <n v="12.91"/>
    <s v="SALE"/>
    <s v="EUR"/>
    <n v="407"/>
    <s v="3.3"/>
    <s v="43.0"/>
    <m/>
    <m/>
    <s v="No"/>
    <d v="2023-01-29T00:00:00"/>
    <s v="https://img01.ztat.net/article/ZL100769.jpg"/>
    <n v="0.46784830997526794"/>
    <s v="Moderate"/>
  </r>
  <r>
    <s v="ZL100953"/>
    <s v="https://www.zalando.de/produkt-basic-polo---red-zl100953/"/>
    <x v="0"/>
    <s v="Basic POLO - RED"/>
    <s v="Men's T-Shirts &amp; Polos"/>
    <x v="0"/>
    <x v="3"/>
    <s v="Red"/>
    <s v="S"/>
    <n v="11.45"/>
    <n v="6.13"/>
    <s v="SALE"/>
    <s v="EUR"/>
    <n v="611"/>
    <s v="4.0"/>
    <s v="23.0"/>
    <m/>
    <m/>
    <s v="Yes"/>
    <d v="2023-01-29T00:00:00"/>
    <s v="https://img01.ztat.net/article/ZL100953.jpg"/>
    <n v="0.46462882096069869"/>
    <s v="Moderate"/>
  </r>
  <r>
    <s v="ZL100253"/>
    <s v="https://www.zalando.de/cars-slim-fit-t-shirt---grey-melange-zl100253/"/>
    <x v="30"/>
    <s v="Slim Fit T-SHIRT - GREY MELANGE"/>
    <s v="Men's T-Shirts &amp; Polos"/>
    <x v="1"/>
    <x v="1"/>
    <s v="Grey Melange"/>
    <s v="XS"/>
    <n v="24.91"/>
    <n v="13.35"/>
    <s v="SALE"/>
    <s v="EUR"/>
    <n v="646"/>
    <s v="0"/>
    <s v="23.0"/>
    <m/>
    <m/>
    <s v="Yes"/>
    <d v="2023-01-29T00:00:00"/>
    <s v="https://img01.ztat.net/article/ZL100253.jpg"/>
    <n v="0.46407065435568046"/>
    <s v="Moderate"/>
  </r>
  <r>
    <s v="ZL100738"/>
    <s v="https://www.zalando.de/seidensticker-slim-fit-t-shirt---olive-zl100738/"/>
    <x v="41"/>
    <s v="Slim Fit T-SHIRT - OLIVE"/>
    <s v="Men's T-Shirts &amp; Polos"/>
    <x v="1"/>
    <x v="4"/>
    <s v="Olive"/>
    <s v="XS"/>
    <n v="8.99"/>
    <n v="4.82"/>
    <s v="SALE"/>
    <s v="EUR"/>
    <n v="452"/>
    <s v="4.9"/>
    <s v="47.0"/>
    <m/>
    <m/>
    <s v="Yes"/>
    <d v="2023-01-29T00:00:00"/>
    <s v="https://img01.ztat.net/article/ZL100738.jpg"/>
    <n v="0.46384872080088985"/>
    <s v="Moderate"/>
  </r>
  <r>
    <s v="ZL100078"/>
    <s v="https://www.zalando.de/herrlicher-essential-polo---grey-melange-zl100078/"/>
    <x v="42"/>
    <s v="Essential POLO - GREY MELANGE"/>
    <s v="Men's T-Shirts &amp; Polos"/>
    <x v="0"/>
    <x v="3"/>
    <s v="Grey Melange"/>
    <s v="S"/>
    <n v="25.69"/>
    <n v="13.79"/>
    <s v="SALE"/>
    <s v="EUR"/>
    <n v="927"/>
    <s v="0"/>
    <s v="38.0"/>
    <m/>
    <m/>
    <s v="Yes"/>
    <d v="2023-01-29T00:00:00"/>
    <s v="https://img01.ztat.net/article/ZL100078.jpg"/>
    <n v="0.4632152588555859"/>
    <s v="Moderate"/>
  </r>
  <r>
    <s v="ZL100840"/>
    <s v="https://www.zalando.de/adidas-performance-print-polo---beige-zl100840/"/>
    <x v="6"/>
    <s v="Print POLO - BEIGE"/>
    <s v="Men's T-Shirts &amp; Polos"/>
    <x v="0"/>
    <x v="3"/>
    <s v="Beige"/>
    <s v="S"/>
    <n v="15.08"/>
    <n v="8.1199999999999992"/>
    <s v="SALE"/>
    <s v="EUR"/>
    <n v="85"/>
    <s v="3.9"/>
    <s v="31.0"/>
    <m/>
    <m/>
    <s v="Yes"/>
    <d v="2023-01-29T00:00:00"/>
    <s v="https://img01.ztat.net/article/ZL100840.jpg"/>
    <n v="0.46153846153846162"/>
    <s v="Moderate"/>
  </r>
  <r>
    <s v="ZL100573"/>
    <s v="https://www.zalando.de/replay-regular-fit-polo---bordeaux-zl100573/"/>
    <x v="43"/>
    <s v="Regular Fit POLO - BORDEAUX"/>
    <s v="Men's T-Shirts &amp; Polos"/>
    <x v="0"/>
    <x v="2"/>
    <s v="Bordeaux"/>
    <s v="S"/>
    <n v="44.31"/>
    <n v="23.86"/>
    <s v="SALE"/>
    <s v="EUR"/>
    <n v="630"/>
    <s v="4.8"/>
    <s v="34.0"/>
    <m/>
    <m/>
    <s v="Yes"/>
    <d v="2023-01-29T00:00:00"/>
    <s v="https://img01.ztat.net/article/ZL100573.jpg"/>
    <n v="0.46152110133152791"/>
    <s v="Moderate"/>
  </r>
  <r>
    <s v="ZL100201"/>
    <s v="https://www.zalando.de/tommy-hilfiger-slim-fit-t-shirt---beige-zl100201/"/>
    <x v="8"/>
    <s v="Slim Fit T-SHIRT - BEIGE"/>
    <s v="Men's T-Shirts &amp; Polos"/>
    <x v="1"/>
    <x v="1"/>
    <s v="Beige"/>
    <s v="S"/>
    <n v="10.41"/>
    <n v="5.62"/>
    <s v="SALE"/>
    <s v="EUR"/>
    <n v="597"/>
    <s v="4.3"/>
    <s v="37.0"/>
    <m/>
    <m/>
    <s v="Yes"/>
    <d v="2023-01-29T00:00:00"/>
    <s v="https://img01.ztat.net/article/ZL100201.jpg"/>
    <n v="0.46013448607108548"/>
    <s v="Moderate"/>
  </r>
  <r>
    <s v="ZL100520"/>
    <s v="https://www.zalando.de/won-hundred-essential-polo---rust-zl100520/"/>
    <x v="44"/>
    <s v="Essential POLO - RUST"/>
    <s v="Men's T-Shirts &amp; Polos"/>
    <x v="0"/>
    <x v="2"/>
    <s v="Rust"/>
    <s v="XS"/>
    <n v="24.42"/>
    <n v="13.2"/>
    <s v="SALE"/>
    <s v="EUR"/>
    <n v="187"/>
    <s v="3.9"/>
    <s v="35.0"/>
    <m/>
    <m/>
    <m/>
    <d v="2023-01-29T00:00:00"/>
    <s v="https://img01.ztat.net/article/ZL100520.jpg"/>
    <n v="0.45945945945945954"/>
    <s v="Moderate"/>
  </r>
  <r>
    <s v="ZL100344"/>
    <s v="https://www.zalando.de/tommy-hilfiger-basic-polo---grey-melange-zl100344/"/>
    <x v="8"/>
    <s v="Basic POLO - GREY MELANGE"/>
    <s v="Men's T-Shirts &amp; Polos"/>
    <x v="0"/>
    <x v="0"/>
    <s v="Grey Melange"/>
    <s v="S"/>
    <n v="40.21"/>
    <n v="21.77"/>
    <s v="SALE"/>
    <s v="EUR"/>
    <n v="479"/>
    <s v="4.4"/>
    <s v="39.0"/>
    <m/>
    <m/>
    <s v="No"/>
    <d v="2023-01-29T00:00:00"/>
    <s v="https://img01.ztat.net/article/ZL100344.jpg"/>
    <n v="0.45859238995274809"/>
    <s v="Moderate"/>
  </r>
  <r>
    <s v="ZL100680"/>
    <s v="https://www.zalando.de/won-hundred-print-polo---rust-zl100680/"/>
    <x v="44"/>
    <s v="Print POLO - RUST"/>
    <s v="Men's T-Shirts &amp; Polos"/>
    <x v="0"/>
    <x v="0"/>
    <s v="Rust"/>
    <s v="M"/>
    <n v="24.2"/>
    <n v="13.11"/>
    <s v="SALE"/>
    <s v="EUR"/>
    <n v="69"/>
    <s v="3.9"/>
    <s v="34.0"/>
    <m/>
    <m/>
    <s v="Yes"/>
    <d v="2023-01-29T00:00:00"/>
    <s v="https://img01.ztat.net/article/ZL100680.jpg"/>
    <n v="0.45826446280991734"/>
    <s v="Moderate"/>
  </r>
  <r>
    <s v="ZL100175"/>
    <s v="https://www.zalando.de/colours-and-sons-slim-fit-polo---beige-zl100175/"/>
    <x v="45"/>
    <s v="Slim Fit POLO - BEIGE"/>
    <s v="Men's T-Shirts &amp; Polos"/>
    <x v="0"/>
    <x v="3"/>
    <s v="Beige"/>
    <s v="XS"/>
    <n v="21.24"/>
    <n v="11.55"/>
    <s v="SALE"/>
    <s v="EUR"/>
    <n v="416"/>
    <s v="0"/>
    <s v="41.0"/>
    <m/>
    <m/>
    <s v="Yes"/>
    <d v="2023-01-29T00:00:00"/>
    <s v="https://img01.ztat.net/article/ZL100175.jpg"/>
    <n v="0.45621468926553665"/>
    <s v="Moderate"/>
  </r>
  <r>
    <s v="ZL100247"/>
    <s v="https://www.zalando.de/fila-slim-fit-t-shirt---mint-zl100247/"/>
    <x v="39"/>
    <s v="Slim Fit T-SHIRT - MINT"/>
    <s v="Men's T-Shirts &amp; Polos"/>
    <x v="1"/>
    <x v="4"/>
    <s v="Mint"/>
    <s v="S"/>
    <n v="8.99"/>
    <n v="4.8899999999999997"/>
    <s v="SALE"/>
    <s v="EUR"/>
    <n v="478"/>
    <s v="3.8"/>
    <s v="38.0"/>
    <m/>
    <m/>
    <s v="No"/>
    <d v="2023-01-29T00:00:00"/>
    <s v="https://img01.ztat.net/article/ZL100247.jpg"/>
    <n v="0.45606229143492777"/>
    <s v="Moderate"/>
  </r>
  <r>
    <s v="ZL100988"/>
    <s v="https://www.zalando.de/weekday-slim-fit-t-shirt---white-zl100988/"/>
    <x v="46"/>
    <s v="Slim Fit T-SHIRT - WHITE"/>
    <s v="Men's T-Shirts &amp; Polos"/>
    <x v="1"/>
    <x v="5"/>
    <s v="White"/>
    <s v="S"/>
    <n v="9.27"/>
    <n v="5.0599999999999996"/>
    <s v="SALE"/>
    <s v="EUR"/>
    <n v="872"/>
    <s v="3.2"/>
    <s v="36.0"/>
    <m/>
    <m/>
    <s v="Yes"/>
    <d v="2023-01-29T00:00:00"/>
    <s v="https://img01.ztat.net/article/ZL100988.jpg"/>
    <n v="0.45415318230852214"/>
    <s v="Moderate"/>
  </r>
  <r>
    <s v="ZL100370"/>
    <s v="https://www.zalando.de/teddy-smith-basic-polo---red-zl100370/"/>
    <x v="47"/>
    <s v="Basic POLO - RED"/>
    <s v="Men's T-Shirts &amp; Polos"/>
    <x v="0"/>
    <x v="2"/>
    <s v="Red"/>
    <s v="XS"/>
    <n v="13.11"/>
    <n v="7.18"/>
    <s v="SALE"/>
    <s v="EUR"/>
    <n v="732"/>
    <s v="3.6"/>
    <s v="N/A"/>
    <m/>
    <m/>
    <s v="Yes"/>
    <d v="2023-01-29T00:00:00"/>
    <s v="https://img01.ztat.net/article/ZL100370.jpg"/>
    <n v="0.45232646834477497"/>
    <s v="Moderate"/>
  </r>
  <r>
    <s v="ZL100584"/>
    <s v="https://www.zalando.de/eterna-regular-fit-t-shirt---khaki-zl100584/"/>
    <x v="35"/>
    <s v="Regular Fit T-SHIRT - KHAKI"/>
    <s v="Men's T-Shirts &amp; Polos"/>
    <x v="1"/>
    <x v="5"/>
    <s v="Khaki"/>
    <s v="XS"/>
    <n v="11.58"/>
    <n v="6.39"/>
    <s v="SALE"/>
    <s v="EUR"/>
    <n v="68"/>
    <s v="4.0"/>
    <s v="0"/>
    <m/>
    <m/>
    <s v="No"/>
    <d v="2023-01-29T00:00:00"/>
    <s v="https://img01.ztat.net/article/ZL100584.jpg"/>
    <n v="0.44818652849740936"/>
    <s v="Moderate"/>
  </r>
  <r>
    <s v="ZL100562"/>
    <s v="https://www.zalando.de/cars-regular-fit-polo---dark-blue-zl100562/"/>
    <x v="30"/>
    <s v="Regular Fit POLO - DARK BLUE"/>
    <s v="Men's T-Shirts &amp; Polos"/>
    <x v="0"/>
    <x v="2"/>
    <s v="Dark Blue"/>
    <s v="S"/>
    <n v="10.75"/>
    <n v="5.94"/>
    <s v="SALE"/>
    <s v="EUR"/>
    <n v="579"/>
    <s v="0"/>
    <s v="0"/>
    <m/>
    <m/>
    <s v="Yes"/>
    <d v="2023-01-29T00:00:00"/>
    <s v="https://img01.ztat.net/article/ZL100562.jpg"/>
    <n v="0.44744186046511625"/>
    <s v="Moderate"/>
  </r>
  <r>
    <s v="ZL100503"/>
    <s v="https://www.zalando.de/tommy-hilfiger-essential-polo---denim-blue-zl100503/"/>
    <x v="8"/>
    <s v="Essential POLO - DENIM BLUE"/>
    <s v="Men's T-Shirts &amp; Polos"/>
    <x v="0"/>
    <x v="3"/>
    <s v="Denim Blue"/>
    <s v="XS"/>
    <n v="10.98"/>
    <n v="6.09"/>
    <s v="SALE"/>
    <s v="EUR"/>
    <n v="260"/>
    <s v="4.5"/>
    <s v="32.0"/>
    <m/>
    <m/>
    <s v="Yes"/>
    <d v="2023-01-29T00:00:00"/>
    <s v="https://img01.ztat.net/article/ZL100503.jpg"/>
    <n v="0.44535519125683065"/>
    <s v="Moderate"/>
  </r>
  <r>
    <s v="ZL100481"/>
    <s v="https://www.zalando.de/boss-regular-fit-t-shirt---red-zl100481/"/>
    <x v="48"/>
    <s v="Regular Fit T-SHIRT - RED"/>
    <s v="Men's T-Shirts &amp; Polos"/>
    <x v="1"/>
    <x v="4"/>
    <s v="Red"/>
    <s v="XS"/>
    <n v="20.34"/>
    <n v="11.3"/>
    <s v="SALE"/>
    <s v="EUR"/>
    <n v="600"/>
    <s v="3.7"/>
    <s v="41.0"/>
    <m/>
    <m/>
    <s v="Yes"/>
    <d v="2023-01-29T00:00:00"/>
    <s v="https://img01.ztat.net/article/ZL100481.jpg"/>
    <n v="0.44444444444444442"/>
    <s v="Moderate"/>
  </r>
  <r>
    <s v="ZL100663"/>
    <s v="https://www.zalando.de/yourturn-print-t-shirt---rust-zl100663/"/>
    <x v="49"/>
    <s v="Print T-SHIRT - RUST"/>
    <s v="Men's T-Shirts &amp; Polos"/>
    <x v="1"/>
    <x v="4"/>
    <s v="Rust"/>
    <s v="XS"/>
    <n v="27.51"/>
    <n v="15.36"/>
    <s v="SALE"/>
    <s v="EUR"/>
    <n v="215"/>
    <s v="3.2"/>
    <s v="0"/>
    <m/>
    <m/>
    <s v="Yes"/>
    <d v="2023-01-29T00:00:00"/>
    <s v="https://img01.ztat.net/article/ZL100663.jpg"/>
    <n v="0.44165757906215924"/>
    <s v="Moderate"/>
  </r>
  <r>
    <s v="ZL100204"/>
    <s v="https://www.zalando.de/nike-regular-fit-t-shirt---white-zl100204/"/>
    <x v="25"/>
    <s v="Regular Fit T-SHIRT - WHITE"/>
    <s v="Men's T-Shirts &amp; Polos"/>
    <x v="1"/>
    <x v="6"/>
    <s v="White"/>
    <s v="S"/>
    <n v="29.23"/>
    <n v="16.36"/>
    <s v="SALE"/>
    <s v="EUR"/>
    <n v="484"/>
    <s v="3.7"/>
    <s v="27.0"/>
    <m/>
    <m/>
    <m/>
    <d v="2023-01-29T00:00:00"/>
    <s v="https://img01.ztat.net/article/ZL100204.jpg"/>
    <n v="0.44030106055422513"/>
    <s v="Moderate"/>
  </r>
  <r>
    <s v="ZL100234"/>
    <s v="https://www.zalando.de/lacoste-basic-t-shirt---dark-blue-zl100234/"/>
    <x v="4"/>
    <s v="Basic T-SHIRT - DARK BLUE"/>
    <s v="Men's T-Shirts &amp; Polos"/>
    <x v="1"/>
    <x v="4"/>
    <s v="Dark Blue"/>
    <s v="S"/>
    <n v="14.31"/>
    <n v="8.01"/>
    <s v="SALE"/>
    <s v="EUR"/>
    <n v="386"/>
    <s v="4.3"/>
    <s v="34.0"/>
    <m/>
    <m/>
    <s v="Yes"/>
    <d v="2023-01-29T00:00:00"/>
    <s v="https://img01.ztat.net/article/ZL100234.jpg"/>
    <n v="0.44025157232704404"/>
    <s v="Moderate"/>
  </r>
  <r>
    <s v="ZL100220"/>
    <s v="https://www.zalando.de/nike-regular-fit-polo---black-zl100220/"/>
    <x v="25"/>
    <s v="Regular Fit POLO - BLACK"/>
    <s v="Men's T-Shirts &amp; Polos"/>
    <x v="0"/>
    <x v="3"/>
    <s v="Black"/>
    <s v="XS"/>
    <n v="10.18"/>
    <n v="5.7"/>
    <s v="SALE"/>
    <s v="EUR"/>
    <n v="576"/>
    <s v="4.4"/>
    <s v="39.0"/>
    <m/>
    <m/>
    <s v="Yes"/>
    <d v="2023-01-29T00:00:00"/>
    <s v="https://img01.ztat.net/article/ZL100220.jpg"/>
    <n v="0.44007858546168954"/>
    <s v="Moderate"/>
  </r>
  <r>
    <s v="ZL100823"/>
    <s v="https://www.zalando.de/puma-print-t-shirt---grey-melange-zl100823/"/>
    <x v="21"/>
    <s v="Print T-SHIRT - GREY MELANGE"/>
    <s v="Men's T-Shirts &amp; Polos"/>
    <x v="1"/>
    <x v="1"/>
    <s v="Grey Melange"/>
    <s v="M"/>
    <n v="8.99"/>
    <n v="5.04"/>
    <s v="SALE"/>
    <s v="EUR"/>
    <n v="702"/>
    <s v="0"/>
    <s v="31.0"/>
    <m/>
    <m/>
    <s v="Yes"/>
    <d v="2023-01-29T00:00:00"/>
    <s v="https://img01.ztat.net/article/ZL100823.jpg"/>
    <n v="0.43937708565072303"/>
    <s v="Moderate"/>
  </r>
  <r>
    <s v="ZL100510"/>
    <s v="https://www.zalando.de/adidas-performance-essential-polo---denim-blue-zl100510/"/>
    <x v="6"/>
    <s v="Essential POLO - DENIM BLUE"/>
    <s v="Men's T-Shirts &amp; Polos"/>
    <x v="0"/>
    <x v="2"/>
    <s v="Denim Blue"/>
    <s v="XS"/>
    <n v="39.24"/>
    <n v="22.12"/>
    <s v="SALE"/>
    <s v="EUR"/>
    <n v="921"/>
    <s v="4.0"/>
    <s v="40.0"/>
    <m/>
    <m/>
    <s v="Yes"/>
    <d v="2023-01-29T00:00:00"/>
    <s v="https://img01.ztat.net/article/ZL100510.jpg"/>
    <n v="0.43628950050968401"/>
    <s v="Moderate"/>
  </r>
  <r>
    <s v="ZL100664"/>
    <s v="https://www.zalando.de/napapijri-basic-polo---khaki-zl100664/"/>
    <x v="50"/>
    <s v="Basic POLO - KHAKI"/>
    <s v="Men's T-Shirts &amp; Polos"/>
    <x v="0"/>
    <x v="3"/>
    <s v="Khaki"/>
    <s v="XS"/>
    <n v="18.36"/>
    <n v="10.35"/>
    <s v="SALE"/>
    <s v="EUR"/>
    <n v="591"/>
    <s v="3.3"/>
    <s v="0"/>
    <m/>
    <m/>
    <s v="Yes"/>
    <d v="2023-01-29T00:00:00"/>
    <s v="https://img01.ztat.net/article/ZL100664.jpg"/>
    <n v="0.43627450980392157"/>
    <s v="Moderate"/>
  </r>
  <r>
    <s v="ZL100686"/>
    <s v="https://www.zalando.de/adidas-performance-print-polo---grey-melange-zl100686/"/>
    <x v="6"/>
    <s v="Print POLO - GREY MELANGE"/>
    <s v="Men's T-Shirts &amp; Polos"/>
    <x v="0"/>
    <x v="2"/>
    <s v="Grey Melange"/>
    <s v="S"/>
    <n v="10.25"/>
    <n v="5.81"/>
    <s v="SALE"/>
    <s v="EUR"/>
    <n v="724"/>
    <s v="3.3"/>
    <s v="38.0"/>
    <m/>
    <m/>
    <s v="Yes"/>
    <d v="2023-01-29T00:00:00"/>
    <s v="https://img01.ztat.net/article/ZL100686.jpg"/>
    <n v="0.43317073170731712"/>
    <s v="Moderate"/>
  </r>
  <r>
    <s v="ZL100407"/>
    <s v="https://www.zalando.de/adidas-performance-print-t-shirt---off-white-zl100407/"/>
    <x v="6"/>
    <s v="Print T-SHIRT - OFF WHITE"/>
    <s v="Men's T-Shirts &amp; Polos"/>
    <x v="1"/>
    <x v="5"/>
    <m/>
    <s v="S"/>
    <n v="8.99"/>
    <n v="5.0999999999999996"/>
    <s v="SALE"/>
    <s v="EUR"/>
    <n v="45"/>
    <s v="4.6"/>
    <s v="40.0"/>
    <m/>
    <m/>
    <s v="Yes"/>
    <d v="2023-01-29T00:00:00"/>
    <s v="https://img01.ztat.net/article/ZL100407.jpg"/>
    <n v="0.4327030033370412"/>
    <s v="Moderate"/>
  </r>
  <r>
    <s v="ZL100140"/>
    <s v="https://www.zalando.de/adidas-performance-essential-t-shirt---dark-blue-zl100140/"/>
    <x v="6"/>
    <s v="Essential T-SHIRT - DARK BLUE"/>
    <s v="Men's T-Shirts &amp; Polos"/>
    <x v="1"/>
    <x v="1"/>
    <s v="Dark Blue"/>
    <s v="XS"/>
    <n v="33.380000000000003"/>
    <n v="18.940000000000001"/>
    <s v="SALE"/>
    <s v="EUR"/>
    <n v="307"/>
    <s v="3.8"/>
    <s v="0"/>
    <m/>
    <m/>
    <s v="No"/>
    <d v="2023-01-29T00:00:00"/>
    <s v="https://img01.ztat.net/article/ZL100140.jpg"/>
    <n v="0.43259436788496108"/>
    <s v="Moderate"/>
  </r>
  <r>
    <s v="ZL100913"/>
    <s v="https://www.zalando.de/mazine-essential-polo---red-zl100913/"/>
    <x v="51"/>
    <s v="Essential POLO - RED"/>
    <s v="Men's T-Shirts &amp; Polos"/>
    <x v="0"/>
    <x v="2"/>
    <s v="Red"/>
    <s v="XS"/>
    <n v="11.8"/>
    <n v="6.7"/>
    <s v="SALE"/>
    <s v="EUR"/>
    <n v="824"/>
    <s v="4.4"/>
    <s v="32.0"/>
    <m/>
    <m/>
    <s v="Yes"/>
    <d v="2023-01-29T00:00:00"/>
    <s v="https://img01.ztat.net/article/ZL100913.jpg"/>
    <n v="0.43220338983050849"/>
    <s v="Moderate"/>
  </r>
  <r>
    <s v="ZL100372"/>
    <s v="https://www.zalando.de/anerkjendt-print-polo---anthracite-zl100372/"/>
    <x v="26"/>
    <s v="Print POLO - ANTHRACITE"/>
    <s v="Men's T-Shirts &amp; Polos"/>
    <x v="0"/>
    <x v="2"/>
    <s v="Anthracite"/>
    <s v=""/>
    <n v="16.98"/>
    <n v="9.65"/>
    <s v="SALE"/>
    <s v="EUR"/>
    <n v="748"/>
    <s v="3.3"/>
    <s v="39.0"/>
    <m/>
    <m/>
    <s v="Yes"/>
    <d v="2023-01-29T00:00:00"/>
    <s v="https://img01.ztat.net/article/ZL100372.jpg"/>
    <n v="0.43168433451118965"/>
    <s v="Moderate"/>
  </r>
  <r>
    <s v="ZL100166"/>
    <s v="https://www.zalando.de/van-laack-regular-fit-t-shirt---off-white-zl100166/"/>
    <x v="9"/>
    <s v="Regular Fit T-SHIRT - OFF WHITE"/>
    <s v="Men's T-Shirts &amp; Polos"/>
    <x v="1"/>
    <x v="5"/>
    <m/>
    <s v="S"/>
    <n v="11.01"/>
    <n v="6.26"/>
    <s v="SALE"/>
    <s v="EUR"/>
    <n v="5"/>
    <s v="4.7"/>
    <s v="38.0"/>
    <m/>
    <m/>
    <s v="Yes"/>
    <d v="2023-01-29T00:00:00"/>
    <s v="https://img01.ztat.net/article/ZL100166.jpg"/>
    <n v="0.43142597638510444"/>
    <s v="Moderate"/>
  </r>
  <r>
    <s v="ZL100924"/>
    <s v="https://www.zalando.de/element-essential-t-shirt---light-grey-zl100924/"/>
    <x v="52"/>
    <s v="Essential T-SHIRT - LIGHT GREY"/>
    <s v="Men's T-Shirts &amp; Polos"/>
    <x v="1"/>
    <x v="6"/>
    <s v="Light Grey"/>
    <s v="M"/>
    <n v="8.99"/>
    <n v="5.12"/>
    <s v="SALE"/>
    <s v="EUR"/>
    <n v="890"/>
    <s v="0"/>
    <s v="30.0"/>
    <m/>
    <m/>
    <s v="No"/>
    <d v="2023-01-29T00:00:00"/>
    <s v="https://img01.ztat.net/article/ZL100924.jpg"/>
    <n v="0.43047830923248054"/>
    <s v="Moderate"/>
  </r>
  <r>
    <s v="ZL100019"/>
    <s v="https://www.zalando.de/adidas-performance-regular-fit-t-shirt---dark-green-zl100019/"/>
    <x v="6"/>
    <s v="Regular Fit T-SHIRT - DARK GREEN"/>
    <s v="Men's T-Shirts &amp; Polos"/>
    <x v="1"/>
    <x v="4"/>
    <s v="Dark Green"/>
    <s v="XS"/>
    <n v="13.89"/>
    <n v="7.92"/>
    <s v="SALE"/>
    <s v="EUR"/>
    <n v="293"/>
    <s v="0"/>
    <s v="0"/>
    <m/>
    <m/>
    <s v="Yes"/>
    <d v="2023-01-29T00:00:00"/>
    <s v="https://img01.ztat.net/article/ZL100019.jpg"/>
    <n v="0.42980561555075597"/>
    <s v="Moderate"/>
  </r>
  <r>
    <s v="ZL100197"/>
    <s v="https://www.zalando.de/salomon-regular-fit-t-shirt---royal-blue-zl100197/"/>
    <x v="53"/>
    <s v="Regular Fit T-SHIRT - ROYAL BLUE"/>
    <s v="Men's T-Shirts &amp; Polos"/>
    <x v="1"/>
    <x v="5"/>
    <s v="Royal Blue"/>
    <s v="S"/>
    <n v="26.77"/>
    <n v="15.31"/>
    <s v="SALE"/>
    <s v="EUR"/>
    <n v="903"/>
    <s v="4.4"/>
    <s v="31.0"/>
    <m/>
    <m/>
    <s v="No"/>
    <d v="2023-01-29T00:00:00"/>
    <s v="https://img01.ztat.net/article/ZL100197.jpg"/>
    <n v="0.42809114680612625"/>
    <s v="Moderate"/>
  </r>
  <r>
    <s v="ZL100631"/>
    <s v="https://www.zalando.de/nike-essential-polo---olive-zl100631/"/>
    <x v="25"/>
    <s v="Essential POLO - OLIVE"/>
    <s v="Men's T-Shirts &amp; Polos"/>
    <x v="0"/>
    <x v="3"/>
    <s v="Olive"/>
    <s v="XS"/>
    <n v="22.66"/>
    <n v="12.96"/>
    <s v="SALE"/>
    <s v="EUR"/>
    <n v="977"/>
    <s v="3.4"/>
    <s v="32.0"/>
    <m/>
    <m/>
    <s v="Yes"/>
    <d v="2023-01-29T00:00:00"/>
    <s v="https://img01.ztat.net/article/ZL100631.jpg"/>
    <n v="0.42806707855251541"/>
    <s v="Moderate"/>
  </r>
  <r>
    <s v="ZL100186"/>
    <s v="https://www.zalando.de/converse-slim-fit-polo---rust-zl100186/"/>
    <x v="54"/>
    <s v="Slim Fit POLO - RUST"/>
    <s v="Men's T-Shirts &amp; Polos"/>
    <x v="0"/>
    <x v="0"/>
    <s v="Rust"/>
    <s v="S"/>
    <n v="13.85"/>
    <n v="7.93"/>
    <s v="SALE"/>
    <s v="EUR"/>
    <n v="281"/>
    <s v="4.7"/>
    <s v="32.0"/>
    <m/>
    <m/>
    <s v="No"/>
    <d v="2023-01-29T00:00:00"/>
    <s v="https://img01.ztat.net/article/ZL100186.jpg"/>
    <n v="0.42743682310469316"/>
    <s v="Moderate"/>
  </r>
  <r>
    <s v="ZL100037"/>
    <s v="https://www.zalando.de/umbro-print-polo---light-grey-zl100037/"/>
    <x v="55"/>
    <s v="Print POLO - LIGHT GREY"/>
    <s v="Men's T-Shirts &amp; Polos"/>
    <x v="0"/>
    <x v="0"/>
    <s v="Light Grey"/>
    <s v="M"/>
    <n v="8.99"/>
    <n v="5.17"/>
    <s v="SALE"/>
    <s v="EUR"/>
    <n v="143"/>
    <s v="3.4"/>
    <s v="30.0"/>
    <m/>
    <m/>
    <s v="Yes"/>
    <d v="2023-01-29T00:00:00"/>
    <s v="https://img01.ztat.net/article/ZL100037.jpg"/>
    <n v="0.42491657397107901"/>
    <s v="Moderate"/>
  </r>
  <r>
    <s v="ZL100045"/>
    <s v="https://www.zalando.de/dickies-print-t-shirt---navy-zl100045/"/>
    <x v="29"/>
    <s v="Print T-SHIRT - NAVY"/>
    <s v="Men's T-Shirts &amp; Polos"/>
    <x v="1"/>
    <x v="6"/>
    <s v="Navy"/>
    <s v="XS"/>
    <n v="8.99"/>
    <n v="5.17"/>
    <s v="SALE"/>
    <s v="EUR"/>
    <n v="548"/>
    <s v="4.5"/>
    <s v="28.0"/>
    <m/>
    <m/>
    <s v="Yes"/>
    <d v="2023-01-29T00:00:00"/>
    <s v="https://img01.ztat.net/article/ZL100045.jpg"/>
    <n v="0.42491657397107901"/>
    <s v="Moderate"/>
  </r>
  <r>
    <s v="ZL100895"/>
    <s v="https://www.zalando.de/tommy-hilfiger-print-polo---anthracite-zl100895/"/>
    <x v="8"/>
    <s v="Print POLO - ANTHRACITE"/>
    <s v="Men's T-Shirts &amp; Polos"/>
    <x v="0"/>
    <x v="3"/>
    <m/>
    <s v=""/>
    <n v="24.41"/>
    <n v="14.04"/>
    <s v="SALE"/>
    <s v="EUR"/>
    <n v="791"/>
    <s v="4.1"/>
    <s v="39.0"/>
    <m/>
    <m/>
    <s v="Yes"/>
    <d v="2023-01-29T00:00:00"/>
    <s v="https://img01.ztat.net/article/ZL100895.jpg"/>
    <n v="0.42482589102826712"/>
    <s v="Moderate"/>
  </r>
  <r>
    <s v="ZL100517"/>
    <s v="https://www.zalando.de/element-basic-polo---anthracite-zl100517/"/>
    <x v="52"/>
    <s v="Basic POLO - ANTHRACITE"/>
    <s v="Men's T-Shirts &amp; Polos"/>
    <x v="0"/>
    <x v="0"/>
    <s v="Anthracite"/>
    <s v="S"/>
    <n v="27.8"/>
    <n v="15.99"/>
    <s v="SALE"/>
    <s v="EUR"/>
    <n v="123"/>
    <s v="3.7"/>
    <s v="26.0"/>
    <m/>
    <m/>
    <m/>
    <d v="2023-01-29T00:00:00"/>
    <s v="https://img01.ztat.net/article/ZL100517.jpg"/>
    <n v="0.42482014388489209"/>
    <s v="Moderate"/>
  </r>
  <r>
    <s v="ZL100813"/>
    <s v="https://www.zalando.de/nike-essential-t-shirt---rust-zl100813/"/>
    <x v="25"/>
    <s v="Essential T-SHIRT - RUST"/>
    <s v="Men's T-Shirts &amp; Polos"/>
    <x v="1"/>
    <x v="6"/>
    <s v="Rust"/>
    <s v="S"/>
    <n v="54.54"/>
    <n v="31.38"/>
    <s v="SALE"/>
    <s v="EUR"/>
    <n v="973"/>
    <s v="0"/>
    <s v="46.0"/>
    <m/>
    <m/>
    <s v="No"/>
    <d v="2023-01-29T00:00:00"/>
    <s v="https://img01.ztat.net/article/ZL100813.jpg"/>
    <n v="0.42464246424642466"/>
    <s v="Moderate"/>
  </r>
  <r>
    <s v="ZL100056"/>
    <s v="https://www.zalando.de/anerkjendt-slim-fit-t-shirt---white-zl100056/"/>
    <x v="26"/>
    <s v="Slim Fit T-SHIRT - WHITE"/>
    <s v="Men's T-Shirts &amp; Polos"/>
    <x v="1"/>
    <x v="5"/>
    <s v="White"/>
    <s v="XS"/>
    <n v="31.71"/>
    <n v="18.25"/>
    <s v="SALE"/>
    <s v="EUR"/>
    <n v="643"/>
    <s v="3.8"/>
    <s v="40.0"/>
    <m/>
    <m/>
    <s v="Yes"/>
    <d v="2023-01-29T00:00:00"/>
    <s v="https://img01.ztat.net/article/ZL100056.jpg"/>
    <n v="0.42447177546515297"/>
    <s v="Moderate"/>
  </r>
  <r>
    <s v="ZL100128"/>
    <s v="https://www.zalando.de/boss-slim-fit-t-shirt---mint-zl100128/"/>
    <x v="48"/>
    <s v="Slim Fit T-SHIRT - MINT"/>
    <s v="Men's T-Shirts &amp; Polos"/>
    <x v="1"/>
    <x v="5"/>
    <m/>
    <s v="XS"/>
    <n v="20.77"/>
    <n v="11.98"/>
    <s v="SALE"/>
    <s v="EUR"/>
    <n v="863"/>
    <s v="4.0"/>
    <s v="35.0"/>
    <m/>
    <m/>
    <s v="No"/>
    <d v="2023-01-29T00:00:00"/>
    <s v="https://img01.ztat.net/article/ZL100128.jpg"/>
    <n v="0.42320654790563311"/>
    <s v="Moderate"/>
  </r>
  <r>
    <s v="ZL100161"/>
    <s v="https://www.zalando.de/mustang-print-polo---rust-zl100161/"/>
    <x v="56"/>
    <s v="Print POLO - RUST"/>
    <s v="Men's T-Shirts &amp; Polos"/>
    <x v="0"/>
    <x v="2"/>
    <s v="Rust"/>
    <s v="S"/>
    <n v="47.43"/>
    <n v="27.4"/>
    <s v="SALE"/>
    <s v="EUR"/>
    <n v="56"/>
    <s v="3.4"/>
    <s v="37.0"/>
    <m/>
    <m/>
    <s v="Yes"/>
    <d v="2023-01-29T00:00:00"/>
    <s v="https://img01.ztat.net/article/ZL100161.jpg"/>
    <n v="0.42230655703141473"/>
    <s v="Moderate"/>
  </r>
  <r>
    <s v="ZL100933"/>
    <s v="https://www.zalando.de/element-print-t-shirt---red-zl100933/"/>
    <x v="52"/>
    <s v="Print T-SHIRT - RED"/>
    <s v="Men's T-Shirts &amp; Polos"/>
    <x v="1"/>
    <x v="1"/>
    <s v="Red"/>
    <s v="XS"/>
    <n v="11.07"/>
    <n v="6.4"/>
    <s v="SALE"/>
    <s v="EUR"/>
    <n v="958"/>
    <s v="3.9"/>
    <s v="30.0"/>
    <m/>
    <m/>
    <s v="No"/>
    <d v="2023-01-29T00:00:00"/>
    <s v="https://img01.ztat.net/article/ZL100933.jpg"/>
    <n v="0.4218608852755194"/>
    <s v="Moderate"/>
  </r>
  <r>
    <s v="ZL100420"/>
    <s v="https://www.zalando.de/wrangler-essential-polo---olive-zl100420/"/>
    <x v="57"/>
    <s v="Essential POLO - OLIVE"/>
    <s v="Men's T-Shirts &amp; Polos"/>
    <x v="0"/>
    <x v="2"/>
    <s v="Olive"/>
    <s v="S"/>
    <n v="26.81"/>
    <n v="15.52"/>
    <s v="SALE"/>
    <s v="EUR"/>
    <n v="704"/>
    <s v="4.1"/>
    <s v="30.0"/>
    <m/>
    <m/>
    <s v="Yes"/>
    <d v="2023-01-29T00:00:00"/>
    <s v="https://img01.ztat.net/article/ZL100420.jpg"/>
    <n v="0.42111152555016784"/>
    <s v="Moderate"/>
  </r>
  <r>
    <s v="ZL100390"/>
    <s v="https://www.zalando.de/burton-london-slim-fit-t-shirt---bordeaux-zl100390/"/>
    <x v="58"/>
    <s v="Slim Fit T-SHIRT - BORDEAUX"/>
    <s v="Men's T-Shirts &amp; Polos"/>
    <x v="1"/>
    <x v="1"/>
    <s v="Bordeaux"/>
    <s v="XS"/>
    <n v="10.52"/>
    <n v="6.11"/>
    <s v="SALE"/>
    <s v="EUR"/>
    <n v="115"/>
    <s v="4.2"/>
    <s v="33.0"/>
    <m/>
    <m/>
    <s v="Yes"/>
    <d v="2023-01-29T00:00:00"/>
    <s v="https://img01.ztat.net/article/ZL100390.jpg"/>
    <n v="0.41920152091254748"/>
    <s v="Moderate"/>
  </r>
  <r>
    <s v="ZL100457"/>
    <s v="https://www.zalando.de/anthracite-slim-fit-polo---beige-zl100457/"/>
    <x v="59"/>
    <s v="Slim Fit POLO - BEIGE"/>
    <s v="Men's T-Shirts &amp; Polos"/>
    <x v="0"/>
    <x v="2"/>
    <s v="Beige"/>
    <s v="S"/>
    <n v="18.23"/>
    <n v="10.59"/>
    <s v="SALE"/>
    <s v="EUR"/>
    <n v="277"/>
    <s v="3.7"/>
    <s v="48.0"/>
    <m/>
    <m/>
    <s v="Yes"/>
    <d v="2023-01-29T00:00:00"/>
    <s v="https://img01.ztat.net/article/ZL100457.jpg"/>
    <n v="0.4190894130554032"/>
    <s v="Moderate"/>
  </r>
  <r>
    <s v="ZL100404"/>
    <s v="https://www.zalando.de/columbia-essential-polo---mint-zl100404/"/>
    <x v="12"/>
    <s v="Essential POLO - MINT"/>
    <s v="Men's T-Shirts &amp; Polos"/>
    <x v="0"/>
    <x v="0"/>
    <s v="Mint"/>
    <s v="S"/>
    <n v="8.99"/>
    <n v="5.26"/>
    <s v="SALE"/>
    <s v="EUR"/>
    <n v="775"/>
    <s v="3.4"/>
    <s v="41.0"/>
    <m/>
    <m/>
    <s v="No"/>
    <d v="2023-01-29T00:00:00"/>
    <s v="https://img01.ztat.net/article/ZL100404.jpg"/>
    <n v="0.41490545050055622"/>
    <s v="Moderate"/>
  </r>
  <r>
    <s v="ZL100662"/>
    <s v="https://www.zalando.de/pepe-jeans-slim-fit-polo---olive-zl100662/"/>
    <x v="60"/>
    <s v="Slim Fit POLO - OLIVE"/>
    <s v="Men's T-Shirts &amp; Polos"/>
    <x v="0"/>
    <x v="3"/>
    <s v="Olive"/>
    <s v="XS"/>
    <n v="13.21"/>
    <n v="7.73"/>
    <s v="SALE"/>
    <s v="EUR"/>
    <n v="526"/>
    <s v="4.4"/>
    <s v="41.0"/>
    <m/>
    <m/>
    <s v="Yes"/>
    <d v="2023-01-29T00:00:00"/>
    <s v="https://img01.ztat.net/article/ZL100662.jpg"/>
    <n v="0.41483724451173354"/>
    <s v="Moderate"/>
  </r>
  <r>
    <s v="ZL100626"/>
    <s v="https://www.zalando.de/nike-regular-fit-t-shirt---dark-blue-zl100626/"/>
    <x v="25"/>
    <s v="Regular Fit T-SHIRT - DARK BLUE"/>
    <s v="Men's T-Shirts &amp; Polos"/>
    <x v="1"/>
    <x v="5"/>
    <s v="Dark Blue"/>
    <s v="S"/>
    <n v="11.29"/>
    <n v="6.65"/>
    <s v="SALE"/>
    <s v="EUR"/>
    <n v="439"/>
    <s v="5.0"/>
    <s v="30.0"/>
    <m/>
    <m/>
    <s v="Yes"/>
    <d v="2023-01-29T00:00:00"/>
    <s v="https://img01.ztat.net/article/ZL100626.jpg"/>
    <n v="0.41098317094774128"/>
    <s v="Moderate"/>
  </r>
  <r>
    <s v="ZL100773"/>
    <s v="https://www.zalando.de/craft-sportswear-essential-polo---anthracite-zl100773/"/>
    <x v="31"/>
    <s v="Essential POLO - ANTHRACITE"/>
    <s v="Men's T-Shirts &amp; Polos"/>
    <x v="0"/>
    <x v="2"/>
    <s v="Anthracite"/>
    <s v="S"/>
    <n v="30.63"/>
    <n v="18.05"/>
    <s v="SALE"/>
    <s v="EUR"/>
    <n v="96"/>
    <s v="3.0"/>
    <s v="34.0"/>
    <m/>
    <m/>
    <s v="Yes"/>
    <d v="2023-01-29T00:00:00"/>
    <s v="https://img01.ztat.net/article/ZL100773.jpg"/>
    <n v="0.41070845576232445"/>
    <s v="Moderate"/>
  </r>
  <r>
    <s v="ZL100550"/>
    <s v="https://www.zalando.de/adidas-performance-print-polo---navy-zl100550/"/>
    <x v="6"/>
    <s v="Print POLO - NAVY"/>
    <s v="Men's T-Shirts &amp; Polos"/>
    <x v="0"/>
    <x v="3"/>
    <s v="Navy"/>
    <s v="XS"/>
    <n v="8.99"/>
    <n v="5.3"/>
    <s v="SALE"/>
    <s v="EUR"/>
    <n v="794"/>
    <s v="3.9"/>
    <s v="39.0"/>
    <m/>
    <m/>
    <s v="Yes"/>
    <d v="2023-01-29T00:00:00"/>
    <s v="https://img01.ztat.net/article/ZL100550.jpg"/>
    <n v="0.41045606229143494"/>
    <s v="Moderate"/>
  </r>
  <r>
    <s v="ZL100820"/>
    <s v="https://www.zalando.de/only-sons-slim-fit-polo---light-grey-zl100820/"/>
    <x v="61"/>
    <s v="Slim Fit POLO - LIGHT GREY"/>
    <s v="Men's T-Shirts &amp; Polos"/>
    <x v="0"/>
    <x v="3"/>
    <s v="Light Grey"/>
    <s v="S"/>
    <n v="39.4"/>
    <n v="23.28"/>
    <s v="SALE"/>
    <s v="EUR"/>
    <n v="411"/>
    <s v="3.3"/>
    <s v="0"/>
    <m/>
    <m/>
    <s v="Yes"/>
    <d v="2023-01-29T00:00:00"/>
    <s v="https://img01.ztat.net/article/ZL100820.jpg"/>
    <n v="0.40913705583756338"/>
    <s v="Moderate"/>
  </r>
  <r>
    <s v="ZL100031"/>
    <s v="https://www.zalando.de/boss-regular-fit-polo---off-white-zl100031/"/>
    <x v="48"/>
    <s v="Regular Fit POLO - OFF WHITE"/>
    <s v="Men's T-Shirts &amp; Polos"/>
    <x v="0"/>
    <x v="0"/>
    <s v="Off White"/>
    <s v="XS"/>
    <n v="16.829999999999998"/>
    <n v="9.9499999999999993"/>
    <s v="SALE"/>
    <s v="EUR"/>
    <n v="34"/>
    <s v="4.1"/>
    <s v="29.0"/>
    <m/>
    <m/>
    <s v="Yes"/>
    <d v="2023-01-29T00:00:00"/>
    <s v="https://img01.ztat.net/article/ZL100031.jpg"/>
    <n v="0.40879382055852642"/>
    <s v="Moderate"/>
  </r>
  <r>
    <s v="ZL100442"/>
    <s v="https://www.zalando.de/diesel-essential-polo---dark-green-zl100442/"/>
    <x v="24"/>
    <s v="Essential POLO - DARK GREEN"/>
    <s v="Men's T-Shirts &amp; Polos"/>
    <x v="0"/>
    <x v="2"/>
    <s v="Dark Green"/>
    <s v="S"/>
    <n v="38.22"/>
    <n v="22.61"/>
    <s v="SALE"/>
    <s v="EUR"/>
    <n v="110"/>
    <s v="3.7"/>
    <s v="41.0"/>
    <m/>
    <m/>
    <s v="Yes"/>
    <d v="2023-01-29T00:00:00"/>
    <s v="https://img01.ztat.net/article/ZL100442.jpg"/>
    <n v="0.40842490842490842"/>
    <s v="Moderate"/>
  </r>
  <r>
    <s v="ZL100692"/>
    <s v="https://www.zalando.de/pier-1-essential-t-shirt---grey-melange-zl100692/"/>
    <x v="62"/>
    <s v="Essential T-SHIRT - GREY MELANGE"/>
    <s v="Men's T-Shirts &amp; Polos"/>
    <x v="1"/>
    <x v="4"/>
    <m/>
    <s v="S"/>
    <n v="14.6"/>
    <n v="8.66"/>
    <s v="SALE"/>
    <s v="EUR"/>
    <n v="124"/>
    <s v="3.2"/>
    <s v="40.0"/>
    <m/>
    <m/>
    <s v="No"/>
    <d v="2023-01-29T00:00:00"/>
    <s v="https://img01.ztat.net/article/ZL100692.jpg"/>
    <n v="0.40684931506849314"/>
    <s v="Moderate"/>
  </r>
  <r>
    <s v="ZL100909"/>
    <s v="https://www.zalando.de/salomon-slim-fit-t-shirt---white-zl100909/"/>
    <x v="53"/>
    <s v="Slim Fit T-SHIRT - WHITE"/>
    <s v="Men's T-Shirts &amp; Polos"/>
    <x v="1"/>
    <x v="5"/>
    <s v="White"/>
    <s v="S"/>
    <n v="8.99"/>
    <n v="5.34"/>
    <s v="SALE"/>
    <s v="EUR"/>
    <n v="282"/>
    <s v="4.1"/>
    <s v="43.0"/>
    <m/>
    <m/>
    <s v="No"/>
    <d v="2023-01-29T00:00:00"/>
    <s v="https://img01.ztat.net/article/ZL100909.jpg"/>
    <n v="0.40600667408231372"/>
    <s v="Moderate"/>
  </r>
  <r>
    <s v="ZL100932"/>
    <s v="https://www.zalando.de/gap-print-t-shirt---rust-zl100932/"/>
    <x v="63"/>
    <s v="Print T-SHIRT - RUST"/>
    <s v="Men's T-Shirts &amp; Polos"/>
    <x v="1"/>
    <x v="5"/>
    <s v="Rust"/>
    <s v="S"/>
    <n v="27.16"/>
    <n v="16.14"/>
    <s v="SALE"/>
    <s v="EUR"/>
    <n v="628"/>
    <s v="4.9"/>
    <s v="38.0"/>
    <m/>
    <m/>
    <s v="Yes"/>
    <d v="2023-01-29T00:00:00"/>
    <s v="https://img01.ztat.net/article/ZL100932.jpg"/>
    <n v="0.40574374079528719"/>
    <s v="Moderate"/>
  </r>
  <r>
    <s v="ZL100581"/>
    <s v="https://www.zalando.de/jackandjones-plus-basic-polo---black-zl100581/"/>
    <x v="64"/>
    <s v="Basic POLO - BLACK"/>
    <s v="Men's T-Shirts &amp; Polos"/>
    <x v="0"/>
    <x v="0"/>
    <s v="Black"/>
    <s v="XS"/>
    <n v="18.05"/>
    <n v="10.73"/>
    <s v="SALE"/>
    <s v="EUR"/>
    <n v="870"/>
    <s v="0"/>
    <s v="0"/>
    <m/>
    <m/>
    <s v="Yes"/>
    <d v="2023-01-29T00:00:00"/>
    <s v="https://img01.ztat.net/article/ZL100581.jpg"/>
    <n v="0.40554016620498617"/>
    <s v="Moderate"/>
  </r>
  <r>
    <s v="ZL100763"/>
    <s v="https://www.zalando.de/nike-basic-t-shirt---mint-zl100763/"/>
    <x v="25"/>
    <s v="Basic T-SHIRT - MINT"/>
    <s v="Men's T-Shirts &amp; Polos"/>
    <x v="1"/>
    <x v="6"/>
    <s v="Mint"/>
    <s v="M"/>
    <n v="35.44"/>
    <n v="21.07"/>
    <s v="SALE"/>
    <s v="EUR"/>
    <n v="593"/>
    <s v="5.0"/>
    <s v="34.0"/>
    <m/>
    <m/>
    <s v="No"/>
    <d v="2023-01-29T00:00:00"/>
    <s v="https://img01.ztat.net/article/ZL100763.jpg"/>
    <n v="0.40547404063205411"/>
    <s v="Moderate"/>
  </r>
  <r>
    <s v="ZL100866"/>
    <s v="https://www.zalando.de/tommy-hilfiger-slim-fit-t-shirt---khaki-zl100866/"/>
    <x v="8"/>
    <s v="Slim Fit T-SHIRT - KHAKI"/>
    <s v="Men's T-Shirts &amp; Polos"/>
    <x v="1"/>
    <x v="1"/>
    <s v="Khaki"/>
    <s v="XS"/>
    <n v="11.2"/>
    <n v="6.66"/>
    <s v="SALE"/>
    <s v="EUR"/>
    <n v="4"/>
    <s v="3.5"/>
    <s v="33.0"/>
    <m/>
    <m/>
    <s v="No"/>
    <d v="2023-01-29T00:00:00"/>
    <s v="https://img01.ztat.net/article/ZL100866.jpg"/>
    <n v="0.4053571428571428"/>
    <s v="Moderate"/>
  </r>
  <r>
    <s v="ZL100695"/>
    <s v="https://www.zalando.de/burton-print-t-shirt---olive-zl100695/"/>
    <x v="58"/>
    <s v="Print T-SHIRT - OLIVE"/>
    <s v="Men's T-Shirts &amp; Polos"/>
    <x v="1"/>
    <x v="1"/>
    <s v="Olive"/>
    <s v="S"/>
    <n v="9.81"/>
    <n v="5.86"/>
    <s v="SALE"/>
    <s v="EUR"/>
    <n v="210"/>
    <s v="3.4"/>
    <s v="29.0"/>
    <m/>
    <m/>
    <s v="No"/>
    <d v="2023-01-29T00:00:00"/>
    <s v="https://img01.ztat.net/article/ZL100695.jpg"/>
    <n v="0.40265035677879712"/>
    <s v="Moderate"/>
  </r>
  <r>
    <s v="ZL100801"/>
    <s v="https://www.zalando.de/nike-sb-essential-t-shirt---denim-blue-zl100801/"/>
    <x v="65"/>
    <s v="Essential T-SHIRT - DENIM BLUE"/>
    <s v="Men's T-Shirts &amp; Polos"/>
    <x v="1"/>
    <x v="6"/>
    <s v="Denim Blue"/>
    <s v="XS"/>
    <n v="11.92"/>
    <n v="7.14"/>
    <s v="SALE"/>
    <s v="EUR"/>
    <n v="202"/>
    <s v="3.7"/>
    <s v="41.0"/>
    <m/>
    <m/>
    <s v="Yes"/>
    <d v="2023-01-29T00:00:00"/>
    <s v="https://img01.ztat.net/article/ZL100801.jpg"/>
    <n v="0.40100671140939598"/>
    <s v="Moderate"/>
  </r>
  <r>
    <s v="ZL100877"/>
    <s v="https://www.zalando.de/iriedaily-essential-t-shirt---white-zl100877/"/>
    <x v="66"/>
    <s v="Essential T-SHIRT - WHITE"/>
    <s v="Men's T-Shirts &amp; Polos"/>
    <x v="1"/>
    <x v="1"/>
    <s v="White"/>
    <s v="XS"/>
    <n v="26.24"/>
    <n v="15.72"/>
    <s v="SALE"/>
    <s v="EUR"/>
    <n v="271"/>
    <s v="3.3"/>
    <s v="30.0"/>
    <m/>
    <m/>
    <s v="Yes"/>
    <d v="2023-01-29T00:00:00"/>
    <s v="https://img01.ztat.net/article/ZL100877.jpg"/>
    <n v="0.40091463414634143"/>
    <s v="Moderate"/>
  </r>
  <r>
    <s v="ZL100200"/>
    <s v="https://www.zalando.de/ltb-essential-polo---dark-blue-zl100200/"/>
    <x v="67"/>
    <s v="Essential POLO - DARK BLUE"/>
    <s v="Men's T-Shirts &amp; Polos"/>
    <x v="0"/>
    <x v="2"/>
    <s v="Dark Blue"/>
    <s v="XS"/>
    <n v="47.52"/>
    <n v="28.49"/>
    <s v="SALE"/>
    <s v="EUR"/>
    <n v="457"/>
    <s v="3.5"/>
    <s v="30.0"/>
    <m/>
    <m/>
    <s v="Yes"/>
    <d v="2023-01-29T00:00:00"/>
    <s v="https://img01.ztat.net/article/ZL100200.jpg"/>
    <n v="0.40046296296296302"/>
    <s v="Moderate"/>
  </r>
  <r>
    <s v="ZL100623"/>
    <s v="https://www.zalando.de/fila-basic-polo---black-zl100623/"/>
    <x v="39"/>
    <s v="Basic POLO - BLACK"/>
    <s v="Men's T-Shirts &amp; Polos"/>
    <x v="0"/>
    <x v="0"/>
    <s v="Black"/>
    <s v="XS"/>
    <n v="32.840000000000003"/>
    <n v="19.7"/>
    <s v="SALE"/>
    <s v="EUR"/>
    <n v="495"/>
    <s v="3.6"/>
    <s v="29.0"/>
    <m/>
    <m/>
    <s v="Yes"/>
    <d v="2023-01-29T00:00:00"/>
    <s v="https://img01.ztat.net/article/ZL100623.jpg"/>
    <n v="0.40012180267965902"/>
    <s v="Moderate"/>
  </r>
  <r>
    <s v="ZL100770"/>
    <s v="https://www.zalando.de/adidas-performance-print-t-shirt---mint-zl100770/"/>
    <x v="6"/>
    <s v="Print T-SHIRT - MINT"/>
    <s v="Men's T-Shirts &amp; Polos"/>
    <x v="1"/>
    <x v="5"/>
    <s v="Mint"/>
    <s v="XS"/>
    <n v="29.06"/>
    <n v="17.47"/>
    <s v="SALE"/>
    <s v="EUR"/>
    <n v="1"/>
    <s v="4.5"/>
    <s v="28.0"/>
    <m/>
    <m/>
    <s v="Yes"/>
    <d v="2023-01-29T00:00:00"/>
    <s v="https://img01.ztat.net/article/ZL100770.jpg"/>
    <n v="0.39883000688231246"/>
    <s v="Moderate"/>
  </r>
  <r>
    <s v="ZL100003"/>
    <s v="https://www.zalando.de/adidas-performance-regular-fit-t-shirt---khaki-zl100003/"/>
    <x v="6"/>
    <s v="Regular Fit T-SHIRT - KHAKI"/>
    <s v="Men's T-Shirts &amp; Polos"/>
    <x v="1"/>
    <x v="1"/>
    <s v="Khaki"/>
    <s v="M"/>
    <n v="21.05"/>
    <n v="12.67"/>
    <s v="SALE"/>
    <s v="EUR"/>
    <n v="473"/>
    <s v="3.9"/>
    <s v="31.0"/>
    <m/>
    <m/>
    <s v="Yes"/>
    <d v="2023-01-29T00:00:00"/>
    <s v="https://img01.ztat.net/article/ZL100003.jpg"/>
    <n v="0.39809976247030882"/>
    <s v="Moderate"/>
  </r>
  <r>
    <s v="ZL100403"/>
    <s v="https://www.zalando.de/nudie-jeans-regular-fit-t-shirt---olive-zl100403/"/>
    <x v="68"/>
    <s v="Regular Fit T-SHIRT - OLIVE"/>
    <s v="Men's T-Shirts &amp; Polos"/>
    <x v="1"/>
    <x v="1"/>
    <m/>
    <s v="XS"/>
    <n v="26.97"/>
    <n v="16.239999999999998"/>
    <s v="SALE"/>
    <s v="EUR"/>
    <n v="841"/>
    <s v="3.2"/>
    <s v="30.0"/>
    <m/>
    <m/>
    <s v="Yes"/>
    <d v="2023-01-29T00:00:00"/>
    <s v="https://img01.ztat.net/article/ZL100403.jpg"/>
    <n v="0.39784946236559143"/>
    <s v="Moderate"/>
  </r>
  <r>
    <s v="ZL100903"/>
    <s v="https://www.zalando.de/g-star-print-t-shirt---anthracite-zl100903/"/>
    <x v="69"/>
    <s v="Print T-SHIRT - ANTHRACITE"/>
    <s v="Men's T-Shirts &amp; Polos"/>
    <x v="1"/>
    <x v="4"/>
    <s v="Anthracite"/>
    <s v="M"/>
    <n v="10.66"/>
    <n v="6.42"/>
    <s v="SALE"/>
    <s v="EUR"/>
    <n v="303"/>
    <s v="4.3"/>
    <s v="0"/>
    <m/>
    <m/>
    <s v="Yes"/>
    <d v="2023-01-29T00:00:00"/>
    <s v="https://img01.ztat.net/article/ZL100903.jpg"/>
    <n v="0.39774859287054409"/>
    <s v="Moderate"/>
  </r>
  <r>
    <s v="ZL100039"/>
    <s v="https://www.zalando.de/cars-slim-fit-t-shirt---navy-zl100039/"/>
    <x v="30"/>
    <s v="Slim Fit T-SHIRT - NAVY"/>
    <s v="Men's T-Shirts &amp; Polos"/>
    <x v="1"/>
    <x v="1"/>
    <s v="Navy"/>
    <s v="XS"/>
    <n v="13.41"/>
    <n v="8.08"/>
    <s v="SALE"/>
    <s v="EUR"/>
    <n v="360"/>
    <s v="0"/>
    <s v="37.0"/>
    <m/>
    <m/>
    <s v="No"/>
    <d v="2023-01-29T00:00:00"/>
    <s v="https://img01.ztat.net/article/ZL100039.jpg"/>
    <n v="0.39746457867263235"/>
    <s v="Moderate"/>
  </r>
  <r>
    <s v="ZL100232"/>
    <s v="https://www.zalando.de/salomon-regular-fit-polo---navy-zl100232/"/>
    <x v="53"/>
    <s v="Regular Fit POLO - NAVY"/>
    <s v="Men's T-Shirts &amp; Polos"/>
    <x v="0"/>
    <x v="2"/>
    <s v="Navy"/>
    <s v="XS"/>
    <n v="10.94"/>
    <n v="6.6"/>
    <s v="SALE"/>
    <s v="EUR"/>
    <n v="16"/>
    <s v="4.8"/>
    <s v="41.0"/>
    <m/>
    <m/>
    <s v="Yes"/>
    <d v="2023-01-29T00:00:00"/>
    <s v="https://img01.ztat.net/article/ZL100232.jpg"/>
    <n v="0.39670932358318101"/>
    <s v="Moderate"/>
  </r>
  <r>
    <s v="ZL100657"/>
    <s v="https://www.zalando.de/seidensticker-basic-t-shirt---dark-blue-zl100657/"/>
    <x v="41"/>
    <s v="Basic T-SHIRT - DARK BLUE"/>
    <s v="Men's T-Shirts &amp; Polos"/>
    <x v="1"/>
    <x v="6"/>
    <s v="Dark Blue"/>
    <s v="S"/>
    <n v="12.16"/>
    <n v="7.34"/>
    <s v="SALE"/>
    <s v="EUR"/>
    <n v="934"/>
    <s v="4.5"/>
    <s v="27.0"/>
    <m/>
    <m/>
    <s v="No"/>
    <d v="2023-01-29T00:00:00"/>
    <s v="https://img01.ztat.net/article/ZL100657.jpg"/>
    <n v="0.39638157894736842"/>
    <s v="Moderate"/>
  </r>
  <r>
    <s v="ZL100709"/>
    <s v="https://www.zalando.de/adidas-performance-slim-fit-t-shirt---beige-zl100709/"/>
    <x v="6"/>
    <s v="Slim Fit T-SHIRT - BEIGE"/>
    <s v="Men's T-Shirts &amp; Polos"/>
    <x v="1"/>
    <x v="5"/>
    <s v="Beige"/>
    <s v="S"/>
    <n v="19.72"/>
    <n v="11.91"/>
    <s v="SALE"/>
    <s v="EUR"/>
    <n v="739"/>
    <s v="3.6"/>
    <s v="50.0"/>
    <m/>
    <m/>
    <m/>
    <d v="2023-01-29T00:00:00"/>
    <s v="https://img01.ztat.net/article/ZL100709.jpg"/>
    <n v="0.39604462474645025"/>
    <s v="Moderate"/>
  </r>
  <r>
    <s v="ZL100371"/>
    <s v="https://www.zalando.de/quiksilver-essential-t-shirt---royal-blue-zl100371/"/>
    <x v="70"/>
    <s v="Essential T-SHIRT - ROYAL BLUE"/>
    <s v="Men's T-Shirts &amp; Polos"/>
    <x v="1"/>
    <x v="4"/>
    <s v="Royal Blue"/>
    <s v="XS"/>
    <n v="12.21"/>
    <n v="7.39"/>
    <s v="SALE"/>
    <s v="EUR"/>
    <n v="397"/>
    <s v="4.5"/>
    <s v="32.0"/>
    <m/>
    <m/>
    <s v="Yes"/>
    <d v="2023-01-29T00:00:00"/>
    <s v="https://img01.ztat.net/article/ZL100371.jpg"/>
    <n v="0.3947583947583948"/>
    <s v="Moderate"/>
  </r>
  <r>
    <s v="ZL100195"/>
    <s v="https://www.zalando.de/anerkjendt-slim-fit-polo---bordeaux-zl100195/"/>
    <x v="26"/>
    <s v="Slim Fit POLO - BORDEAUX"/>
    <s v="Men's T-Shirts &amp; Polos"/>
    <x v="0"/>
    <x v="0"/>
    <m/>
    <s v="XS"/>
    <n v="11.09"/>
    <n v="6.72"/>
    <s v="SALE"/>
    <s v="EUR"/>
    <n v="859"/>
    <s v="3.2"/>
    <s v="37.0"/>
    <m/>
    <m/>
    <s v="Yes"/>
    <d v="2023-01-29T00:00:00"/>
    <s v="https://img01.ztat.net/article/ZL100195.jpg"/>
    <n v="0.39404869251578001"/>
    <s v="Moderate"/>
  </r>
  <r>
    <s v="ZL100955"/>
    <s v="https://www.zalando.de/cars-basic-t-shirt---rust-zl100955/"/>
    <x v="30"/>
    <s v="Basic T-SHIRT - RUST"/>
    <s v="Men's T-Shirts &amp; Polos"/>
    <x v="1"/>
    <x v="6"/>
    <s v="Rust"/>
    <s v="M"/>
    <n v="27.75"/>
    <n v="16.87"/>
    <s v="SALE"/>
    <s v="EUR"/>
    <n v="606"/>
    <s v="4.2"/>
    <s v="43.0"/>
    <m/>
    <m/>
    <s v="Yes"/>
    <d v="2023-01-29T00:00:00"/>
    <s v="https://img01.ztat.net/article/ZL100955.jpg"/>
    <n v="0.39207207207207201"/>
    <s v="Moderate"/>
  </r>
  <r>
    <s v="ZL100799"/>
    <s v="https://www.zalando.de/produkt-slim-fit-t-shirt---olive-zl100799/"/>
    <x v="0"/>
    <s v="Slim Fit T-SHIRT - OLIVE"/>
    <s v="Men's T-Shirts &amp; Polos"/>
    <x v="1"/>
    <x v="4"/>
    <s v="Olive"/>
    <s v="M"/>
    <n v="9.98"/>
    <n v="6.07"/>
    <s v="SALE"/>
    <s v="EUR"/>
    <n v="443"/>
    <s v="3.5"/>
    <s v="51.0"/>
    <m/>
    <m/>
    <s v="No"/>
    <d v="2023-01-29T00:00:00"/>
    <s v="https://img01.ztat.net/article/ZL100799.jpg"/>
    <n v="0.39178356713426854"/>
    <s v="Moderate"/>
  </r>
  <r>
    <s v="ZL100547"/>
    <s v="https://www.zalando.de/bershka-slim-fit-polo---red-zl100547/"/>
    <x v="13"/>
    <s v="Slim Fit POLO - RED"/>
    <s v="Men's T-Shirts &amp; Polos"/>
    <x v="0"/>
    <x v="2"/>
    <m/>
    <s v="M"/>
    <n v="20.85"/>
    <n v="12.75"/>
    <s v="SALE"/>
    <s v="EUR"/>
    <n v="366"/>
    <s v="0"/>
    <s v="41.0"/>
    <m/>
    <m/>
    <s v="No"/>
    <d v="2023-01-29T00:00:00"/>
    <s v="https://img01.ztat.net/article/ZL100547.jpg"/>
    <n v="0.38848920863309355"/>
    <s v="Moderate"/>
  </r>
  <r>
    <s v="ZL100675"/>
    <s v="https://www.zalando.de/adidas-performance-regular-fit-polo---rust-zl100675/"/>
    <x v="6"/>
    <s v="Regular Fit POLO - RUST"/>
    <s v="Men's T-Shirts &amp; Polos"/>
    <x v="0"/>
    <x v="0"/>
    <s v="Rust"/>
    <s v="M"/>
    <n v="13.44"/>
    <n v="8.23"/>
    <s v="SALE"/>
    <s v="EUR"/>
    <n v="50"/>
    <s v="4.9"/>
    <s v="56.0"/>
    <m/>
    <m/>
    <s v="No"/>
    <d v="2023-01-29T00:00:00"/>
    <s v="https://img01.ztat.net/article/ZL100675.jpg"/>
    <n v="0.38764880952380948"/>
    <s v="Moderate"/>
  </r>
  <r>
    <s v="ZL100569"/>
    <s v="https://www.zalando.de/shine-regular-fit-polo---royal-blue-zl100569/"/>
    <x v="71"/>
    <s v="Regular Fit POLO - ROYAL BLUE"/>
    <s v="Men's T-Shirts &amp; Polos"/>
    <x v="0"/>
    <x v="2"/>
    <s v="Royal Blue"/>
    <s v="S"/>
    <n v="24.47"/>
    <n v="15.01"/>
    <s v="SALE"/>
    <s v="EUR"/>
    <n v="507"/>
    <s v="3.3"/>
    <s v="31.0"/>
    <m/>
    <m/>
    <s v="Yes"/>
    <d v="2023-01-29T00:00:00"/>
    <s v="https://img01.ztat.net/article/ZL100569.jpg"/>
    <n v="0.38659583163056804"/>
    <s v="Moderate"/>
  </r>
  <r>
    <s v="ZL100544"/>
    <s v="https://www.zalando.de/tom-tailor-denim-regular-fit-t-shirt---denim-blue-zl100544/"/>
    <x v="72"/>
    <s v="Regular Fit T-SHIRT - DENIM BLUE"/>
    <s v="Men's T-Shirts &amp; Polos"/>
    <x v="1"/>
    <x v="6"/>
    <s v="Denim Blue"/>
    <s v="S"/>
    <n v="16.62"/>
    <n v="10.199999999999999"/>
    <s v="SALE"/>
    <s v="EUR"/>
    <n v="296"/>
    <s v="0"/>
    <s v="39.0"/>
    <m/>
    <m/>
    <s v="Yes"/>
    <d v="2023-01-29T00:00:00"/>
    <s v="https://img01.ztat.net/article/ZL100544.jpg"/>
    <n v="0.38628158844765353"/>
    <s v="Moderate"/>
  </r>
  <r>
    <s v="ZL100257"/>
    <s v="https://www.zalando.de/adidas-performance-slim-fit-t-shirt---mint-zl100257/"/>
    <x v="6"/>
    <s v="Slim Fit T-SHIRT - MINT"/>
    <s v="Men's T-Shirts &amp; Polos"/>
    <x v="1"/>
    <x v="1"/>
    <s v="Mint"/>
    <s v="S"/>
    <n v="14.89"/>
    <n v="9.15"/>
    <s v="SALE"/>
    <s v="EUR"/>
    <n v="513"/>
    <s v="4.8"/>
    <s v="33.0"/>
    <m/>
    <m/>
    <s v="Yes"/>
    <d v="2023-01-29T00:00:00"/>
    <s v="https://img01.ztat.net/article/ZL100257.jpg"/>
    <n v="0.38549361987911351"/>
    <s v="Moderate"/>
  </r>
  <r>
    <s v="ZL100418"/>
    <s v="https://www.zalando.de/only-sons-print-t-shirt---red-zl100418/"/>
    <x v="61"/>
    <s v="Print T-SHIRT - RED"/>
    <s v="Men's T-Shirts &amp; Polos"/>
    <x v="1"/>
    <x v="5"/>
    <s v="Red"/>
    <s v="S"/>
    <n v="13.12"/>
    <n v="8.07"/>
    <s v="SALE"/>
    <s v="EUR"/>
    <n v="868"/>
    <s v="3.2"/>
    <s v="0"/>
    <m/>
    <m/>
    <s v="Yes"/>
    <d v="2023-01-29T00:00:00"/>
    <s v="https://img01.ztat.net/article/ZL100418.jpg"/>
    <n v="0.38490853658536578"/>
    <s v="Moderate"/>
  </r>
  <r>
    <s v="ZL100991"/>
    <s v="https://www.zalando.de/only-and-sons-essential-polo---denim-blue-zl100991/"/>
    <x v="61"/>
    <s v="Essential POLO - DENIM BLUE"/>
    <s v="Men's T-Shirts &amp; Polos"/>
    <x v="0"/>
    <x v="2"/>
    <s v="Denim Blue"/>
    <s v="XS"/>
    <n v="12.71"/>
    <n v="7.82"/>
    <s v="SALE"/>
    <s v="EUR"/>
    <n v="728"/>
    <s v="4.2"/>
    <s v="39.0"/>
    <m/>
    <m/>
    <s v="No"/>
    <d v="2023-01-29T00:00:00"/>
    <s v="https://img01.ztat.net/article/ZL100991.jpg"/>
    <n v="0.38473642800944141"/>
    <s v="Moderate"/>
  </r>
  <r>
    <s v="ZL100228"/>
    <s v="https://www.zalando.de/lacoste-print-polo---dark-blue-zl100228/"/>
    <x v="4"/>
    <s v="Print POLO - DARK BLUE"/>
    <s v="Men's T-Shirts &amp; Polos"/>
    <x v="0"/>
    <x v="2"/>
    <s v="Dark Blue"/>
    <s v="M"/>
    <n v="14.34"/>
    <n v="8.83"/>
    <s v="SALE"/>
    <s v="EUR"/>
    <n v="964"/>
    <s v="4.2"/>
    <s v="36.0"/>
    <m/>
    <m/>
    <s v="Yes"/>
    <d v="2023-01-29T00:00:00"/>
    <s v="https://img01.ztat.net/article/ZL100228.jpg"/>
    <n v="0.38423988842398882"/>
    <s v="Moderate"/>
  </r>
  <r>
    <s v="ZL100281"/>
    <s v="https://www.zalando.de/seidensticker-basic-polo---mint-zl100281/"/>
    <x v="41"/>
    <s v="Basic POLO - MINT"/>
    <s v="Men's T-Shirts &amp; Polos"/>
    <x v="0"/>
    <x v="3"/>
    <s v="Mint"/>
    <s v="S"/>
    <n v="29.81"/>
    <n v="18.37"/>
    <s v="SALE"/>
    <s v="EUR"/>
    <n v="756"/>
    <s v="3.1"/>
    <s v="33.0"/>
    <m/>
    <m/>
    <s v="No"/>
    <d v="2023-01-29T00:00:00"/>
    <s v="https://img01.ztat.net/article/ZL100281.jpg"/>
    <n v="0.38376383763837635"/>
    <s v="Moderate"/>
  </r>
  <r>
    <s v="ZL100977"/>
    <s v="https://www.zalando.de/tommy-hilfiger-slim-fit-t-shirt---off-white-zl100977/"/>
    <x v="8"/>
    <s v="Slim Fit T-SHIRT - OFF WHITE"/>
    <s v="Men's T-Shirts &amp; Polos"/>
    <x v="1"/>
    <x v="5"/>
    <s v="Off White"/>
    <s v="S"/>
    <n v="8.99"/>
    <n v="5.54"/>
    <s v="SALE"/>
    <s v="EUR"/>
    <n v="451"/>
    <s v="4.8"/>
    <s v="42.0"/>
    <m/>
    <m/>
    <s v="Yes"/>
    <d v="2023-01-29T00:00:00"/>
    <s v="https://img01.ztat.net/article/ZL100977.jpg"/>
    <n v="0.38375973303670746"/>
    <s v="Moderate"/>
  </r>
  <r>
    <s v="ZL100301"/>
    <s v="https://www.zalando.de/pier-one-basic-polo---khaki-zl100301/"/>
    <x v="62"/>
    <s v="Basic POLO - KHAKI"/>
    <s v="Men's T-Shirts &amp; Polos"/>
    <x v="0"/>
    <x v="3"/>
    <s v="Khaki"/>
    <s v="S"/>
    <n v="10.3"/>
    <n v="6.36"/>
    <s v="SALE"/>
    <s v="EUR"/>
    <n v="766"/>
    <s v="0"/>
    <s v="0"/>
    <m/>
    <m/>
    <s v="Yes"/>
    <d v="2023-01-29T00:00:00"/>
    <s v="https://img01.ztat.net/article/ZL100301.jpg"/>
    <n v="0.3825242718446602"/>
    <s v="Moderate"/>
  </r>
  <r>
    <s v="ZL100923"/>
    <s v="https://www.zalando.de/topman-basic-polo---rust-zl100923/"/>
    <x v="73"/>
    <s v="Basic POLO - RUST"/>
    <s v="Men's T-Shirts &amp; Polos"/>
    <x v="0"/>
    <x v="0"/>
    <s v="Rust"/>
    <s v="S"/>
    <n v="17.579999999999998"/>
    <n v="10.87"/>
    <s v="SALE"/>
    <s v="EUR"/>
    <n v="193"/>
    <s v="3.1"/>
    <s v="36.0"/>
    <m/>
    <m/>
    <s v="No"/>
    <d v="2023-01-29T00:00:00"/>
    <s v="https://img01.ztat.net/article/ZL100923.jpg"/>
    <n v="0.38168373151308305"/>
    <s v="Moderate"/>
  </r>
  <r>
    <s v="ZL100587"/>
    <s v="https://www.zalando.de/salomon-basic-polo---rust-zl100587/"/>
    <x v="53"/>
    <s v="Basic POLO - RUST"/>
    <s v="Men's T-Shirts &amp; Polos"/>
    <x v="0"/>
    <x v="3"/>
    <s v="Rust"/>
    <s v="S"/>
    <n v="16.71"/>
    <n v="10.34"/>
    <s v="SALE"/>
    <s v="EUR"/>
    <n v="284"/>
    <s v="4.2"/>
    <s v="35.0"/>
    <m/>
    <m/>
    <s v="Yes"/>
    <d v="2023-01-29T00:00:00"/>
    <s v="https://img01.ztat.net/article/ZL100587.jpg"/>
    <n v="0.38120885697187318"/>
    <s v="Moderate"/>
  </r>
  <r>
    <s v="ZL100314"/>
    <s v="https://www.zalando.de/fila-print-t-shirt---red-zl100314/"/>
    <x v="39"/>
    <s v="Print T-SHIRT - RED"/>
    <s v="Men's T-Shirts &amp; Polos"/>
    <x v="1"/>
    <x v="5"/>
    <s v="Red"/>
    <s v="M"/>
    <n v="12.49"/>
    <n v="7.74"/>
    <s v="SALE"/>
    <s v="EUR"/>
    <n v="689"/>
    <s v="3.7"/>
    <s v="37.0"/>
    <m/>
    <m/>
    <s v="Yes"/>
    <d v="2023-01-29T00:00:00"/>
    <s v="https://img01.ztat.net/article/ZL100314.jpg"/>
    <n v="0.38030424339471575"/>
    <s v="Moderate"/>
  </r>
  <r>
    <s v="ZL100959"/>
    <s v="https://www.zalando.de/celio-regular-fit-polo---dark-green-zl100959/"/>
    <x v="74"/>
    <s v="Regular Fit POLO - DARK GREEN"/>
    <s v="Men's T-Shirts &amp; Polos"/>
    <x v="0"/>
    <x v="3"/>
    <s v="Dark Green"/>
    <s v="XS"/>
    <n v="12.15"/>
    <n v="7.53"/>
    <s v="SALE"/>
    <s v="EUR"/>
    <n v="753"/>
    <s v="4.1"/>
    <s v="34.0"/>
    <m/>
    <m/>
    <s v="No"/>
    <d v="2023-01-29T00:00:00"/>
    <s v="https://img01.ztat.net/article/ZL100959.jpg"/>
    <n v="0.38024691358024693"/>
    <s v="Moderate"/>
  </r>
  <r>
    <s v="ZL100997"/>
    <s v="https://www.zalando.de/anthracite-slim-fit-t-shirt---royal-blue-zl100997/"/>
    <x v="59"/>
    <s v="Slim Fit T-SHIRT - ROYAL BLUE"/>
    <s v="Men's T-Shirts &amp; Polos"/>
    <x v="1"/>
    <x v="4"/>
    <s v="Royal Blue"/>
    <s v="S"/>
    <n v="25.45"/>
    <n v="15.79"/>
    <s v="SALE"/>
    <s v="EUR"/>
    <n v="512"/>
    <s v="3.0"/>
    <s v="25.0"/>
    <m/>
    <m/>
    <s v="Yes"/>
    <d v="2023-01-29T00:00:00"/>
    <s v="https://img01.ztat.net/article/ZL100997.jpg"/>
    <n v="0.37956777996070729"/>
    <s v="Moderate"/>
  </r>
  <r>
    <s v="ZL100705"/>
    <s v="https://www.zalando.de/jordan-print-polo---white-zl100705/"/>
    <x v="75"/>
    <s v="Print POLO - WHITE"/>
    <s v="Men's T-Shirts &amp; Polos"/>
    <x v="0"/>
    <x v="2"/>
    <s v="White"/>
    <s v="M"/>
    <n v="15.08"/>
    <n v="9.36"/>
    <s v="SALE"/>
    <s v="EUR"/>
    <n v="376"/>
    <s v="3.2"/>
    <s v="41.0"/>
    <m/>
    <m/>
    <s v="Yes"/>
    <d v="2023-01-29T00:00:00"/>
    <s v="https://img01.ztat.net/article/ZL100705.jpg"/>
    <n v="0.37931034482758624"/>
    <s v="Moderate"/>
  </r>
  <r>
    <s v="ZL100627"/>
    <s v="https://www.zalando.de/new-look-regular-fit-t-shirt---royal-blue-zl100627/"/>
    <x v="11"/>
    <s v="Regular Fit T-Shirt - Royal Blue"/>
    <s v="Men's T-Shirts &amp; Polos"/>
    <x v="1"/>
    <x v="6"/>
    <s v="Royal Blue"/>
    <s v="M"/>
    <n v="11.83"/>
    <n v="7.35"/>
    <s v="SALE"/>
    <s v="EUR"/>
    <n v="902"/>
    <s v="4.4"/>
    <s v="37.0"/>
    <m/>
    <m/>
    <s v="Yes"/>
    <d v="2023-01-29T00:00:00"/>
    <s v="https://img01.ztat.net/article/ZL100627.jpg"/>
    <n v="0.37869822485207105"/>
    <s v="Moderate"/>
  </r>
  <r>
    <s v="ZL100762"/>
    <s v="https://www.zalando.de/boss-slim-fit-polo---royal-blue-zl100762/"/>
    <x v="48"/>
    <s v="Slim Fit POLO - ROYAL BLUE"/>
    <s v="Men's T-Shirts &amp; Polos"/>
    <x v="0"/>
    <x v="2"/>
    <s v="Royal Blue"/>
    <s v="S"/>
    <n v="9.09"/>
    <n v="5.66"/>
    <s v="SALE"/>
    <s v="EUR"/>
    <n v="418"/>
    <s v="3.1"/>
    <s v="32.0"/>
    <m/>
    <m/>
    <s v="Yes"/>
    <d v="2023-01-29T00:00:00"/>
    <s v="https://img01.ztat.net/article/ZL100762.jpg"/>
    <n v="0.37733773377337732"/>
    <s v="Moderate"/>
  </r>
  <r>
    <s v="ZL100721"/>
    <s v="https://www.zalando.de/calvin-klein-essential-polo---royal-blue-zl100721/"/>
    <x v="14"/>
    <s v="Essential POLO - ROYAL BLUE"/>
    <s v="Men's T-Shirts &amp; Polos"/>
    <x v="0"/>
    <x v="3"/>
    <s v="Royal Blue"/>
    <s v="XS"/>
    <n v="15.62"/>
    <n v="9.75"/>
    <s v="SALE"/>
    <s v="EUR"/>
    <n v="390"/>
    <s v="0"/>
    <s v="34.0"/>
    <m/>
    <m/>
    <s v="Yes"/>
    <d v="2023-01-29T00:00:00"/>
    <s v="https://img01.ztat.net/article/ZL100721.jpg"/>
    <n v="0.37580025608194617"/>
    <s v="Moderate"/>
  </r>
  <r>
    <s v="ZL100489"/>
    <s v="https://www.zalando.de/tommy-hilfiger-slim-fit-t-shirt---white-zl100489/"/>
    <x v="8"/>
    <s v="Slim Fit T-SHIRT - WHITE"/>
    <s v="Men's T-Shirts &amp; Polos"/>
    <x v="1"/>
    <x v="1"/>
    <s v="White"/>
    <s v="S"/>
    <n v="20.12"/>
    <n v="12.56"/>
    <s v="SALE"/>
    <s v="EUR"/>
    <n v="898"/>
    <s v="4.7"/>
    <s v="38.0"/>
    <m/>
    <m/>
    <s v="Yes"/>
    <d v="2023-01-29T00:00:00"/>
    <s v="https://img01.ztat.net/article/ZL100489.jpg"/>
    <n v="0.37574552683896623"/>
    <s v="Moderate"/>
  </r>
  <r>
    <s v="ZL100951"/>
    <s v="https://www.zalando.de/jack-jones-junior-slim-fit-t-shirt---khaki-zl100951/"/>
    <x v="34"/>
    <s v="Slim Fit T-SHIRT - KHAKI"/>
    <s v="Men's T-Shirts &amp; Polos"/>
    <x v="1"/>
    <x v="4"/>
    <s v="Khaki"/>
    <s v="S"/>
    <n v="28.38"/>
    <n v="17.73"/>
    <s v="SALE"/>
    <s v="EUR"/>
    <n v="359"/>
    <s v="3.8"/>
    <s v="29.0"/>
    <m/>
    <m/>
    <s v="Yes"/>
    <d v="2023-01-29T00:00:00"/>
    <s v="https://img01.ztat.net/article/ZL100951.jpg"/>
    <n v="0.3752642706131078"/>
    <s v="Moderate"/>
  </r>
  <r>
    <s v="ZL100781"/>
    <s v="https://www.zalando.de/jack-jones-junior-basic-t-shirt---dark-green-zl100781/"/>
    <x v="34"/>
    <s v="Basic T-SHIRT - DARK GREEN"/>
    <s v="Men's T-Shirts &amp; Polos"/>
    <x v="1"/>
    <x v="6"/>
    <s v="Dark Green"/>
    <s v="S"/>
    <n v="9.67"/>
    <n v="6.05"/>
    <s v="SALE"/>
    <s v="EUR"/>
    <n v="191"/>
    <s v="4.8"/>
    <s v="41.0"/>
    <m/>
    <m/>
    <s v="Yes"/>
    <d v="2023-01-29T00:00:00"/>
    <s v="https://img01.ztat.net/article/ZL100781.jpg"/>
    <n v="0.37435367114788004"/>
    <s v="Moderate"/>
  </r>
  <r>
    <s v="ZL100883"/>
    <s v="https://www.zalando.de/nn07-slim-fit-polo---navy-zl100883/"/>
    <x v="25"/>
    <s v="Slim Fit POLO - NAVY"/>
    <s v="Men's T-Shirts &amp; Polos"/>
    <x v="0"/>
    <x v="3"/>
    <s v="Navy"/>
    <s v="XS"/>
    <n v="22.37"/>
    <n v="14.03"/>
    <s v="SALE"/>
    <s v="EUR"/>
    <n v="615"/>
    <s v="3.8"/>
    <s v="32.0"/>
    <m/>
    <m/>
    <s v="Yes"/>
    <d v="2023-01-29T00:00:00"/>
    <s v="https://img01.ztat.net/article/ZL100883.jpg"/>
    <n v="0.37282074206526605"/>
    <s v="Moderate"/>
  </r>
  <r>
    <s v="ZL100051"/>
    <s v="https://www.zalando.de/nike-essential-t-shirt---dark-green-zl100051/"/>
    <x v="25"/>
    <s v="Essential T-SHIRT - DARK GREEN"/>
    <s v="Men's T-Shirts &amp; Polos"/>
    <x v="1"/>
    <x v="1"/>
    <s v="Dark Green"/>
    <s v="M"/>
    <n v="10.89"/>
    <n v="6.83"/>
    <s v="SALE"/>
    <s v="EUR"/>
    <n v="817"/>
    <s v="4.1"/>
    <s v="34.0"/>
    <m/>
    <m/>
    <s v="Yes"/>
    <d v="2023-01-29T00:00:00"/>
    <s v="https://img01.ztat.net/article/ZL100051.jpg"/>
    <n v="0.37281910009182739"/>
    <s v="Moderate"/>
  </r>
  <r>
    <s v="ZL100085"/>
    <s v="https://www.zalando.de/new-look-print-t-shirt---royal-blue-zl100085/"/>
    <x v="11"/>
    <s v="Print T-SHIRT - ROYAL BLUE"/>
    <s v="Men's T-Shirts &amp; Polos"/>
    <x v="1"/>
    <x v="1"/>
    <s v="Royal Blue"/>
    <s v="XS"/>
    <n v="8.99"/>
    <n v="5.64"/>
    <s v="SALE"/>
    <s v="EUR"/>
    <n v="244"/>
    <s v="4.0"/>
    <s v="31.0"/>
    <m/>
    <m/>
    <s v="No"/>
    <d v="2023-01-29T00:00:00"/>
    <s v="https://img01.ztat.net/article/ZL100085.jpg"/>
    <n v="0.37263626251390441"/>
    <s v="Moderate"/>
  </r>
  <r>
    <s v="ZL100549"/>
    <s v="https://www.zalando.de/craft-sportswear-slim-fit-polo---anthracite-zl100549/"/>
    <x v="31"/>
    <s v="Slim Fit POLO - ANTHRACITE"/>
    <s v="Men's T-Shirts &amp; Polos"/>
    <x v="0"/>
    <x v="2"/>
    <s v="Anthracite"/>
    <s v=""/>
    <n v="8.99"/>
    <n v="5.65"/>
    <s v="SALE"/>
    <s v="EUR"/>
    <n v="788"/>
    <s v="4.5"/>
    <s v="33.0"/>
    <m/>
    <m/>
    <s v="No"/>
    <d v="2023-01-29T00:00:00"/>
    <s v="https://img01.ztat.net/article/ZL100549.jpg"/>
    <n v="0.371523915461624"/>
    <s v="Moderate"/>
  </r>
  <r>
    <s v="ZL100160"/>
    <s v="https://www.zalando.de/adidas-performance-print-t-shirt---light-grey-zl100160/"/>
    <x v="6"/>
    <s v="Print T-SHIRT - LIGHT GREY"/>
    <s v="Men's T-Shirts &amp; Polos"/>
    <x v="1"/>
    <x v="6"/>
    <s v="Light Grey"/>
    <s v="M"/>
    <n v="21.11"/>
    <n v="13.27"/>
    <s v="SALE"/>
    <s v="EUR"/>
    <n v="813"/>
    <s v="3.1"/>
    <s v="33.0"/>
    <m/>
    <m/>
    <s v="Yes"/>
    <d v="2023-01-29T00:00:00"/>
    <s v="https://img01.ztat.net/article/ZL100160.jpg"/>
    <n v="0.37138796778777833"/>
    <s v="Moderate"/>
  </r>
  <r>
    <s v="ZL100698"/>
    <s v="https://www.zalando.de/levi's-print-t-shirt---light-grey-zl100698/"/>
    <x v="33"/>
    <s v="Print T-SHIRT - LIGHT GREY"/>
    <s v="Men's T-Shirts &amp; Polos"/>
    <x v="1"/>
    <x v="6"/>
    <s v="Light Grey"/>
    <s v="S"/>
    <n v="9.74"/>
    <n v="6.13"/>
    <s v="SALE"/>
    <s v="EUR"/>
    <n v="626"/>
    <s v="0"/>
    <s v="32.0"/>
    <m/>
    <m/>
    <s v="Yes"/>
    <d v="2023-01-29T00:00:00"/>
    <s v="https://img01.ztat.net/article/ZL100698.jpg"/>
    <n v="0.37063655030800824"/>
    <s v="Moderate"/>
  </r>
  <r>
    <s v="ZL100579"/>
    <s v="https://www.zalando.de/hummel-regular-fit-polo---khaki-zl100579/"/>
    <x v="76"/>
    <s v="Regular Fit POLO - KHAKI"/>
    <s v="Men's T-Shirts &amp; Polos"/>
    <x v="0"/>
    <x v="0"/>
    <m/>
    <s v="S"/>
    <n v="28.39"/>
    <n v="17.88"/>
    <s v="SALE"/>
    <s v="EUR"/>
    <n v="831"/>
    <s v="3.9"/>
    <s v="0"/>
    <m/>
    <m/>
    <s v="No"/>
    <d v="2023-01-29T00:00:00"/>
    <s v="https://img01.ztat.net/article/ZL100579.jpg"/>
    <n v="0.37020077492074677"/>
    <s v="Moderate"/>
  </r>
  <r>
    <s v="ZL100297"/>
    <s v="https://www.zalando.de/petrol-industries-basic-polo---royal-blue-zl100297/"/>
    <x v="7"/>
    <s v="Basic POLO - ROYAL BLUE"/>
    <s v="Men's T-Shirts &amp; Polos"/>
    <x v="0"/>
    <x v="0"/>
    <s v="Royal Blue"/>
    <s v="M"/>
    <n v="30.24"/>
    <n v="19.05"/>
    <s v="SALE"/>
    <s v="EUR"/>
    <n v="220"/>
    <s v="3.2"/>
    <s v="0"/>
    <m/>
    <m/>
    <s v="No"/>
    <d v="2023-01-29T00:00:00"/>
    <s v="https://img01.ztat.net/article/ZL100297.jpg"/>
    <n v="0.3700396825396825"/>
    <s v="Moderate"/>
  </r>
  <r>
    <s v="ZL100754"/>
    <s v="https://www.zalando.de/superdry-basic-t-shirt---black-zl100754/"/>
    <x v="77"/>
    <s v="Basic T-SHIRT - BLACK"/>
    <s v="Men's T-Shirts &amp; Polos"/>
    <x v="1"/>
    <x v="6"/>
    <s v="Black"/>
    <s v="XS"/>
    <n v="9.77"/>
    <n v="6.16"/>
    <s v="SALE"/>
    <s v="EUR"/>
    <n v="308"/>
    <s v="4.6"/>
    <s v="33.0"/>
    <m/>
    <m/>
    <s v="Yes"/>
    <d v="2023-01-29T00:00:00"/>
    <s v="https://img01.ztat.net/article/ZL100754.jpg"/>
    <n v="0.36949846468781983"/>
    <s v="Moderate"/>
  </r>
  <r>
    <s v="ZL100358"/>
    <s v="https://www.zalando.de/mango-man-print-t-shirt---beige-zl100358/"/>
    <x v="5"/>
    <s v="Print T-SHIRT - BEIGE"/>
    <s v="Men's T-Shirts &amp; Polos"/>
    <x v="1"/>
    <x v="5"/>
    <s v="Beige"/>
    <s v="S"/>
    <n v="10.4"/>
    <n v="6.56"/>
    <s v="SALE"/>
    <s v="EUR"/>
    <n v="320"/>
    <s v="4.8"/>
    <s v="0"/>
    <m/>
    <m/>
    <s v="Yes"/>
    <d v="2023-01-29T00:00:00"/>
    <s v="https://img01.ztat.net/article/ZL100358.jpg"/>
    <n v="0.36923076923076931"/>
    <s v="Moderate"/>
  </r>
  <r>
    <s v="ZL100964"/>
    <s v="https://www.zalando.de/nudie-jeans-slim-fit-polo---off-white-zl100964/"/>
    <x v="68"/>
    <s v="Slim Fit POLO - OFF WHITE"/>
    <s v="Men's T-Shirts &amp; Polos"/>
    <x v="0"/>
    <x v="3"/>
    <s v="Off White"/>
    <s v="S"/>
    <n v="8.99"/>
    <n v="5.7"/>
    <s v="SALE"/>
    <s v="EUR"/>
    <n v="129"/>
    <s v="0"/>
    <s v="46.0"/>
    <m/>
    <m/>
    <s v="Yes"/>
    <d v="2023-01-29T00:00:00"/>
    <s v="https://img01.ztat.net/article/ZL100964.jpg"/>
    <n v="0.36596218020022248"/>
    <s v="Moderate"/>
  </r>
  <r>
    <s v="ZL100900"/>
    <s v="https://www.zalando.de/nike-regular-fit-polo---rust-zl100900/"/>
    <x v="25"/>
    <s v="Regular Fit POLO - RUST"/>
    <s v="Men's T-Shirts &amp; Polos"/>
    <x v="0"/>
    <x v="0"/>
    <s v="Rust"/>
    <s v="XS"/>
    <n v="42.77"/>
    <n v="27.13"/>
    <s v="SALE"/>
    <s v="EUR"/>
    <n v="552"/>
    <s v="4.2"/>
    <s v="38.0"/>
    <m/>
    <m/>
    <s v="Yes"/>
    <d v="2023-01-29T00:00:00"/>
    <s v="https://img01.ztat.net/article/ZL100900.jpg"/>
    <n v="0.36567687631517426"/>
    <s v="Moderate"/>
  </r>
  <r>
    <s v="ZL100394"/>
    <s v="https://www.zalando.de/lacoste-essential-t-shirt---bordeaux-zl100394/"/>
    <x v="4"/>
    <s v="Essential T-SHIRT - BORDEAUX"/>
    <s v="Men's T-Shirts &amp; Polos"/>
    <x v="1"/>
    <x v="6"/>
    <s v="Bordeaux"/>
    <s v="XS"/>
    <n v="15.2"/>
    <n v="9.65"/>
    <s v="SALE"/>
    <s v="EUR"/>
    <n v="690"/>
    <s v="4.0"/>
    <s v="32.0"/>
    <m/>
    <m/>
    <s v="Yes"/>
    <d v="2023-01-29T00:00:00"/>
    <s v="https://img01.ztat.net/article/ZL100394.jpg"/>
    <n v="0.36513157894736836"/>
    <s v="Moderate"/>
  </r>
  <r>
    <s v="ZL100739"/>
    <s v="https://www.zalando.de/converse-print-t-shirt---rust-zl100739/"/>
    <x v="54"/>
    <s v="Print T-SHIRT - RUST"/>
    <s v="Men's T-Shirts &amp; Polos"/>
    <x v="1"/>
    <x v="6"/>
    <s v="Rust"/>
    <s v="S"/>
    <n v="15.3"/>
    <n v="9.7200000000000006"/>
    <s v="SALE"/>
    <s v="EUR"/>
    <n v="128"/>
    <s v="4.7"/>
    <s v="39.0"/>
    <m/>
    <m/>
    <s v="Yes"/>
    <d v="2023-01-29T00:00:00"/>
    <s v="https://img01.ztat.net/article/ZL100739.jpg"/>
    <n v="0.36470588235294116"/>
    <s v="Moderate"/>
  </r>
  <r>
    <s v="ZL100219"/>
    <s v="https://www.zalando.de/tommy-hilfiger-basic-polo---navy-zl100219/"/>
    <x v="8"/>
    <s v="Basic POLO - NAVY"/>
    <s v="Men's T-Shirts &amp; Polos"/>
    <x v="0"/>
    <x v="0"/>
    <s v="Navy"/>
    <s v="XS"/>
    <n v="9.3800000000000008"/>
    <n v="6.02"/>
    <s v="SALE"/>
    <s v="EUR"/>
    <n v="346"/>
    <s v="4.2"/>
    <s v="0"/>
    <m/>
    <m/>
    <s v="Yes"/>
    <d v="2023-01-29T00:00:00"/>
    <s v="https://img01.ztat.net/article/ZL100219.jpg"/>
    <n v="0.35820895522388069"/>
    <s v="Moderate"/>
  </r>
  <r>
    <s v="ZL100838"/>
    <s v="https://www.zalando.de/tommy-hilfiger-regular-fit-polo---light-grey-zl100838/"/>
    <x v="8"/>
    <s v="Regular Fit POLO - LIGHT GREY"/>
    <s v="Men's T-Shirts &amp; Polos"/>
    <x v="0"/>
    <x v="3"/>
    <s v="Light Grey"/>
    <s v="S"/>
    <n v="25.47"/>
    <n v="16.36"/>
    <s v="SALE"/>
    <s v="EUR"/>
    <n v="212"/>
    <s v="3.7"/>
    <s v="26.0"/>
    <m/>
    <m/>
    <s v="Yes"/>
    <d v="2023-01-29T00:00:00"/>
    <s v="https://img01.ztat.net/article/ZL100838.jpg"/>
    <n v="0.35767569689831175"/>
    <s v="Moderate"/>
  </r>
  <r>
    <s v="ZL100443"/>
    <s v="https://www.zalando.de/farah-essential-polo---mint-zl100443/"/>
    <x v="78"/>
    <s v="Essential POLO - MINT"/>
    <s v="Men's T-Shirts &amp; Polos"/>
    <x v="0"/>
    <x v="0"/>
    <s v="Mint"/>
    <s v="M"/>
    <n v="18.71"/>
    <n v="12.05"/>
    <s v="SALE"/>
    <s v="EUR"/>
    <n v="36"/>
    <s v="3.9"/>
    <s v="41.0"/>
    <m/>
    <m/>
    <s v="Yes"/>
    <d v="2023-01-29T00:00:00"/>
    <s v="https://img01.ztat.net/article/ZL100443.jpg"/>
    <n v="0.35595938001068944"/>
    <s v="Moderate"/>
  </r>
  <r>
    <s v="ZL100665"/>
    <s v="https://www.zalando.de/reebok-slim-fit-t-shirt---olive-zl100665/"/>
    <x v="37"/>
    <s v="Slim Fit T-SHIRT - OLIVE"/>
    <s v="Men's T-Shirts &amp; Polos"/>
    <x v="1"/>
    <x v="5"/>
    <s v="Olive"/>
    <s v="S"/>
    <n v="10.47"/>
    <n v="6.75"/>
    <s v="SALE"/>
    <s v="EUR"/>
    <n v="843"/>
    <s v="0"/>
    <s v="43.0"/>
    <m/>
    <m/>
    <s v="Yes"/>
    <d v="2023-01-29T00:00:00"/>
    <s v="https://img01.ztat.net/article/ZL100665.jpg"/>
    <n v="0.35530085959885394"/>
    <s v="Moderate"/>
  </r>
  <r>
    <s v="ZL100230"/>
    <s v="https://www.zalando.de/only-sons-essential-polo---beige-zl100230/"/>
    <x v="61"/>
    <s v="Essential POLO - BEIGE"/>
    <s v="Men's T-Shirts &amp; Polos"/>
    <x v="0"/>
    <x v="0"/>
    <s v="Beige"/>
    <s v="XS"/>
    <n v="12.76"/>
    <n v="8.23"/>
    <s v="SALE"/>
    <s v="EUR"/>
    <n v="899"/>
    <s v="3.1"/>
    <s v="35.0"/>
    <m/>
    <m/>
    <s v="Yes"/>
    <d v="2023-01-29T00:00:00"/>
    <s v="https://img01.ztat.net/article/ZL100230.jpg"/>
    <n v="0.35501567398119116"/>
    <s v="Moderate"/>
  </r>
  <r>
    <s v="ZL100978"/>
    <s v="https://www.zalando.de/ellesse-print-t-shirt---olive-zl100978/"/>
    <x v="79"/>
    <s v="Print T-SHIRT - OLIVE"/>
    <s v="Men's T-Shirts &amp; Polos"/>
    <x v="1"/>
    <x v="1"/>
    <s v="Olive"/>
    <s v=""/>
    <n v="34.880000000000003"/>
    <n v="22.54"/>
    <s v="SALE"/>
    <s v="EUR"/>
    <n v="349"/>
    <s v="3.1"/>
    <s v="40.0"/>
    <m/>
    <m/>
    <s v="Yes"/>
    <d v="2023-01-29T00:00:00"/>
    <s v="https://img01.ztat.net/article/ZL100978.jpg"/>
    <n v="0.35378440366972486"/>
    <s v="Moderate"/>
  </r>
  <r>
    <s v="ZL100202"/>
    <s v="https://www.zalando.de/olymp-slim-fit-polo---rust-zl100202/"/>
    <x v="80"/>
    <s v="Slim Fit POLO - RUST"/>
    <s v="Men's T-Shirts &amp; Polos"/>
    <x v="0"/>
    <x v="3"/>
    <s v="Rust"/>
    <s v="S"/>
    <n v="8.99"/>
    <n v="5.81"/>
    <s v="SALE"/>
    <s v="EUR"/>
    <n v="795"/>
    <s v="4.5"/>
    <s v="32.0"/>
    <m/>
    <m/>
    <s v="No"/>
    <d v="2023-01-29T00:00:00"/>
    <s v="https://img01.ztat.net/article/ZL100202.jpg"/>
    <n v="0.35372636262513912"/>
    <s v="Moderate"/>
  </r>
  <r>
    <s v="ZL100145"/>
    <s v="https://www.zalando.de/carhartt-wip-slim-fit-polo---dark-blue-zl100145/"/>
    <x v="32"/>
    <s v="Slim Fit POLO - DARK BLUE"/>
    <s v="Men's T-Shirts &amp; Polos"/>
    <x v="0"/>
    <x v="0"/>
    <s v="Dark Blue"/>
    <s v="XS"/>
    <n v="10.55"/>
    <n v="6.82"/>
    <s v="SALE"/>
    <s v="EUR"/>
    <n v="942"/>
    <s v="3.1"/>
    <s v="33.0"/>
    <m/>
    <m/>
    <s v="No"/>
    <d v="2023-01-29T00:00:00"/>
    <s v="https://img01.ztat.net/article/ZL100145.jpg"/>
    <n v="0.35355450236966829"/>
    <s v="Moderate"/>
  </r>
  <r>
    <s v="ZL100683"/>
    <s v="https://www.zalando.de/salomon-essential-polo---denim-blue-zl100683/"/>
    <x v="53"/>
    <s v="Essential POLO - DENIM BLUE"/>
    <s v="Men's T-Shirts &amp; Polos"/>
    <x v="0"/>
    <x v="0"/>
    <s v="Denim Blue"/>
    <s v="M"/>
    <n v="16.47"/>
    <n v="10.66"/>
    <s v="SALE"/>
    <s v="EUR"/>
    <n v="97"/>
    <s v="4.9"/>
    <s v="32.0"/>
    <m/>
    <m/>
    <s v="Yes"/>
    <d v="2023-01-29T00:00:00"/>
    <s v="https://img01.ztat.net/article/ZL100683.jpg"/>
    <n v="0.35276259866423798"/>
    <s v="Moderate"/>
  </r>
  <r>
    <s v="ZL100469"/>
    <s v="https://www.zalando.de/jack-jones-junior-basic-t-shirt---rust-zl100469/"/>
    <x v="34"/>
    <s v="Basic T-SHIRT - RUST"/>
    <s v="Men's T-Shirts &amp; Polos"/>
    <x v="1"/>
    <x v="5"/>
    <s v="Rust"/>
    <s v="XS"/>
    <n v="9.56"/>
    <n v="6.19"/>
    <s v="SALE"/>
    <s v="EUR"/>
    <n v="291"/>
    <s v="3.7"/>
    <s v="0"/>
    <m/>
    <m/>
    <s v="No"/>
    <d v="2023-01-29T00:00:00"/>
    <s v="https://img01.ztat.net/article/ZL100469.jpg"/>
    <n v="0.35251046025104604"/>
    <s v="Moderate"/>
  </r>
  <r>
    <s v="ZL100541"/>
    <s v="https://www.zalando.de/lacoste-regular-fit-polo---navy-zl100541/"/>
    <x v="4"/>
    <s v="Regular Fit POLO - NAVY"/>
    <s v="Men's T-Shirts &amp; Polos"/>
    <x v="0"/>
    <x v="3"/>
    <s v="Navy"/>
    <s v="XS"/>
    <n v="11.07"/>
    <n v="7.17"/>
    <s v="SALE"/>
    <s v="EUR"/>
    <n v="314"/>
    <s v="4.9"/>
    <s v="38.0"/>
    <m/>
    <m/>
    <s v="Yes"/>
    <d v="2023-01-29T00:00:00"/>
    <s v="https://img01.ztat.net/article/ZL100541.jpg"/>
    <n v="0.35230352303523038"/>
    <s v="Moderate"/>
  </r>
  <r>
    <s v="ZL100066"/>
    <s v="https://www.zalando.de/nike-essential-polo---anthracite-zl100066/"/>
    <x v="25"/>
    <s v="Essential POLO - ANTHRACITE"/>
    <s v="Men's T-Shirts &amp; Polos"/>
    <x v="0"/>
    <x v="2"/>
    <s v="Anthracite"/>
    <s v="M"/>
    <n v="8.99"/>
    <n v="5.83"/>
    <s v="SALE"/>
    <s v="EUR"/>
    <n v="533"/>
    <s v="3.6"/>
    <s v="39.0"/>
    <m/>
    <m/>
    <s v="Yes"/>
    <d v="2023-01-29T00:00:00"/>
    <s v="https://img01.ztat.net/article/ZL100066.jpg"/>
    <n v="0.3515016685205784"/>
    <s v="Moderate"/>
  </r>
  <r>
    <s v="ZL100890"/>
    <s v="https://www.zalando.de/nike-regular-fit-t-shirt---off-white-zl100890/"/>
    <x v="25"/>
    <s v="Regular Fit T-SHIRT - OFF WHITE"/>
    <s v="Men's T-Shirts &amp; Polos"/>
    <x v="1"/>
    <x v="1"/>
    <s v="Off White"/>
    <s v="S"/>
    <n v="8.99"/>
    <n v="5.83"/>
    <s v="SALE"/>
    <s v="EUR"/>
    <n v="933"/>
    <s v="4.8"/>
    <s v="0"/>
    <m/>
    <m/>
    <s v="No"/>
    <d v="2023-01-29T00:00:00"/>
    <s v="https://img01.ztat.net/article/ZL100890.jpg"/>
    <n v="0.3515016685205784"/>
    <s v="Moderate"/>
  </r>
  <r>
    <s v="ZL100814"/>
    <s v="https://www.zalando.de/lacoste-print-t-shirt---off-white-zl100814/"/>
    <x v="4"/>
    <s v="Print T-SHIRT - OFF WHITE"/>
    <s v="Men's T-Shirts &amp; Polos"/>
    <x v="1"/>
    <x v="6"/>
    <s v="Off White"/>
    <s v="S"/>
    <n v="21.11"/>
    <n v="13.7"/>
    <s v="SALE"/>
    <s v="EUR"/>
    <n v="47"/>
    <s v="4.6"/>
    <s v="34.0"/>
    <m/>
    <m/>
    <s v="Yes"/>
    <d v="2023-01-29T00:00:00"/>
    <s v="https://img01.ztat.net/article/ZL100814.jpg"/>
    <n v="0.35101847465656089"/>
    <s v="Moderate"/>
  </r>
  <r>
    <s v="ZL100391"/>
    <s v="https://www.zalando.de/patagonia-essential-t-shirt---royal-blue-zl100391/"/>
    <x v="81"/>
    <s v="Essential T-SHIRT - ROYAL BLUE"/>
    <s v="Men's T-Shirts &amp; Polos"/>
    <x v="1"/>
    <x v="5"/>
    <s v="Royal Blue"/>
    <s v="XS"/>
    <n v="20.41"/>
    <n v="13.26"/>
    <s v="SALE"/>
    <s v="EUR"/>
    <n v="138"/>
    <s v="4.6"/>
    <s v="29.0"/>
    <m/>
    <m/>
    <s v="Yes"/>
    <d v="2023-01-29T00:00:00"/>
    <s v="https://img01.ztat.net/article/ZL100391.jpg"/>
    <n v="0.35031847133757965"/>
    <s v="Moderate"/>
  </r>
  <r>
    <s v="ZL100975"/>
    <s v="https://www.zalando.de/guess-essential-t-shirt---royal-blue-zl100975/"/>
    <x v="82"/>
    <s v="Essential T-SHIRT - ROYAL BLUE"/>
    <s v="Men's T-Shirts &amp; Polos"/>
    <x v="1"/>
    <x v="5"/>
    <m/>
    <s v="XS"/>
    <n v="12.71"/>
    <n v="8.26"/>
    <s v="SALE"/>
    <s v="EUR"/>
    <n v="653"/>
    <s v="3.2"/>
    <s v="34.0"/>
    <m/>
    <m/>
    <s v="Yes"/>
    <d v="2023-01-29T00:00:00"/>
    <s v="https://img01.ztat.net/article/ZL100975.jpg"/>
    <n v="0.35011801730920539"/>
    <s v="Moderate"/>
  </r>
  <r>
    <s v="ZL100492"/>
    <s v="https://www.zalando.de/the-north-face-basic-polo---dark-blue-zl100492/"/>
    <x v="22"/>
    <s v="Basic POLO - DARK BLUE"/>
    <s v="Men's T-Shirts &amp; Polos"/>
    <x v="0"/>
    <x v="0"/>
    <s v="Dark Blue"/>
    <s v="XS"/>
    <n v="11.45"/>
    <n v="7.45"/>
    <s v="SALE"/>
    <s v="EUR"/>
    <n v="965"/>
    <s v="4.1"/>
    <s v="36.0"/>
    <m/>
    <m/>
    <s v="Yes"/>
    <d v="2023-01-29T00:00:00"/>
    <s v="https://img01.ztat.net/article/ZL100492.jpg"/>
    <n v="0.34934497816593879"/>
    <s v="Moderate"/>
  </r>
  <r>
    <s v="ZL100789"/>
    <s v="https://www.zalando.de/cleptomanicx-essential-t-shirt---rust-zl100789/"/>
    <x v="83"/>
    <s v="Essential T-SHIRT - RUST"/>
    <s v="Men's T-Shirts &amp; Polos"/>
    <x v="1"/>
    <x v="1"/>
    <s v="Rust"/>
    <s v="S"/>
    <n v="13.14"/>
    <n v="8.56"/>
    <s v="SALE"/>
    <s v="EUR"/>
    <n v="785"/>
    <s v="3.4"/>
    <s v="28.0"/>
    <m/>
    <m/>
    <s v="No"/>
    <d v="2023-01-29T00:00:00"/>
    <s v="https://img01.ztat.net/article/ZL100789.jpg"/>
    <n v="0.34855403348554032"/>
    <s v="Moderate"/>
  </r>
  <r>
    <s v="ZL100688"/>
    <s v="https://www.zalando.de/jack-jones-junior-print-t-shirt---white-zl100688/"/>
    <x v="34"/>
    <s v="Print T-SHIRT - WHITE"/>
    <s v="Men's T-Shirts &amp; Polos"/>
    <x v="1"/>
    <x v="6"/>
    <s v="White"/>
    <s v="XS"/>
    <n v="8.99"/>
    <n v="5.86"/>
    <s v="SALE"/>
    <s v="EUR"/>
    <n v="565"/>
    <s v="3.2"/>
    <s v="38.0"/>
    <m/>
    <m/>
    <s v="Yes"/>
    <d v="2023-01-29T00:00:00"/>
    <s v="https://img01.ztat.net/article/ZL100688.jpg"/>
    <n v="0.34816462736373749"/>
    <s v="Moderate"/>
  </r>
  <r>
    <s v="ZL100908"/>
    <s v="https://www.zalando.de/digel-print-t-shirt---olive-zl100908/"/>
    <x v="84"/>
    <s v="Print T-SHIRT - OLIVE"/>
    <s v="Men's T-Shirts &amp; Polos"/>
    <x v="1"/>
    <x v="5"/>
    <s v="Olive"/>
    <s v="S"/>
    <n v="8.99"/>
    <n v="5.86"/>
    <s v="SALE"/>
    <s v="EUR"/>
    <n v="883"/>
    <s v="4.5"/>
    <s v="39.0"/>
    <m/>
    <m/>
    <s v="Yes"/>
    <d v="2023-01-29T00:00:00"/>
    <s v="https://img01.ztat.net/article/ZL100908.jpg"/>
    <n v="0.34816462736373749"/>
    <s v="Moderate"/>
  </r>
  <r>
    <s v="ZL100678"/>
    <s v="https://www.zalando.de/burton-menswear-london-basic-t-shirt---rust-zl100678/"/>
    <x v="58"/>
    <s v="Basic T-SHIRT - RUST"/>
    <s v="Men's T-Shirts &amp; Polos"/>
    <x v="1"/>
    <x v="4"/>
    <s v="Rust"/>
    <s v="S"/>
    <n v="15.39"/>
    <n v="10.039999999999999"/>
    <s v="SALE"/>
    <s v="EUR"/>
    <n v="59"/>
    <s v="3.1"/>
    <s v="32.0"/>
    <m/>
    <m/>
    <s v="Yes"/>
    <d v="2023-01-29T00:00:00"/>
    <s v="https://img01.ztat.net/article/ZL100678.jpg"/>
    <n v="0.34762833008447053"/>
    <s v="Moderate"/>
  </r>
  <r>
    <s v="ZL100254"/>
    <s v="https://www.zalando.de/jack-jones-junior-regular-fit-t-shirt---anthracite-zl100254/"/>
    <x v="34"/>
    <s v="Regular Fit T-Shirt - Anthracite"/>
    <s v="Men's T-Shirts &amp; Polos"/>
    <x v="1"/>
    <x v="5"/>
    <s v="Anthracite"/>
    <s v="XS"/>
    <n v="13.09"/>
    <n v="8.56"/>
    <s v="SALE"/>
    <s v="EUR"/>
    <n v="157"/>
    <s v="4.2"/>
    <s v="43.0"/>
    <m/>
    <m/>
    <s v="Yes"/>
    <d v="2023-01-29T00:00:00"/>
    <s v="https://img01.ztat.net/article/ZL100254.jpg"/>
    <n v="0.34606569900687545"/>
    <s v="Moderate"/>
  </r>
  <r>
    <s v="ZL100142"/>
    <s v="https://www.zalando.de/carhartt-wip-essential-polo---navy-zl100142/"/>
    <x v="32"/>
    <s v="Essential POLO - NAVY"/>
    <s v="Men's T-Shirts &amp; Polos"/>
    <x v="0"/>
    <x v="2"/>
    <s v="Navy"/>
    <s v="XS"/>
    <n v="14.54"/>
    <n v="9.51"/>
    <s v="SALE"/>
    <s v="EUR"/>
    <n v="482"/>
    <s v="3.5"/>
    <s v="0"/>
    <m/>
    <m/>
    <s v="No"/>
    <d v="2023-01-29T00:00:00"/>
    <s v="https://img01.ztat.net/article/ZL100142.jpg"/>
    <n v="0.34594222833562582"/>
    <s v="Moderate"/>
  </r>
  <r>
    <s v="ZL100350"/>
    <s v="https://www.zalando.de/hollister-co.-essential-t-shirt---mint-zl100350/"/>
    <x v="85"/>
    <s v="Essential T-SHIRT - MINT"/>
    <s v="Men's T-Shirts &amp; Polos"/>
    <x v="1"/>
    <x v="5"/>
    <s v="Mint"/>
    <s v="M"/>
    <n v="8.99"/>
    <n v="5.89"/>
    <s v="SALE"/>
    <s v="EUR"/>
    <n v="269"/>
    <s v="N/A"/>
    <s v="31.0"/>
    <m/>
    <m/>
    <s v="Yes"/>
    <d v="2023-01-29T00:00:00"/>
    <s v="https://img01.ztat.net/article/ZL100350.jpg"/>
    <n v="0.34482758620689663"/>
    <s v="Moderate"/>
  </r>
  <r>
    <s v="ZL100123"/>
    <s v="https://www.zalando.de/adidas-performance-basic-polo---beige-zl100123/"/>
    <x v="6"/>
    <s v="Basic POLO - BEIGE"/>
    <s v="Men's T-Shirts &amp; Polos"/>
    <x v="0"/>
    <x v="3"/>
    <s v="Beige"/>
    <s v="S"/>
    <n v="13.03"/>
    <n v="8.5399999999999991"/>
    <s v="SALE"/>
    <s v="EUR"/>
    <n v="371"/>
    <s v="4.5"/>
    <s v="41.0"/>
    <m/>
    <m/>
    <s v="No"/>
    <d v="2023-01-29T00:00:00"/>
    <s v="https://img01.ztat.net/article/ZL100123.jpg"/>
    <n v="0.34458940905602459"/>
    <s v="Moderate"/>
  </r>
  <r>
    <s v="ZL100205"/>
    <s v="https://www.zalando.de/casual-friday-basic-polo---off-white-zl100205/"/>
    <x v="86"/>
    <s v="Basic POLO - OFF WHITE"/>
    <s v="Men's T-Shirts &amp; Polos"/>
    <x v="0"/>
    <x v="0"/>
    <s v="Off White"/>
    <s v="M"/>
    <n v="12.17"/>
    <n v="7.99"/>
    <s v="SALE"/>
    <s v="EUR"/>
    <n v="972"/>
    <s v="0"/>
    <s v="38.0"/>
    <m/>
    <m/>
    <s v="Yes"/>
    <d v="2023-01-29T00:00:00"/>
    <s v="https://img01.ztat.net/article/ZL100205.jpg"/>
    <n v="0.34346754313886602"/>
    <s v="Moderate"/>
  </r>
  <r>
    <s v="ZL100791"/>
    <s v="https://www.zalando.de/nike-running-print-polo---mint-zl100791/"/>
    <x v="87"/>
    <s v="Print POLO - MINT"/>
    <s v="Men's T-Shirts &amp; Polos"/>
    <x v="0"/>
    <x v="3"/>
    <s v="Mint"/>
    <s v="S"/>
    <n v="16.63"/>
    <n v="10.92"/>
    <s v="SALE"/>
    <s v="EUR"/>
    <n v="726"/>
    <s v="4.0"/>
    <s v="38.0"/>
    <m/>
    <m/>
    <s v="Yes"/>
    <d v="2023-01-29T00:00:00"/>
    <s v="https://img01.ztat.net/article/ZL100791.jpg"/>
    <n v="0.34335538184004805"/>
    <s v="Moderate"/>
  </r>
  <r>
    <s v="ZL100995"/>
    <s v="https://www.zalando.de/mango-man-slim-fit-t-shirt---white-zl100995/"/>
    <x v="5"/>
    <s v="Slim Fit T-SHIRT - WHITE"/>
    <s v="Men's T-Shirts &amp; Polos"/>
    <x v="1"/>
    <x v="6"/>
    <s v="White"/>
    <s v="S"/>
    <n v="15.07"/>
    <n v="9.9"/>
    <s v="SALE"/>
    <s v="EUR"/>
    <n v="938"/>
    <s v="4.1"/>
    <s v="0"/>
    <m/>
    <m/>
    <s v="Yes"/>
    <d v="2023-01-29T00:00:00"/>
    <s v="https://img01.ztat.net/article/ZL100995.jpg"/>
    <n v="0.3430656934306569"/>
    <s v="Moderate"/>
  </r>
  <r>
    <s v="ZL100092"/>
    <s v="https://www.zalando.de/tommy-hilfiger-basic-t-shirt---royal-blue-zl100092/"/>
    <x v="8"/>
    <s v="Basic T-SHIRT - ROYAL BLUE"/>
    <s v="Men's T-Shirts &amp; Polos"/>
    <x v="1"/>
    <x v="6"/>
    <s v="Royal Blue"/>
    <s v="M"/>
    <n v="13.87"/>
    <n v="9.1199999999999992"/>
    <s v="SALE"/>
    <s v="EUR"/>
    <n v="617"/>
    <s v="4.2"/>
    <s v="34.0"/>
    <m/>
    <m/>
    <s v="Yes"/>
    <d v="2023-01-29T00:00:00"/>
    <s v="https://img01.ztat.net/article/ZL100092.jpg"/>
    <n v="0.34246575342465757"/>
    <s v="Moderate"/>
  </r>
  <r>
    <s v="ZL100805"/>
    <s v="https://www.zalando.de/ltb-essential-polo---olive-zl100805/"/>
    <x v="67"/>
    <s v="Essential POLO - OLIVE"/>
    <s v="Men's T-Shirts &amp; Polos"/>
    <x v="0"/>
    <x v="0"/>
    <s v="Olive"/>
    <s v="M"/>
    <n v="11.38"/>
    <n v="7.49"/>
    <s v="SALE"/>
    <s v="EUR"/>
    <n v="960"/>
    <s v="4.5"/>
    <s v="41.0"/>
    <m/>
    <m/>
    <s v="Yes"/>
    <d v="2023-01-29T00:00:00"/>
    <s v="https://img01.ztat.net/article/ZL100805.jpg"/>
    <n v="0.34182776801405979"/>
    <s v="Moderate"/>
  </r>
  <r>
    <s v="ZL100354"/>
    <s v="https://www.zalando.de/adidas-performance-regular-fit-t-shirt---bordeaux-zl100354/"/>
    <x v="6"/>
    <s v="Regular Fit T-SHIRT - BORDEAUX"/>
    <s v="Men's T-Shirts &amp; Polos"/>
    <x v="1"/>
    <x v="6"/>
    <s v="Bordeaux"/>
    <s v="S"/>
    <n v="14.3"/>
    <n v="9.42"/>
    <s v="SALE"/>
    <s v="EUR"/>
    <n v="725"/>
    <s v="0"/>
    <s v="0"/>
    <m/>
    <m/>
    <s v="Yes"/>
    <d v="2023-01-29T00:00:00"/>
    <s v="https://img01.ztat.net/article/ZL100354.jpg"/>
    <n v="0.34125874125874128"/>
    <s v="Moderate"/>
  </r>
  <r>
    <s v="ZL100017"/>
    <s v="https://www.zalando.de/cleptomanicx-regular-fit-t-shirt---black-zl100017/"/>
    <x v="83"/>
    <s v="Regular Fit T-SHIRT - BLACK"/>
    <s v="Men's T-Shirts &amp; Polos"/>
    <x v="1"/>
    <x v="1"/>
    <s v="Black"/>
    <s v="M"/>
    <n v="8.99"/>
    <n v="5.93"/>
    <s v="SALE"/>
    <s v="EUR"/>
    <n v="435"/>
    <s v="0"/>
    <s v="38.0"/>
    <m/>
    <m/>
    <s v="Yes"/>
    <d v="2023-01-29T00:00:00"/>
    <s v="https://img01.ztat.net/article/ZL100017.jpg"/>
    <n v="0.34037819799777536"/>
    <s v="Moderate"/>
  </r>
  <r>
    <s v="ZL100701"/>
    <s v="https://www.zalando.de/casual-friday-basic-polo---white-zl100701/"/>
    <x v="86"/>
    <s v="Basic POLO - WHITE"/>
    <s v="Men's T-Shirts &amp; Polos"/>
    <x v="0"/>
    <x v="3"/>
    <s v="White"/>
    <s v="S"/>
    <n v="15.19"/>
    <n v="10.029999999999999"/>
    <s v="SALE"/>
    <s v="EUR"/>
    <n v="820"/>
    <s v="4.5"/>
    <s v="38.0"/>
    <m/>
    <m/>
    <s v="No"/>
    <d v="2023-01-29T00:00:00"/>
    <s v="https://img01.ztat.net/article/ZL100701.jpg"/>
    <n v="0.33969716919025678"/>
    <s v="Moderate"/>
  </r>
  <r>
    <s v="ZL100816"/>
    <s v="https://www.zalando.de/pullandbear-essential-t-shirt---denim-blue-zl100816/"/>
    <x v="88"/>
    <s v="Essential T-SHIRT - DENIM BLUE"/>
    <s v="Men's T-Shirts &amp; Polos"/>
    <x v="1"/>
    <x v="4"/>
    <s v="Denim Blue"/>
    <s v="S"/>
    <n v="18.489999999999998"/>
    <n v="12.21"/>
    <s v="SALE"/>
    <s v="EUR"/>
    <n v="496"/>
    <s v="4.5"/>
    <s v="35.0"/>
    <m/>
    <m/>
    <s v="Yes"/>
    <d v="2023-01-29T00:00:00"/>
    <s v="https://img01.ztat.net/article/ZL100816.jpg"/>
    <n v="0.339643050297458"/>
    <s v="Moderate"/>
  </r>
  <r>
    <s v="ZL100518"/>
    <s v="https://www.zalando.de/adidas-performance-basic-t-shirt---bordeaux-zl100518/"/>
    <x v="6"/>
    <s v="Basic T-SHIRT - BORDEAUX"/>
    <s v="Men's T-Shirts &amp; Polos"/>
    <x v="1"/>
    <x v="5"/>
    <s v="Bordeaux"/>
    <s v="XS"/>
    <n v="17.170000000000002"/>
    <n v="11.34"/>
    <s v="SALE"/>
    <s v="EUR"/>
    <n v="363"/>
    <s v="4.9"/>
    <s v="37.0"/>
    <m/>
    <m/>
    <s v="No"/>
    <d v="2023-01-29T00:00:00"/>
    <s v="https://img01.ztat.net/article/ZL100518.jpg"/>
    <n v="0.33954571927781019"/>
    <s v="Moderate"/>
  </r>
  <r>
    <s v="ZL100437"/>
    <s v="https://www.zalando.de/cars-jeans-essential-polo---royal-blue-zl100437/"/>
    <x v="30"/>
    <s v="Essential POLO - ROYAL BLUE"/>
    <s v="Men's T-Shirts &amp; Polos"/>
    <x v="0"/>
    <x v="2"/>
    <s v="Royal Blue"/>
    <s v="M"/>
    <n v="15.93"/>
    <n v="10.53"/>
    <s v="SALE"/>
    <s v="EUR"/>
    <n v="723"/>
    <s v="4.3"/>
    <s v="32.0"/>
    <m/>
    <m/>
    <s v="Yes"/>
    <d v="2023-01-29T00:00:00"/>
    <s v="https://img01.ztat.net/article/ZL100437.jpg"/>
    <n v="0.33898305084745767"/>
    <s v="Moderate"/>
  </r>
  <r>
    <s v="ZL100601"/>
    <s v="https://www.zalando.de/dickies-essential-polo---grey-melange-zl100601/"/>
    <x v="29"/>
    <s v="Essential POLO - GREY MELANGE"/>
    <s v="Men's T-Shirts &amp; Polos"/>
    <x v="0"/>
    <x v="2"/>
    <s v="Grey Melange"/>
    <s v="M"/>
    <n v="18.47"/>
    <n v="12.24"/>
    <s v="SALE"/>
    <s v="EUR"/>
    <n v="508"/>
    <s v="0"/>
    <s v="36.0"/>
    <m/>
    <m/>
    <s v="Yes"/>
    <d v="2023-01-29T00:00:00"/>
    <s v="https://img01.ztat.net/article/ZL100601.jpg"/>
    <n v="0.3373037357877639"/>
    <s v="Moderate"/>
  </r>
  <r>
    <s v="ZL100313"/>
    <s v="https://www.zalando.de/puma-basic-polo---off-white-zl100313/"/>
    <x v="21"/>
    <s v="Basic POLO - OFF WHITE"/>
    <s v="Men's T-Shirts &amp; Polos"/>
    <x v="0"/>
    <x v="3"/>
    <s v="Off White"/>
    <s v="XS"/>
    <n v="79.08"/>
    <n v="52.72"/>
    <s v="SALE"/>
    <s v="EUR"/>
    <n v="602"/>
    <s v="4.3"/>
    <s v="35.0"/>
    <m/>
    <m/>
    <s v="Yes"/>
    <d v="2023-01-29T00:00:00"/>
    <s v="https://img01.ztat.net/article/ZL100313.jpg"/>
    <n v="0.33333333333333331"/>
    <s v="Moderate"/>
  </r>
  <r>
    <s v="ZL100950"/>
    <s v="https://www.zalando.de/napapijri-basic-t-shirt---dark-green-zl100950/"/>
    <x v="50"/>
    <s v="Basic T-SHIRT - DARK GREEN"/>
    <s v="Men's T-Shirts &amp; Polos"/>
    <x v="1"/>
    <x v="1"/>
    <s v="Dark Green"/>
    <s v="S"/>
    <n v="8.99"/>
    <n v="6"/>
    <s v="SALE"/>
    <s v="EUR"/>
    <n v="984"/>
    <s v="3.1"/>
    <s v="32.0"/>
    <m/>
    <m/>
    <s v="Yes"/>
    <d v="2023-01-29T00:00:00"/>
    <s v="https://img01.ztat.net/article/ZL100950.jpg"/>
    <n v="0.33259176863181317"/>
    <s v="Moderate"/>
  </r>
  <r>
    <s v="ZL100441"/>
    <s v="https://www.zalando.de/converse-slim-fit-polo---dark-blue-zl100441/"/>
    <x v="54"/>
    <s v="Slim Fit POLO - DARK BLUE"/>
    <s v="Men's T-Shirts &amp; Polos"/>
    <x v="0"/>
    <x v="0"/>
    <s v="Dark Blue"/>
    <s v="M"/>
    <n v="11.67"/>
    <n v="7.79"/>
    <s v="SALE"/>
    <s v="EUR"/>
    <n v="177"/>
    <s v="4.4"/>
    <s v="0"/>
    <m/>
    <m/>
    <s v="Yes"/>
    <d v="2023-01-29T00:00:00"/>
    <s v="https://img01.ztat.net/article/ZL100441.jpg"/>
    <n v="0.33247643530419879"/>
    <s v="Moderate"/>
  </r>
  <r>
    <s v="ZL100224"/>
    <s v="https://www.zalando.de/produkt-slim-fit-t-shirt---grey-melange-zl100224/"/>
    <x v="0"/>
    <s v="Slim Fit T-SHIRT - GREY MELANGE"/>
    <s v="Men's T-Shirts &amp; Polos"/>
    <x v="1"/>
    <x v="4"/>
    <s v="Grey Melange"/>
    <s v="XS"/>
    <n v="8.99"/>
    <n v="6.02"/>
    <s v="SALE"/>
    <s v="EUR"/>
    <n v="400"/>
    <s v="4.7"/>
    <s v="29.0"/>
    <m/>
    <m/>
    <s v="No"/>
    <d v="2023-01-29T00:00:00"/>
    <s v="https://img01.ztat.net/article/ZL100224.jpg"/>
    <n v="0.33036707452725256"/>
    <s v="Moderate"/>
  </r>
  <r>
    <s v="ZL100493"/>
    <s v="https://www.zalando.de/nike-regular-fit-polo---white-zl100493/"/>
    <x v="25"/>
    <s v="Regular Fit POLO - WHITE"/>
    <s v="Men's T-Shirts &amp; Polos"/>
    <x v="0"/>
    <x v="3"/>
    <m/>
    <s v="S"/>
    <n v="19.84"/>
    <n v="13.31"/>
    <s v="SALE"/>
    <s v="EUR"/>
    <n v="207"/>
    <s v="3.3"/>
    <s v="33.0"/>
    <m/>
    <m/>
    <s v="Yes"/>
    <d v="2023-01-29T00:00:00"/>
    <s v="https://img01.ztat.net/article/ZL100493.jpg"/>
    <n v="0.329133064516129"/>
    <s v="Moderate"/>
  </r>
  <r>
    <s v="ZL100351"/>
    <s v="https://www.zalando.de/nike-essential-t-shirt---olive-zl100351/"/>
    <x v="25"/>
    <s v="Essential T-SHIRT - OLIVE"/>
    <s v="Men's T-Shirts &amp; Polos"/>
    <x v="1"/>
    <x v="5"/>
    <s v="Olive"/>
    <s v="S"/>
    <n v="10.89"/>
    <n v="7.31"/>
    <s v="SALE"/>
    <s v="EUR"/>
    <n v="71"/>
    <s v="4.5"/>
    <s v="33.0"/>
    <m/>
    <m/>
    <s v="Yes"/>
    <d v="2023-01-29T00:00:00"/>
    <s v="https://img01.ztat.net/article/ZL100351.jpg"/>
    <n v="0.32874196510560155"/>
    <s v="Moderate"/>
  </r>
  <r>
    <s v="ZL100982"/>
    <s v="https://www.zalando.de/björn-borg-regular-fit-t-shirt---royal-blue-zl100982/"/>
    <x v="89"/>
    <s v="Regular Fit T-SHIRT - ROYAL BLUE"/>
    <s v="Men's T-Shirts &amp; Polos"/>
    <x v="1"/>
    <x v="6"/>
    <s v="Royal Blue"/>
    <s v="S"/>
    <n v="18.27"/>
    <n v="12.28"/>
    <s v="SALE"/>
    <s v="EUR"/>
    <n v="790"/>
    <s v="3.1"/>
    <s v="42.0"/>
    <m/>
    <m/>
    <s v="Yes"/>
    <d v="2023-01-29T00:00:00"/>
    <s v="https://img01.ztat.net/article/ZL100982.jpg"/>
    <n v="0.32785987958401752"/>
    <s v="Moderate"/>
  </r>
  <r>
    <s v="ZL100087"/>
    <s v="https://www.zalando.de/carhartt-wip-basic-t-shirt---dark-green-zl100087/"/>
    <x v="32"/>
    <s v="Basic T-SHIRT - DARK GREEN"/>
    <s v="Men's T-Shirts &amp; Polos"/>
    <x v="1"/>
    <x v="5"/>
    <s v="Dark Green"/>
    <s v="S"/>
    <n v="33.57"/>
    <n v="22.57"/>
    <s v="SALE"/>
    <s v="EUR"/>
    <n v="621"/>
    <s v="N/A"/>
    <s v="36.0"/>
    <m/>
    <m/>
    <s v="Yes"/>
    <d v="2023-01-29T00:00:00"/>
    <s v="https://img01.ztat.net/article/ZL100087.jpg"/>
    <n v="0.32767351802204348"/>
    <s v="Moderate"/>
  </r>
  <r>
    <s v="ZL100731"/>
    <s v="https://www.zalando.de/only-sons-slim-fit-polo---grey-melange-zl100731/"/>
    <x v="61"/>
    <s v="Slim Fit POLO - GREY MELANGE"/>
    <s v="Men's T-Shirts &amp; Polos"/>
    <x v="0"/>
    <x v="2"/>
    <s v="Grey Melange"/>
    <s v="XS"/>
    <n v="12.8"/>
    <n v="8.6199999999999992"/>
    <s v="SALE"/>
    <s v="EUR"/>
    <n v="674"/>
    <s v="3.1"/>
    <s v="34.0"/>
    <m/>
    <m/>
    <s v="Yes"/>
    <d v="2023-01-29T00:00:00"/>
    <s v="https://img01.ztat.net/article/ZL100731.jpg"/>
    <n v="0.32656250000000009"/>
    <s v="Moderate"/>
  </r>
  <r>
    <s v="ZL100326"/>
    <s v="https://www.zalando.de/anthracite-regular-fit-polo---olive-zl100326/"/>
    <x v="59"/>
    <s v="Regular Fit POLO - OLIVE"/>
    <s v="Men's T-Shirts &amp; Polos"/>
    <x v="0"/>
    <x v="3"/>
    <m/>
    <s v="M"/>
    <n v="12.04"/>
    <n v="8.1199999999999992"/>
    <s v="SALE"/>
    <s v="EUR"/>
    <n v="997"/>
    <s v="3.9"/>
    <s v="25.0"/>
    <m/>
    <m/>
    <s v="No"/>
    <d v="2023-01-29T00:00:00"/>
    <s v="https://img01.ztat.net/article/ZL100326.jpg"/>
    <n v="0.32558139534883723"/>
    <s v="Moderate"/>
  </r>
  <r>
    <s v="ZL100912"/>
    <s v="https://www.zalando.de/anerkjendt-essential-t-shirt---olive-zl100912/"/>
    <x v="26"/>
    <s v="Essential T-SHIRT - OLIVE"/>
    <s v="Men's T-Shirts &amp; Polos"/>
    <x v="1"/>
    <x v="4"/>
    <s v="Olive"/>
    <s v="XS"/>
    <n v="11.7"/>
    <n v="7.9"/>
    <s v="SALE"/>
    <s v="EUR"/>
    <n v="661"/>
    <s v="3.6"/>
    <s v="32.0"/>
    <m/>
    <m/>
    <s v="Yes"/>
    <d v="2023-01-29T00:00:00"/>
    <s v="https://img01.ztat.net/article/ZL100912.jpg"/>
    <n v="0.32478632478632474"/>
    <s v="Moderate"/>
  </r>
  <r>
    <s v="ZL100058"/>
    <s v="https://www.zalando.de/hummel-essential-t-shirt---grey-melange-zl100058/"/>
    <x v="76"/>
    <s v="Essential T-Shirt - Grey Melange"/>
    <s v="Men's T-Shirts &amp; Polos"/>
    <x v="1"/>
    <x v="6"/>
    <s v="Grey Melange"/>
    <s v="XS"/>
    <n v="24.8"/>
    <n v="16.8"/>
    <s v="SALE"/>
    <s v="EUR"/>
    <n v="730"/>
    <s v="3.5"/>
    <s v="38.0"/>
    <m/>
    <m/>
    <s v="Yes"/>
    <d v="2023-01-29T00:00:00"/>
    <s v="https://img01.ztat.net/article/ZL100058.jpg"/>
    <n v="0.32258064516129031"/>
    <s v="Moderate"/>
  </r>
  <r>
    <s v="ZL100583"/>
    <s v="https://www.zalando.de/shine-basic-t-shirt---grey-melange-zl100583/"/>
    <x v="71"/>
    <s v="Basic T-SHIRT - GREY MELANGE"/>
    <s v="Men's T-Shirts &amp; Polos"/>
    <x v="1"/>
    <x v="5"/>
    <s v="Grey Melange"/>
    <s v="XS"/>
    <n v="12.21"/>
    <n v="8.2899999999999991"/>
    <s v="SALE"/>
    <s v="EUR"/>
    <n v="7"/>
    <s v="4.8"/>
    <s v="34.0"/>
    <m/>
    <m/>
    <s v="Yes"/>
    <d v="2023-01-29T00:00:00"/>
    <s v="https://img01.ztat.net/article/ZL100583.jpg"/>
    <n v="0.32104832104832115"/>
    <s v="Moderate"/>
  </r>
  <r>
    <s v="ZL100737"/>
    <s v="https://www.zalando.de/adidas-performance-regular-fit-polo---anthracite-zl100737/"/>
    <x v="6"/>
    <s v="Regular Fit POLO - ANTHRACITE"/>
    <s v="Men's T-Shirts &amp; Polos"/>
    <x v="0"/>
    <x v="3"/>
    <s v="Anthracite"/>
    <s v="S"/>
    <n v="10.75"/>
    <n v="7.3"/>
    <s v="SALE"/>
    <s v="EUR"/>
    <n v="369"/>
    <s v="3.9"/>
    <s v="32.0"/>
    <m/>
    <m/>
    <s v="No"/>
    <d v="2023-01-29T00:00:00"/>
    <s v="https://img01.ztat.net/article/ZL100737.jpg"/>
    <n v="0.32093023255813957"/>
    <s v="Moderate"/>
  </r>
  <r>
    <s v="ZL100447"/>
    <s v="https://www.zalando.de/urban-classics-print-t-shirt---denim-blue-zl100447/"/>
    <x v="36"/>
    <s v="Print T-SHIRT - DENIM BLUE"/>
    <s v="Men's T-Shirts &amp; Polos"/>
    <x v="1"/>
    <x v="1"/>
    <s v="Denim Blue"/>
    <s v="XS"/>
    <n v="31.31"/>
    <n v="21.27"/>
    <s v="SALE"/>
    <s v="EUR"/>
    <n v="801"/>
    <s v="4.4"/>
    <s v="32.0"/>
    <m/>
    <m/>
    <s v="No"/>
    <d v="2023-01-29T00:00:00"/>
    <s v="https://img01.ztat.net/article/ZL100447.jpg"/>
    <n v="0.3206643244969658"/>
    <s v="Moderate"/>
  </r>
  <r>
    <s v="ZL100272"/>
    <s v="https://www.zalando.de/element-regular-fit-t-shirt---royal-blue-zl100272/"/>
    <x v="52"/>
    <s v="Regular Fit T-SHIRT - ROYAL BLUE"/>
    <s v="Men's T-Shirts &amp; Polos"/>
    <x v="1"/>
    <x v="5"/>
    <s v="Royal Blue"/>
    <s v="S"/>
    <n v="19.190000000000001"/>
    <n v="13.04"/>
    <s v="SALE"/>
    <s v="EUR"/>
    <n v="545"/>
    <s v="3.7"/>
    <s v="41.0"/>
    <m/>
    <m/>
    <s v="Yes"/>
    <d v="2023-01-29T00:00:00"/>
    <s v="https://img01.ztat.net/article/ZL100272.jpg"/>
    <n v="0.32047941636268901"/>
    <s v="Moderate"/>
  </r>
  <r>
    <s v="ZL100983"/>
    <s v="https://www.zalando.de/patagonia-basic-t-shirt---black-zl100983/"/>
    <x v="81"/>
    <s v="Basic T-SHIRT - BLACK"/>
    <s v="Men's T-Shirts &amp; Polos"/>
    <x v="1"/>
    <x v="4"/>
    <s v="Black"/>
    <s v="S"/>
    <n v="23.58"/>
    <n v="16.079999999999998"/>
    <s v="SALE"/>
    <s v="EUR"/>
    <n v="603"/>
    <s v="4.7"/>
    <s v="36.0"/>
    <m/>
    <m/>
    <s v="Yes"/>
    <d v="2023-01-29T00:00:00"/>
    <s v="https://img01.ztat.net/article/ZL100983.jpg"/>
    <n v="0.31806615776081426"/>
    <s v="Moderate"/>
  </r>
  <r>
    <s v="ZL100478"/>
    <s v="https://www.zalando.de/brixton-regular-fit-t-shirt---dark-green-zl100478/"/>
    <x v="90"/>
    <s v="Regular Fit T-SHIRT - DARK GREEN"/>
    <s v="Men's T-Shirts &amp; Polos"/>
    <x v="1"/>
    <x v="4"/>
    <s v="Dark Green"/>
    <s v="S"/>
    <n v="32.42"/>
    <n v="22.14"/>
    <s v="SALE"/>
    <s v="EUR"/>
    <n v="348"/>
    <s v="0"/>
    <s v="37.0"/>
    <m/>
    <m/>
    <s v="Yes"/>
    <d v="2023-01-29T00:00:00"/>
    <s v="https://img01.ztat.net/article/ZL100478.jpg"/>
    <n v="0.31708821714990748"/>
    <s v="Moderate"/>
  </r>
  <r>
    <s v="ZL100071"/>
    <s v="https://www.zalando.de/tommy-hilfiger-print-t-shirt---beige-zl100071/"/>
    <x v="8"/>
    <s v="Print T-SHIRT - BEIGE"/>
    <s v="Men's T-Shirts &amp; Polos"/>
    <x v="1"/>
    <x v="4"/>
    <s v="Beige"/>
    <s v="S"/>
    <n v="14.37"/>
    <n v="9.82"/>
    <s v="SALE"/>
    <s v="EUR"/>
    <n v="609"/>
    <s v="4.9"/>
    <s v="23.0"/>
    <m/>
    <m/>
    <s v="Yes"/>
    <d v="2023-01-29T00:00:00"/>
    <s v="https://img01.ztat.net/article/ZL100071.jpg"/>
    <n v="0.31663187195546272"/>
    <s v="Moderate"/>
  </r>
  <r>
    <s v="ZL100691"/>
    <s v="https://www.zalando.de/only-and-sons-denim-essential-t-shirt---navy-zl100691/"/>
    <x v="61"/>
    <s v="Essential T-SHIRT - NAVY"/>
    <s v="Men's T-Shirts &amp; Polos"/>
    <x v="1"/>
    <x v="1"/>
    <s v="Navy"/>
    <s v="S"/>
    <n v="17.350000000000001"/>
    <n v="11.86"/>
    <s v="SALE"/>
    <s v="EUR"/>
    <n v="113"/>
    <s v="3.4"/>
    <s v="0"/>
    <m/>
    <m/>
    <s v="No"/>
    <d v="2023-01-29T00:00:00"/>
    <s v="https://img01.ztat.net/article/ZL100691.jpg"/>
    <n v="0.31642651296829982"/>
    <s v="Moderate"/>
  </r>
  <r>
    <s v="ZL100014"/>
    <s v="https://www.zalando.de/timberland-regular-fit-t-shirt---beige-zl100014/"/>
    <x v="91"/>
    <s v="Regular Fit T-SHIRT - BEIGE"/>
    <s v="Men's T-Shirts &amp; Polos"/>
    <x v="1"/>
    <x v="4"/>
    <s v="Beige"/>
    <s v="XS"/>
    <n v="25.82"/>
    <n v="17.670000000000002"/>
    <s v="SALE"/>
    <s v="EUR"/>
    <n v="713"/>
    <s v="3.2"/>
    <s v="34.0"/>
    <m/>
    <m/>
    <s v="Yes"/>
    <d v="2023-01-29T00:00:00"/>
    <s v="https://img01.ztat.net/article/ZL100014.jpg"/>
    <n v="0.31564678543764518"/>
    <s v="Moderate"/>
  </r>
  <r>
    <s v="ZL100538"/>
    <s v="https://www.zalando.de/q/s-designed-by-essential-t-shirt---dark-green-zl100538/"/>
    <x v="92"/>
    <s v="Essential T-SHIRT - DARK GREEN"/>
    <s v="Men's T-Shirts &amp; Polos"/>
    <x v="1"/>
    <x v="4"/>
    <s v="Dark Green"/>
    <s v="XS"/>
    <n v="14.46"/>
    <n v="9.9"/>
    <s v="SALE"/>
    <s v="EUR"/>
    <n v="812"/>
    <s v="4.8"/>
    <s v="25.0"/>
    <m/>
    <m/>
    <s v="Yes"/>
    <d v="2023-01-29T00:00:00"/>
    <s v="https://img01.ztat.net/article/ZL100538.jpg"/>
    <n v="0.31535269709543567"/>
    <s v="Moderate"/>
  </r>
  <r>
    <s v="ZL100992"/>
    <s v="https://www.zalando.de/timberland-slim-fit-polo---khaki-zl100992/"/>
    <x v="91"/>
    <s v="Slim Fit POLO - KHAKI"/>
    <s v="Men's T-Shirts &amp; Polos"/>
    <x v="0"/>
    <x v="2"/>
    <s v="Khaki"/>
    <s v="S"/>
    <n v="12.71"/>
    <n v="8.74"/>
    <s v="SALE"/>
    <s v="EUR"/>
    <n v="981"/>
    <s v="0"/>
    <s v="49.0"/>
    <m/>
    <m/>
    <s v="Yes"/>
    <d v="2023-01-29T00:00:00"/>
    <s v="https://img01.ztat.net/article/ZL100992.jpg"/>
    <n v="0.31235247836349334"/>
    <s v="Moderate"/>
  </r>
  <r>
    <s v="ZL100957"/>
    <s v="https://www.zalando.de/guess-regular-fit-polo---dark-blue-zl100957/"/>
    <x v="82"/>
    <s v="Regular Fit POLO - DARK BLUE"/>
    <s v="Men's T-Shirts &amp; Polos"/>
    <x v="0"/>
    <x v="0"/>
    <s v="Dark Blue"/>
    <s v="XS"/>
    <n v="13.25"/>
    <n v="9.1199999999999992"/>
    <s v="SALE"/>
    <s v="EUR"/>
    <n v="404"/>
    <s v="3.2"/>
    <s v="27.0"/>
    <m/>
    <m/>
    <s v="Yes"/>
    <d v="2023-01-29T00:00:00"/>
    <s v="https://img01.ztat.net/article/ZL100957.jpg"/>
    <n v="0.31169811320754726"/>
    <s v="Moderate"/>
  </r>
  <r>
    <s v="ZL100286"/>
    <s v="https://www.zalando.de/tommy-hilfiger-print-t-shirt---off-white-zl100286/"/>
    <x v="8"/>
    <s v="Print T-SHIRT - OFF WHITE"/>
    <s v="Men's T-Shirts &amp; Polos"/>
    <x v="1"/>
    <x v="1"/>
    <s v="Off White"/>
    <s v="M"/>
    <n v="40.56"/>
    <n v="27.93"/>
    <s v="SALE"/>
    <s v="EUR"/>
    <n v="491"/>
    <s v="4.9"/>
    <s v="22.0"/>
    <m/>
    <m/>
    <s v="Yes"/>
    <d v="2023-01-29T00:00:00"/>
    <s v="https://img01.ztat.net/article/ZL100286.jpg"/>
    <n v="0.31139053254437876"/>
    <s v="Moderate"/>
  </r>
  <r>
    <s v="ZL100775"/>
    <s v="https://www.zalando.de/cars-slim-fit-polo---anthracite-zl100775/"/>
    <x v="30"/>
    <s v="Slim Fit POLO - ANTHRACITE"/>
    <s v="Men's T-Shirts &amp; Polos"/>
    <x v="0"/>
    <x v="0"/>
    <s v="Anthracite"/>
    <s v="S"/>
    <n v="15.69"/>
    <n v="10.82"/>
    <s v="SALE"/>
    <s v="EUR"/>
    <n v="194"/>
    <s v="0"/>
    <s v="41.0"/>
    <m/>
    <m/>
    <s v="No"/>
    <d v="2023-01-29T00:00:00"/>
    <s v="https://img01.ztat.net/article/ZL100775.jpg"/>
    <n v="0.31038878266411724"/>
    <s v="Moderate"/>
  </r>
  <r>
    <s v="ZL100252"/>
    <s v="https://www.zalando.de/adidas-performance-basic-polo---bordeaux-zl100252/"/>
    <x v="6"/>
    <s v="Basic POLO - BORDEAUX"/>
    <s v="Men's T-Shirts &amp; Polos"/>
    <x v="0"/>
    <x v="2"/>
    <s v="Bordeaux"/>
    <s v="XS"/>
    <n v="26.23"/>
    <n v="18.100000000000001"/>
    <s v="SALE"/>
    <s v="EUR"/>
    <n v="145"/>
    <s v="3.3"/>
    <s v="39.0"/>
    <m/>
    <m/>
    <s v="Yes"/>
    <d v="2023-01-29T00:00:00"/>
    <s v="https://img01.ztat.net/article/ZL100252.jpg"/>
    <n v="0.30995043842927938"/>
    <s v="Moderate"/>
  </r>
  <r>
    <s v="ZL100677"/>
    <s v="https://www.zalando.de/peter-werth-print-t-shirt---rust-zl100677/"/>
    <x v="93"/>
    <s v="Print T-SHIRT - RUST"/>
    <s v="Men's T-Shirts &amp; Polos"/>
    <x v="1"/>
    <x v="6"/>
    <s v="Rust"/>
    <s v="S"/>
    <n v="26.76"/>
    <n v="18.47"/>
    <s v="SALE"/>
    <s v="EUR"/>
    <n v="33"/>
    <s v="3.3"/>
    <s v="45.0"/>
    <m/>
    <m/>
    <s v="Yes"/>
    <d v="2023-01-29T00:00:00"/>
    <s v="https://img01.ztat.net/article/ZL100677.jpg"/>
    <n v="0.30979073243647243"/>
    <s v="Moderate"/>
  </r>
  <r>
    <s v="ZL100696"/>
    <s v="https://www.zalando.de/peter-werth-print-t-shirt---royal-blue-zl100696/"/>
    <x v="93"/>
    <s v="Print T-SHIRT - ROYAL BLUE"/>
    <s v="Men's T-Shirts &amp; Polos"/>
    <x v="1"/>
    <x v="5"/>
    <m/>
    <s v="S"/>
    <n v="17.21"/>
    <n v="11.88"/>
    <s v="SALE"/>
    <s v="EUR"/>
    <n v="179"/>
    <s v="4.2"/>
    <s v="42.0"/>
    <m/>
    <m/>
    <s v="Yes"/>
    <d v="2023-01-29T00:00:00"/>
    <s v="https://img01.ztat.net/article/ZL100696.jpg"/>
    <n v="0.30970366066240557"/>
    <s v="Moderate"/>
  </r>
  <r>
    <s v="ZL100676"/>
    <s v="https://www.zalando.de/new-look-print-polo---anthracite-zl100676/"/>
    <x v="11"/>
    <s v="Print POLO - ANTHRACITE"/>
    <s v="Men's T-Shirts &amp; Polos"/>
    <x v="0"/>
    <x v="2"/>
    <s v="Anthracite"/>
    <s v="M"/>
    <n v="14.61"/>
    <n v="10.09"/>
    <s v="SALE"/>
    <s v="EUR"/>
    <n v="318"/>
    <s v="4.6"/>
    <s v="38.0"/>
    <m/>
    <m/>
    <s v="Yes"/>
    <d v="2023-01-29T00:00:00"/>
    <s v="https://img01.ztat.net/article/ZL100676.jpg"/>
    <n v="0.30937713894592744"/>
    <s v="Moderate"/>
  </r>
  <r>
    <s v="ZL100245"/>
    <s v="https://www.zalando.de/roy-robson-regular-fit-polo---dark-blue-zl100245/"/>
    <x v="23"/>
    <s v="Regular Fit POLO - DARK BLUE"/>
    <s v="Men's T-Shirts &amp; Polos"/>
    <x v="0"/>
    <x v="3"/>
    <s v="Dark Blue"/>
    <s v="XS"/>
    <n v="15.3"/>
    <n v="10.57"/>
    <s v="SALE"/>
    <s v="EUR"/>
    <n v="90"/>
    <s v="0"/>
    <s v="32.0"/>
    <m/>
    <m/>
    <s v="No"/>
    <d v="2023-01-29T00:00:00"/>
    <s v="https://img01.ztat.net/article/ZL100245.jpg"/>
    <n v="0.30915032679738563"/>
    <s v="Moderate"/>
  </r>
  <r>
    <s v="ZL100237"/>
    <s v="https://www.zalando.de/redefined-rebel-regular-fit-t-shirt---bordeaux-zl100237/"/>
    <x v="94"/>
    <s v="Regular Fit T-SHIRT - BORDEAUX"/>
    <s v="Men's T-Shirts &amp; Polos"/>
    <x v="1"/>
    <x v="1"/>
    <s v="Bordeaux"/>
    <s v="S"/>
    <n v="21.83"/>
    <n v="15.11"/>
    <s v="SALE"/>
    <s v="EUR"/>
    <n v="720"/>
    <s v="3.0"/>
    <s v="32.0"/>
    <m/>
    <m/>
    <s v="Yes"/>
    <d v="2023-01-29T00:00:00"/>
    <s v="https://img01.ztat.net/article/ZL100237.jpg"/>
    <n v="0.30783325698579933"/>
    <s v="Moderate"/>
  </r>
  <r>
    <s v="ZL100629"/>
    <s v="https://www.zalando.de/anthracite-basic-polo---royal-blue-zl100629/"/>
    <x v="59"/>
    <s v="Basic POLO - ROYAL BLUE"/>
    <s v="Men's T-Shirts &amp; Polos"/>
    <x v="0"/>
    <x v="0"/>
    <s v="Royal Blue"/>
    <s v="S"/>
    <n v="19.77"/>
    <n v="13.69"/>
    <s v="SALE"/>
    <s v="EUR"/>
    <n v="166"/>
    <s v="4.5"/>
    <s v="34.0"/>
    <m/>
    <m/>
    <s v="Yes"/>
    <d v="2023-01-29T00:00:00"/>
    <s v="https://img01.ztat.net/article/ZL100629.jpg"/>
    <n v="0.30753667172483562"/>
    <s v="Moderate"/>
  </r>
  <r>
    <s v="ZL100413"/>
    <s v="https://www.zalando.de/cars-essential-t-shirt---navy-zl100413/"/>
    <x v="30"/>
    <s v="Essential T-SHIRT - NAVY"/>
    <s v="Men's T-Shirts &amp; Polos"/>
    <x v="1"/>
    <x v="4"/>
    <s v="Navy"/>
    <s v="S"/>
    <n v="10.16"/>
    <n v="7.04"/>
    <s v="SALE"/>
    <s v="EUR"/>
    <n v="668"/>
    <s v="3.6"/>
    <s v="33.0"/>
    <m/>
    <m/>
    <s v="Yes"/>
    <d v="2023-01-29T00:00:00"/>
    <s v="https://img01.ztat.net/article/ZL100413.jpg"/>
    <n v="0.30708661417322836"/>
    <s v="Moderate"/>
  </r>
  <r>
    <s v="ZL100843"/>
    <s v="https://www.zalando.de/urban-classics-basic-t-shirt---light-grey-zl100843/"/>
    <x v="36"/>
    <s v="Basic T-SHIRT - LIGHT GREY"/>
    <s v="Men's T-Shirts &amp; Polos"/>
    <x v="1"/>
    <x v="6"/>
    <s v="Light Grey"/>
    <s v="S"/>
    <n v="13.71"/>
    <n v="9.5"/>
    <s v="SALE"/>
    <s v="EUR"/>
    <n v="680"/>
    <s v="3.8"/>
    <s v="30.0"/>
    <m/>
    <m/>
    <s v="No"/>
    <d v="2023-01-29T00:00:00"/>
    <s v="https://img01.ztat.net/article/ZL100843.jpg"/>
    <n v="0.30707512764405548"/>
    <s v="Moderate"/>
  </r>
  <r>
    <s v="ZL100095"/>
    <s v="https://www.zalando.de/new-look-print-t-shirt---beige-zl100095/"/>
    <x v="11"/>
    <s v="Print T-SHIRT - BEIGE"/>
    <s v="Men's T-Shirts &amp; Polos"/>
    <x v="1"/>
    <x v="4"/>
    <s v="Beige"/>
    <s v="XS"/>
    <n v="15.47"/>
    <n v="10.73"/>
    <s v="SALE"/>
    <s v="EUR"/>
    <n v="717"/>
    <s v="4.3"/>
    <s v="35.0"/>
    <m/>
    <m/>
    <s v="Yes"/>
    <d v="2023-01-29T00:00:00"/>
    <s v="https://img01.ztat.net/article/ZL100095.jpg"/>
    <n v="0.30639948287007113"/>
    <s v="Moderate"/>
  </r>
  <r>
    <s v="ZL100015"/>
    <s v="https://www.zalando.de/umbro-print-polo---khaki-zl100015/"/>
    <x v="55"/>
    <s v="Print POLO - KHAKI"/>
    <s v="Men's T-Shirts &amp; Polos"/>
    <x v="0"/>
    <x v="3"/>
    <s v="Khaki"/>
    <s v="S"/>
    <n v="9.4499999999999993"/>
    <n v="6.58"/>
    <s v="SALE"/>
    <s v="EUR"/>
    <n v="106"/>
    <s v="4.6"/>
    <s v="23.0"/>
    <m/>
    <m/>
    <s v="Yes"/>
    <d v="2023-01-29T00:00:00"/>
    <s v="https://img01.ztat.net/article/ZL100015.jpg"/>
    <n v="0.30370370370370364"/>
    <s v="Moderate"/>
  </r>
  <r>
    <s v="ZL100552"/>
    <s v="https://www.zalando.de/anthracite-slim-fit-polo---mint-zl100552/"/>
    <x v="59"/>
    <s v="Slim Fit POLO - MINT"/>
    <s v="Men's T-Shirts &amp; Polos"/>
    <x v="0"/>
    <x v="2"/>
    <s v="Mint"/>
    <s v="M"/>
    <n v="10.34"/>
    <n v="7.2"/>
    <s v="SALE"/>
    <s v="EUR"/>
    <n v="708"/>
    <s v="3.3"/>
    <s v="32.0"/>
    <m/>
    <m/>
    <s v="No"/>
    <d v="2023-01-29T00:00:00"/>
    <s v="https://img01.ztat.net/article/ZL100552.jpg"/>
    <n v="0.30367504835589937"/>
    <s v="Moderate"/>
  </r>
  <r>
    <s v="ZL100076"/>
    <s v="https://www.zalando.de/vans-essential-polo---off-white-zl100076/"/>
    <x v="18"/>
    <s v="Essential POLO - OFF WHITE"/>
    <s v="Men's T-Shirts &amp; Polos"/>
    <x v="0"/>
    <x v="3"/>
    <s v="Off White"/>
    <s v="M"/>
    <n v="32.83"/>
    <n v="23.07"/>
    <s v="SALE"/>
    <s v="EUR"/>
    <n v="487"/>
    <s v="4.8"/>
    <s v="41.0"/>
    <m/>
    <m/>
    <s v="Yes"/>
    <d v="2023-01-29T00:00:00"/>
    <s v="https://img01.ztat.net/article/ZL100076.jpg"/>
    <n v="0.29728906487968315"/>
    <s v="Moderate"/>
  </r>
  <r>
    <s v="ZL100821"/>
    <s v="https://www.zalando.de/urban-classics-basic-t-shirt---mint-zl100821/"/>
    <x v="36"/>
    <s v="Basic T-SHIRT - MINT"/>
    <s v="Men's T-Shirts &amp; Polos"/>
    <x v="1"/>
    <x v="1"/>
    <s v="Mint"/>
    <s v="M"/>
    <n v="23.43"/>
    <n v="16.47"/>
    <s v="SALE"/>
    <s v="EUR"/>
    <n v="885"/>
    <s v="4.1"/>
    <s v="36.0"/>
    <m/>
    <m/>
    <s v="Yes"/>
    <d v="2023-01-29T00:00:00"/>
    <s v="https://img01.ztat.net/article/ZL100821.jpg"/>
    <n v="0.29705505761843792"/>
    <s v="Moderate"/>
  </r>
  <r>
    <s v="ZL100011"/>
    <s v="https://www.zalando.de/teddy-smith-regular-fit-polo---beige-zl100011/"/>
    <x v="47"/>
    <s v="Regular Fit POLO - BEIGE"/>
    <s v="Men's T-Shirts &amp; Polos"/>
    <x v="0"/>
    <x v="0"/>
    <s v="Beige"/>
    <s v="XS"/>
    <n v="18.59"/>
    <n v="13.08"/>
    <s v="SALE"/>
    <s v="EUR"/>
    <n v="793"/>
    <s v="4.1"/>
    <s v="41.0"/>
    <m/>
    <m/>
    <s v="Yes"/>
    <d v="2023-01-29T00:00:00"/>
    <s v="https://img01.ztat.net/article/ZL100011.jpg"/>
    <n v="0.29639591178052715"/>
    <s v="Moderate"/>
  </r>
  <r>
    <s v="ZL100743"/>
    <s v="https://www.zalando.de/cars-jeans-print-polo---navy-zl100743/"/>
    <x v="30"/>
    <s v="Print POLO - NAVY"/>
    <s v="Men's T-Shirts &amp; Polos"/>
    <x v="0"/>
    <x v="2"/>
    <s v="Navy"/>
    <s v="S"/>
    <n v="25"/>
    <n v="17.61"/>
    <s v="SALE"/>
    <s v="EUR"/>
    <n v="65"/>
    <s v="0"/>
    <s v="37.0"/>
    <m/>
    <m/>
    <s v="Yes"/>
    <d v="2023-01-29T00:00:00"/>
    <s v="https://img01.ztat.net/article/ZL100743.jpg"/>
    <n v="0.29560000000000003"/>
    <s v="Moderate"/>
  </r>
  <r>
    <s v="ZL100794"/>
    <s v="https://www.zalando.de/salomon-slim-fit-t-shirt---denim-blue-zl100794/"/>
    <x v="53"/>
    <s v="Slim Fit T-SHIRT - DENIM BLUE"/>
    <s v="Men's T-Shirts &amp; Polos"/>
    <x v="1"/>
    <x v="4"/>
    <s v="Denim Blue"/>
    <s v="XS"/>
    <n v="13.22"/>
    <n v="9.35"/>
    <s v="SALE"/>
    <s v="EUR"/>
    <n v="915"/>
    <s v="4.3"/>
    <s v="37.0"/>
    <m/>
    <m/>
    <s v="No"/>
    <d v="2023-01-29T00:00:00"/>
    <s v="https://img01.ztat.net/article/ZL100794.jpg"/>
    <n v="0.29273827534039343"/>
    <s v="Moderate"/>
  </r>
  <r>
    <s v="ZL100834"/>
    <s v="https://www.zalando.de/nike-print-t-shirt---white-zl100834/"/>
    <x v="25"/>
    <s v="Print T-SHIRT - WHITE"/>
    <s v="Men's T-Shirts &amp; Polos"/>
    <x v="1"/>
    <x v="1"/>
    <s v="White"/>
    <s v="S"/>
    <n v="23.35"/>
    <n v="16.57"/>
    <s v="SALE"/>
    <s v="EUR"/>
    <n v="342"/>
    <s v="4.7"/>
    <s v="42.0"/>
    <m/>
    <m/>
    <s v="Yes"/>
    <d v="2023-01-29T00:00:00"/>
    <s v="https://img01.ztat.net/article/ZL100834.jpg"/>
    <n v="0.2903640256959315"/>
    <s v="Moderate"/>
  </r>
  <r>
    <s v="ZL100248"/>
    <s v="https://www.zalando.de/teddy-smith-regular-fit-polo---dark-green-zl100248/"/>
    <x v="47"/>
    <s v="Regular Fit POLO - DARK GREEN"/>
    <s v="Men's T-Shirts &amp; Polos"/>
    <x v="0"/>
    <x v="2"/>
    <s v="Dark Green"/>
    <s v="S"/>
    <n v="9.34"/>
    <n v="6.63"/>
    <s v="SALE"/>
    <s v="EUR"/>
    <n v="131"/>
    <s v="0"/>
    <s v="38.0"/>
    <m/>
    <m/>
    <s v="Yes"/>
    <d v="2023-01-29T00:00:00"/>
    <s v="https://img01.ztat.net/article/ZL100248.jpg"/>
    <n v="0.29014989293361887"/>
    <s v="Moderate"/>
  </r>
  <r>
    <s v="ZL100837"/>
    <s v="https://www.zalando.de/only-sons-essential-polo---olive-zl100837/"/>
    <x v="61"/>
    <s v="Essential POLO - OLIVE"/>
    <s v="Men's T-Shirts &amp; Polos"/>
    <x v="0"/>
    <x v="2"/>
    <s v="Olive"/>
    <s v="S"/>
    <n v="15.49"/>
    <n v="11"/>
    <s v="SALE"/>
    <s v="EUR"/>
    <n v="515"/>
    <s v="0"/>
    <s v="0"/>
    <m/>
    <m/>
    <s v="Yes"/>
    <d v="2023-01-29T00:00:00"/>
    <s v="https://img01.ztat.net/article/ZL100837.jpg"/>
    <n v="0.28986442866365397"/>
    <s v="Moderate"/>
  </r>
  <r>
    <s v="ZL100588"/>
    <s v="https://www.zalando.de/diesel-basic-polo---khaki-zl100588/"/>
    <x v="24"/>
    <s v="Basic POLO - KHAKI"/>
    <s v="Men's T-Shirts &amp; Polos"/>
    <x v="0"/>
    <x v="0"/>
    <s v="Khaki"/>
    <s v="XS"/>
    <n v="10.51"/>
    <n v="7.47"/>
    <s v="SALE"/>
    <s v="EUR"/>
    <n v="25"/>
    <s v="0"/>
    <s v="28.0"/>
    <m/>
    <m/>
    <s v="Yes"/>
    <d v="2023-01-29T00:00:00"/>
    <s v="https://img01.ztat.net/article/ZL100588.jpg"/>
    <n v="0.28924833491912466"/>
    <s v="Moderate"/>
  </r>
  <r>
    <s v="ZL100602"/>
    <s v="https://www.zalando.de/salomon-basic-t-shirt---red-zl100602/"/>
    <x v="53"/>
    <s v="Basic T-SHIRT - RED"/>
    <s v="Men's T-Shirts &amp; Polos"/>
    <x v="1"/>
    <x v="5"/>
    <s v="Red"/>
    <s v="XS"/>
    <n v="22.46"/>
    <n v="15.97"/>
    <s v="SALE"/>
    <s v="EUR"/>
    <n v="679"/>
    <s v="3.3"/>
    <s v="35.0"/>
    <m/>
    <m/>
    <s v="Yes"/>
    <d v="2023-01-29T00:00:00"/>
    <s v="https://img01.ztat.net/article/ZL100602.jpg"/>
    <n v="0.28895814781834372"/>
    <s v="Moderate"/>
  </r>
  <r>
    <s v="ZL100273"/>
    <s v="https://www.zalando.de/produkt-slim-fit-polo---khaki-zl100273/"/>
    <x v="0"/>
    <s v="Slim Fit POLO - KHAKI"/>
    <s v="Men's T-Shirts &amp; Polos"/>
    <x v="0"/>
    <x v="3"/>
    <s v="Khaki"/>
    <s v="S"/>
    <n v="14.23"/>
    <n v="10.119999999999999"/>
    <s v="SALE"/>
    <s v="EUR"/>
    <n v="502"/>
    <s v="4.7"/>
    <s v="37.0"/>
    <m/>
    <m/>
    <s v="Yes"/>
    <d v="2023-01-29T00:00:00"/>
    <s v="https://img01.ztat.net/article/ZL100273.jpg"/>
    <n v="0.28882642304989464"/>
    <s v="Moderate"/>
  </r>
  <r>
    <s v="ZL100785"/>
    <s v="https://www.zalando.de/nike-golf-slim-fit-polo---white-zl100785/"/>
    <x v="95"/>
    <s v="Slim Fit POLO - WHITE"/>
    <s v="Men's T-Shirts &amp; Polos"/>
    <x v="0"/>
    <x v="2"/>
    <s v="White"/>
    <s v="M"/>
    <n v="13.59"/>
    <n v="9.67"/>
    <s v="SALE"/>
    <s v="EUR"/>
    <n v="153"/>
    <s v="4.1"/>
    <s v="37.0"/>
    <m/>
    <m/>
    <s v="No"/>
    <d v="2023-01-29T00:00:00"/>
    <s v="https://img01.ztat.net/article/ZL100785.jpg"/>
    <n v="0.28844738778513612"/>
    <s v="Moderate"/>
  </r>
  <r>
    <s v="ZL100445"/>
    <s v="https://www.zalando.de/shine-essential-polo---rust-zl100445/"/>
    <x v="71"/>
    <s v="Essential POLO - RUST"/>
    <s v="Men's T-Shirts &amp; Polos"/>
    <x v="0"/>
    <x v="2"/>
    <s v="Rust"/>
    <s v="XS"/>
    <n v="42.58"/>
    <n v="30.3"/>
    <s v="SALE"/>
    <s v="EUR"/>
    <n v="608"/>
    <s v="4.8"/>
    <s v="32.0"/>
    <m/>
    <m/>
    <s v="No"/>
    <d v="2023-01-29T00:00:00"/>
    <s v="https://img01.ztat.net/article/ZL100445.jpg"/>
    <n v="0.28839830906528885"/>
    <s v="Moderate"/>
  </r>
  <r>
    <s v="ZL100539"/>
    <s v="https://www.zalando.de/under-armour-essential-t-shirt---rust-zl100539/"/>
    <x v="96"/>
    <s v="Essential T-SHIRT - RUST"/>
    <s v="Men's T-Shirts &amp; Polos"/>
    <x v="1"/>
    <x v="6"/>
    <s v="Rust"/>
    <s v="S"/>
    <n v="11.7"/>
    <n v="8.34"/>
    <s v="SALE"/>
    <s v="EUR"/>
    <n v="688"/>
    <s v="4.8"/>
    <s v="33.0"/>
    <m/>
    <m/>
    <s v="Yes"/>
    <d v="2023-01-29T00:00:00"/>
    <s v="https://img01.ztat.net/article/ZL100539.jpg"/>
    <n v="0.28717948717948716"/>
    <s v="Moderate"/>
  </r>
  <r>
    <s v="ZL100035"/>
    <s v="https://www.zalando.de/kappa-print-t-shirt---royal-blue-zl100035/"/>
    <x v="97"/>
    <s v="Print T-SHIRT - ROYAL BLUE"/>
    <s v="Men's T-Shirts &amp; Polos"/>
    <x v="1"/>
    <x v="1"/>
    <s v="Royal Blue"/>
    <s v="XS"/>
    <n v="8.99"/>
    <n v="6.41"/>
    <s v="SALE"/>
    <s v="EUR"/>
    <n v="922"/>
    <s v="4.6"/>
    <s v="33.0"/>
    <m/>
    <m/>
    <s v="Yes"/>
    <d v="2023-01-29T00:00:00"/>
    <s v="https://img01.ztat.net/article/ZL100035.jpg"/>
    <n v="0.28698553948832034"/>
    <s v="Moderate"/>
  </r>
  <r>
    <s v="ZL100079"/>
    <s v="https://www.zalando.de/produkt-slim-fit-t-shirt---rust-zl100079/"/>
    <x v="0"/>
    <s v="Slim Fit T-SHIRT - RUST"/>
    <s v="Men's T-Shirts &amp; Polos"/>
    <x v="1"/>
    <x v="1"/>
    <s v="Rust"/>
    <s v="S"/>
    <n v="8.99"/>
    <n v="6.41"/>
    <s v="SALE"/>
    <s v="EUR"/>
    <n v="671"/>
    <s v="0"/>
    <s v="33.0"/>
    <m/>
    <m/>
    <s v="No"/>
    <d v="2023-01-29T00:00:00"/>
    <s v="https://img01.ztat.net/article/ZL100079.jpg"/>
    <n v="0.28698553948832034"/>
    <s v="Moderate"/>
  </r>
  <r>
    <s v="ZL100438"/>
    <s v="https://www.zalando.de/nike-regular-fit-t-shirt---light-grey-zl100438/"/>
    <x v="25"/>
    <s v="Regular Fit T-SHIRT - LIGHT GREY"/>
    <s v="Men's T-Shirts &amp; Polos"/>
    <x v="1"/>
    <x v="5"/>
    <s v="Light Grey"/>
    <s v="XS"/>
    <n v="8.99"/>
    <n v="6.41"/>
    <s v="SALE"/>
    <s v="EUR"/>
    <n v="523"/>
    <s v="4.2"/>
    <s v="41.0"/>
    <m/>
    <m/>
    <s v="Yes"/>
    <d v="2023-01-29T00:00:00"/>
    <s v="https://img01.ztat.net/article/ZL100438.jpg"/>
    <n v="0.28698553948832034"/>
    <s v="Moderate"/>
  </r>
  <r>
    <s v="ZL100713"/>
    <s v="https://www.zalando.de/columbia-regular-fit-t-shirt---olive-zl100713/"/>
    <x v="12"/>
    <s v="Regular Fit T-SHIRT - OLIVE"/>
    <s v="Men's T-Shirts &amp; Polos"/>
    <x v="1"/>
    <x v="1"/>
    <s v="Olive"/>
    <s v="S"/>
    <n v="10.19"/>
    <n v="7.27"/>
    <s v="SALE"/>
    <s v="EUR"/>
    <n v="458"/>
    <s v="4.5"/>
    <s v="35.0"/>
    <m/>
    <m/>
    <s v="Yes"/>
    <d v="2023-01-29T00:00:00"/>
    <s v="https://img01.ztat.net/article/ZL100713.jpg"/>
    <n v="0.28655544651619236"/>
    <s v="Moderate"/>
  </r>
  <r>
    <s v="ZL100010"/>
    <s v="https://www.zalando.de/j.lindeberg-slim-fit-polo---beige-zl100010/"/>
    <x v="10"/>
    <s v="Slim Fit POLO - BEIGE"/>
    <s v="Men's T-Shirts &amp; Polos"/>
    <x v="0"/>
    <x v="2"/>
    <s v="Beige"/>
    <s v="XS"/>
    <n v="11.49"/>
    <n v="8.2200000000000006"/>
    <s v="SALE"/>
    <s v="EUR"/>
    <n v="442"/>
    <s v="3.2"/>
    <s v="35.0"/>
    <m/>
    <m/>
    <s v="No"/>
    <d v="2023-01-29T00:00:00"/>
    <s v="https://img01.ztat.net/article/ZL100010.jpg"/>
    <n v="0.28459530026109658"/>
    <s v="Moderate"/>
  </r>
  <r>
    <s v="ZL100976"/>
    <s v="https://www.zalando.de/fila-print-polo---black-zl100976/"/>
    <x v="39"/>
    <s v="Print POLO - BLACK"/>
    <s v="Men's T-Shirts &amp; Polos"/>
    <x v="0"/>
    <x v="0"/>
    <s v="Black"/>
    <s v="XS"/>
    <n v="11.28"/>
    <n v="8.08"/>
    <s v="SALE"/>
    <s v="EUR"/>
    <n v="876"/>
    <s v="3.2"/>
    <s v="41.0"/>
    <m/>
    <m/>
    <s v="No"/>
    <d v="2023-01-29T00:00:00"/>
    <s v="https://img01.ztat.net/article/ZL100976.jpg"/>
    <n v="0.28368794326241131"/>
    <s v="Moderate"/>
  </r>
  <r>
    <s v="ZL100899"/>
    <s v="https://www.zalando.de/cars-print-polo---grey-melange-zl100899/"/>
    <x v="30"/>
    <s v="Print POLO - GREY MELANGE"/>
    <s v="Men's T-Shirts &amp; Polos"/>
    <x v="0"/>
    <x v="3"/>
    <s v="Grey Melange"/>
    <s v="M"/>
    <n v="19.28"/>
    <n v="13.84"/>
    <s v="SALE"/>
    <s v="EUR"/>
    <n v="645"/>
    <s v="3.0"/>
    <s v="33.0"/>
    <m/>
    <m/>
    <s v="Yes"/>
    <d v="2023-01-29T00:00:00"/>
    <s v="https://img01.ztat.net/article/ZL100899.jpg"/>
    <n v="0.28215767634854777"/>
    <s v="Moderate"/>
  </r>
  <r>
    <s v="ZL100609"/>
    <s v="https://www.zalando.de/adidas-originals-basic-polo---bordeaux-zl100609/"/>
    <x v="19"/>
    <s v="Basic POLO - BORDEAUX"/>
    <s v="Men's T-Shirts &amp; Polos"/>
    <x v="0"/>
    <x v="3"/>
    <s v="Bordeaux"/>
    <s v="XS"/>
    <n v="8.99"/>
    <n v="6.46"/>
    <s v="SALE"/>
    <s v="EUR"/>
    <n v="970"/>
    <s v="4.6"/>
    <s v="30.0"/>
    <m/>
    <m/>
    <s v="No"/>
    <d v="2023-01-29T00:00:00"/>
    <s v="https://img01.ztat.net/article/ZL100609.jpg"/>
    <n v="0.28142380422691882"/>
    <s v="Moderate"/>
  </r>
  <r>
    <s v="ZL100728"/>
    <s v="https://www.zalando.de/q/s-designed-by-slim-fit-polo---rust-zl100728/"/>
    <x v="92"/>
    <s v="Slim Fit POLO - RUST"/>
    <s v="Men's T-Shirts &amp; Polos"/>
    <x v="0"/>
    <x v="0"/>
    <s v="Rust"/>
    <s v="M"/>
    <n v="8.99"/>
    <n v="6.47"/>
    <s v="SALE"/>
    <s v="EUR"/>
    <n v="930"/>
    <s v="4.8"/>
    <s v="41.0"/>
    <m/>
    <m/>
    <s v="No"/>
    <d v="2023-01-29T00:00:00"/>
    <s v="https://img01.ztat.net/article/ZL100728.jpg"/>
    <n v="0.28031145717463851"/>
    <s v="Moderate"/>
  </r>
  <r>
    <s v="ZL100341"/>
    <s v="https://www.zalando.de/peter-werth-essential-polo---denim-blue-zl100341/"/>
    <x v="93"/>
    <s v="Essential POLO - DENIM BLUE"/>
    <s v="Men's T-Shirts &amp; Polos"/>
    <x v="0"/>
    <x v="3"/>
    <s v="Denim Blue"/>
    <s v="XS"/>
    <n v="10.56"/>
    <n v="7.6"/>
    <s v="SALE"/>
    <s v="EUR"/>
    <n v="792"/>
    <s v="4.6"/>
    <s v="38.0"/>
    <m/>
    <m/>
    <s v="Yes"/>
    <d v="2023-01-29T00:00:00"/>
    <s v="https://img01.ztat.net/article/ZL100341.jpg"/>
    <n v="0.28030303030303039"/>
    <s v="Moderate"/>
  </r>
  <r>
    <s v="ZL100369"/>
    <s v="https://www.zalando.de/shine-essential-polo---navy-zl100369/"/>
    <x v="71"/>
    <s v="Essential POLO - NAVY"/>
    <s v="Men's T-Shirts &amp; Polos"/>
    <x v="0"/>
    <x v="0"/>
    <s v="Navy"/>
    <s v="S"/>
    <n v="55.66"/>
    <n v="40.19"/>
    <s v="SALE"/>
    <s v="EUR"/>
    <n v="195"/>
    <s v="4.3"/>
    <s v="35.0"/>
    <m/>
    <m/>
    <s v="No"/>
    <d v="2023-01-29T00:00:00"/>
    <s v="https://img01.ztat.net/article/ZL100369.jpg"/>
    <n v="0.27793747754222065"/>
    <s v="Moderate"/>
  </r>
  <r>
    <s v="ZL100836"/>
    <s v="https://www.zalando.de/esprit-basic-t-shirt---royal-blue-zl100836/"/>
    <x v="98"/>
    <s v="Basic T-SHIRT - ROYAL BLUE"/>
    <s v="Men's T-Shirts &amp; Polos"/>
    <x v="1"/>
    <x v="4"/>
    <s v="Royal Blue"/>
    <s v="XS"/>
    <n v="13.13"/>
    <n v="9.49"/>
    <s v="SALE"/>
    <s v="EUR"/>
    <n v="384"/>
    <s v="3.5"/>
    <s v="41.0"/>
    <m/>
    <m/>
    <s v="Yes"/>
    <d v="2023-01-29T00:00:00"/>
    <s v="https://img01.ztat.net/article/ZL100836.jpg"/>
    <n v="0.27722772277227725"/>
    <s v="Moderate"/>
  </r>
  <r>
    <s v="ZL100323"/>
    <s v="https://www.zalando.de/zalando-essentials-basic-t-shirt---black-zl100323/"/>
    <x v="99"/>
    <s v="Basic T-SHIRT - BLACK"/>
    <s v="Men's T-Shirts &amp; Polos"/>
    <x v="1"/>
    <x v="4"/>
    <s v="Black"/>
    <s v="XS"/>
    <n v="8.99"/>
    <n v="6.5"/>
    <s v="SALE"/>
    <s v="EUR"/>
    <n v="527"/>
    <s v="4.0"/>
    <s v="31.0"/>
    <m/>
    <m/>
    <s v="Yes"/>
    <d v="2023-01-29T00:00:00"/>
    <s v="https://img01.ztat.net/article/ZL100323.jpg"/>
    <n v="0.27697441601779754"/>
    <s v="Moderate"/>
  </r>
  <r>
    <s v="ZL100073"/>
    <s v="https://www.zalando.de/denim-and-supply-regular-fit-t-shirt---light-grey-zl100073/"/>
    <x v="3"/>
    <s v="Regular Fit T-SHIRT - LIGHT GREY"/>
    <s v="Men's T-Shirts &amp; Polos"/>
    <x v="1"/>
    <x v="6"/>
    <s v="Light Grey"/>
    <s v="XS"/>
    <n v="12.84"/>
    <n v="9.32"/>
    <s v="SALE"/>
    <s v="EUR"/>
    <n v="516"/>
    <s v="0"/>
    <s v="35.0"/>
    <m/>
    <m/>
    <s v="No"/>
    <d v="2023-01-29T00:00:00"/>
    <s v="https://img01.ztat.net/article/ZL100073.jpg"/>
    <n v="0.27414330218068533"/>
    <s v="Moderate"/>
  </r>
  <r>
    <s v="ZL100094"/>
    <s v="https://www.zalando.de/anerkjendt-essential-t-shirt---denim-blue-zl100094/"/>
    <x v="26"/>
    <s v="Essential T-SHIRT - DENIM BLUE"/>
    <s v="Men's T-Shirts &amp; Polos"/>
    <x v="1"/>
    <x v="6"/>
    <s v="Denim Blue"/>
    <s v="S"/>
    <n v="18.010000000000002"/>
    <n v="13.08"/>
    <s v="SALE"/>
    <s v="EUR"/>
    <n v="952"/>
    <s v="4.2"/>
    <s v="39.0"/>
    <m/>
    <m/>
    <s v="Yes"/>
    <d v="2023-01-29T00:00:00"/>
    <s v="https://img01.ztat.net/article/ZL100094.jpg"/>
    <n v="0.27373681288173241"/>
    <s v="Moderate"/>
  </r>
  <r>
    <s v="ZL100597"/>
    <s v="https://www.zalando.de/nn07-slim-fit-t-shirt---denim-blue-zl100597/"/>
    <x v="25"/>
    <s v="Slim Fit T-SHIRT - DENIM BLUE"/>
    <s v="Men's T-Shirts &amp; Polos"/>
    <x v="1"/>
    <x v="1"/>
    <s v="Denim Blue"/>
    <s v="M"/>
    <n v="8.99"/>
    <n v="6.53"/>
    <s v="SALE"/>
    <s v="EUR"/>
    <n v="744"/>
    <s v="4.9"/>
    <s v="0"/>
    <m/>
    <m/>
    <s v="Yes"/>
    <d v="2023-01-29T00:00:00"/>
    <s v="https://img01.ztat.net/article/ZL100597.jpg"/>
    <n v="0.27363737486095663"/>
    <s v="Moderate"/>
  </r>
  <r>
    <s v="ZL100850"/>
    <s v="https://www.zalando.de/anerkjendt-slim-fit-polo---black-zl100850/"/>
    <x v="26"/>
    <s v="Slim Fit POLO - BLACK"/>
    <s v="Men's T-Shirts &amp; Polos"/>
    <x v="0"/>
    <x v="2"/>
    <s v="Black"/>
    <s v="XS"/>
    <n v="14.26"/>
    <n v="10.36"/>
    <s v="SALE"/>
    <s v="EUR"/>
    <n v="761"/>
    <s v="3.4"/>
    <s v="35.0"/>
    <m/>
    <m/>
    <s v="Yes"/>
    <d v="2023-01-29T00:00:00"/>
    <s v="https://img01.ztat.net/article/ZL100850.jpg"/>
    <n v="0.27349228611500703"/>
    <s v="Moderate"/>
  </r>
  <r>
    <s v="ZL100896"/>
    <s v="https://www.zalando.de/guess-print-t-shirt---anthracite-zl100896/"/>
    <x v="82"/>
    <s v="Print T-SHIRT - ANTHRACITE"/>
    <s v="Men's T-Shirts &amp; Polos"/>
    <x v="1"/>
    <x v="6"/>
    <s v="Anthracite"/>
    <s v="S"/>
    <n v="9.15"/>
    <n v="6.65"/>
    <s v="SALE"/>
    <s v="EUR"/>
    <n v="132"/>
    <s v="4.2"/>
    <s v="28.0"/>
    <m/>
    <m/>
    <s v="No"/>
    <d v="2023-01-29T00:00:00"/>
    <s v="https://img01.ztat.net/article/ZL100896.jpg"/>
    <n v="0.27322404371584696"/>
    <s v="Moderate"/>
  </r>
  <r>
    <s v="ZL100580"/>
    <s v="https://www.zalando.de/bruuns-bazaar-essential-polo---light-grey-zl100580/"/>
    <x v="100"/>
    <s v="Essential POLO - LIGHT GREY"/>
    <s v="Men's T-Shirts &amp; Polos"/>
    <x v="0"/>
    <x v="0"/>
    <s v="Light Grey"/>
    <s v=""/>
    <n v="41.51"/>
    <n v="30.17"/>
    <s v="SALE"/>
    <s v="EUR"/>
    <n v="83"/>
    <s v="3.1"/>
    <s v="40.0"/>
    <m/>
    <m/>
    <s v="Yes"/>
    <d v="2023-01-29T00:00:00"/>
    <s v="https://img01.ztat.net/article/ZL100580.jpg"/>
    <n v="0.27318718381112977"/>
    <s v="Moderate"/>
  </r>
  <r>
    <s v="ZL100125"/>
    <s v="https://www.zalando.de/zalando-essentials-slim-fit-t-shirt---off-white-zl100125/"/>
    <x v="99"/>
    <s v="Slim Fit T-SHIRT - OFF WHITE"/>
    <s v="Men's T-Shirts &amp; Polos"/>
    <x v="1"/>
    <x v="4"/>
    <s v="Off White"/>
    <s v=""/>
    <n v="11.86"/>
    <n v="8.64"/>
    <s v="SALE"/>
    <s v="EUR"/>
    <n v="632"/>
    <s v="0"/>
    <s v="42.0"/>
    <m/>
    <m/>
    <s v="No"/>
    <d v="2023-01-29T00:00:00"/>
    <s v="https://img01.ztat.net/article/ZL100125.jpg"/>
    <n v="0.27150084317032031"/>
    <s v="Moderate"/>
  </r>
  <r>
    <s v="ZL100135"/>
    <s v="https://www.zalando.de/lacoste-regular-fit-t-shirt---dark-green-zl100135/"/>
    <x v="4"/>
    <s v="Regular Fit T-SHIRT - DARK GREEN"/>
    <s v="Men's T-Shirts &amp; Polos"/>
    <x v="1"/>
    <x v="4"/>
    <s v="Dark Green"/>
    <s v="S"/>
    <n v="8.99"/>
    <n v="6.55"/>
    <s v="SALE"/>
    <s v="EUR"/>
    <n v="323"/>
    <s v="3.2"/>
    <s v="47.0"/>
    <m/>
    <m/>
    <s v="Yes"/>
    <d v="2023-01-29T00:00:00"/>
    <s v="https://img01.ztat.net/article/ZL100135.jpg"/>
    <n v="0.27141268075639602"/>
    <s v="Moderate"/>
  </r>
  <r>
    <s v="ZL100047"/>
    <s v="https://www.zalando.de/threadbare-slim-fit-polo---red-zl100047/"/>
    <x v="40"/>
    <s v="Slim Fit POLO - RED"/>
    <s v="Men's T-Shirts &amp; Polos"/>
    <x v="0"/>
    <x v="3"/>
    <s v="Red"/>
    <s v="M"/>
    <n v="37.74"/>
    <n v="27.53"/>
    <s v="SALE"/>
    <s v="EUR"/>
    <n v="26"/>
    <s v="4.7"/>
    <s v="28.0"/>
    <m/>
    <m/>
    <s v="Yes"/>
    <d v="2023-01-29T00:00:00"/>
    <s v="https://img01.ztat.net/article/ZL100047.jpg"/>
    <n v="0.27053524112347643"/>
    <s v="Moderate"/>
  </r>
  <r>
    <s v="ZL100042"/>
    <s v="https://www.zalando.de/pullandbear-slim-fit-polo---khaki-zl100042/"/>
    <x v="88"/>
    <s v="Slim Fit POLO - KHAKI"/>
    <s v="Men's T-Shirts &amp; Polos"/>
    <x v="0"/>
    <x v="2"/>
    <s v="Khaki"/>
    <s v="M"/>
    <n v="8.99"/>
    <n v="6.57"/>
    <s v="SALE"/>
    <s v="EUR"/>
    <n v="37"/>
    <s v="0"/>
    <s v="20.0"/>
    <m/>
    <m/>
    <s v="Yes"/>
    <d v="2023-01-29T00:00:00"/>
    <s v="https://img01.ztat.net/article/ZL100042.jpg"/>
    <n v="0.26918798665183535"/>
    <s v="Moderate"/>
  </r>
  <r>
    <s v="ZL100082"/>
    <s v="https://www.zalando.de/nike-print-polo---anthracite-zl100082/"/>
    <x v="25"/>
    <s v="Print POLO - ANTHRACITE"/>
    <s v="Men's T-Shirts &amp; Polos"/>
    <x v="0"/>
    <x v="2"/>
    <s v="Anthracite"/>
    <s v="XS"/>
    <n v="8.99"/>
    <n v="6.57"/>
    <s v="SALE"/>
    <s v="EUR"/>
    <n v="485"/>
    <s v="3.4"/>
    <s v="32.0"/>
    <m/>
    <m/>
    <s v="No"/>
    <d v="2023-01-29T00:00:00"/>
    <s v="https://img01.ztat.net/article/ZL100082.jpg"/>
    <n v="0.26918798665183535"/>
    <s v="Moderate"/>
  </r>
  <r>
    <s v="ZL100110"/>
    <s v="https://www.zalando.de/nike-essential-polo---dark-green-zl100110/"/>
    <x v="25"/>
    <s v="Essential POLO - DARK GREEN"/>
    <s v="Men's T-Shirts &amp; Polos"/>
    <x v="0"/>
    <x v="0"/>
    <s v="Dark Green"/>
    <s v="S"/>
    <n v="8.99"/>
    <n v="6.57"/>
    <s v="SALE"/>
    <s v="EUR"/>
    <n v="180"/>
    <s v="3.1"/>
    <s v="33.0"/>
    <m/>
    <m/>
    <s v="Yes"/>
    <d v="2023-01-29T00:00:00"/>
    <s v="https://img01.ztat.net/article/ZL100110.jpg"/>
    <n v="0.26918798665183535"/>
    <s v="Moderate"/>
  </r>
  <r>
    <s v="ZL100362"/>
    <s v="https://www.zalando.de/odlo-slim-fit-t-shirt---off-white-zl100362/"/>
    <x v="27"/>
    <s v="Slim Fit T-SHIRT - OFF WHITE"/>
    <s v="Men's T-Shirts &amp; Polos"/>
    <x v="1"/>
    <x v="4"/>
    <s v="Off White"/>
    <s v="XS"/>
    <n v="20.64"/>
    <n v="15.11"/>
    <s v="SALE"/>
    <s v="EUR"/>
    <n v="417"/>
    <s v="3.5"/>
    <s v="32.0"/>
    <m/>
    <m/>
    <s v="Yes"/>
    <d v="2023-01-29T00:00:00"/>
    <s v="https://img01.ztat.net/article/ZL100362.jpg"/>
    <n v="0.26792635658914732"/>
    <s v="Moderate"/>
  </r>
  <r>
    <s v="ZL100400"/>
    <s v="https://www.zalando.de/tommy-hilfiger-essential-polo---white-zl100400/"/>
    <x v="8"/>
    <s v="Essential POLO - WHITE"/>
    <s v="Men's T-Shirts &amp; Polos"/>
    <x v="0"/>
    <x v="2"/>
    <s v="White"/>
    <s v="XS"/>
    <n v="21.98"/>
    <n v="16.100000000000001"/>
    <s v="SALE"/>
    <s v="EUR"/>
    <n v="998"/>
    <s v="4.4"/>
    <s v="46.0"/>
    <m/>
    <m/>
    <s v="No"/>
    <d v="2023-01-29T00:00:00"/>
    <s v="https://img01.ztat.net/article/ZL100400.jpg"/>
    <n v="0.26751592356687892"/>
    <s v="Moderate"/>
  </r>
  <r>
    <s v="ZL100526"/>
    <s v="https://www.zalando.de/tom-tailor-denim-essential-polo---mint-zl100526/"/>
    <x v="72"/>
    <s v="Essential POLO - MINT"/>
    <s v="Men's T-Shirts &amp; Polos"/>
    <x v="0"/>
    <x v="0"/>
    <s v="Mint"/>
    <s v="S"/>
    <n v="8.99"/>
    <n v="6.59"/>
    <s v="SALE"/>
    <s v="EUR"/>
    <n v="490"/>
    <s v="3.2"/>
    <s v="33.0"/>
    <m/>
    <m/>
    <s v="Yes"/>
    <d v="2023-01-29T00:00:00"/>
    <s v="https://img01.ztat.net/article/ZL100526.jpg"/>
    <n v="0.2669632925472748"/>
    <s v="Moderate"/>
  </r>
  <r>
    <s v="ZL100213"/>
    <s v="https://www.zalando.de/nike-sportswear-essential-polo---red-zl100213/"/>
    <x v="101"/>
    <s v="Essential POLO - RED"/>
    <s v="Men's T-Shirts &amp; Polos"/>
    <x v="0"/>
    <x v="2"/>
    <m/>
    <s v="XS"/>
    <n v="21.49"/>
    <n v="15.76"/>
    <s v="SALE"/>
    <s v="EUR"/>
    <n v="465"/>
    <s v="3.4"/>
    <s v="35.0"/>
    <m/>
    <m/>
    <s v="Yes"/>
    <d v="2023-01-29T00:00:00"/>
    <s v="https://img01.ztat.net/article/ZL100213.jpg"/>
    <n v="0.26663564448580729"/>
    <s v="Moderate"/>
  </r>
  <r>
    <s v="ZL100987"/>
    <s v="https://www.zalando.de/adidas-performance-basic-t-shirt---grey-melange-zl100987/"/>
    <x v="6"/>
    <s v="Basic T-SHIRT - GREY MELANGE"/>
    <s v="Men's T-Shirts &amp; Polos"/>
    <x v="1"/>
    <x v="1"/>
    <s v="Grey Melange"/>
    <s v="M"/>
    <n v="11.37"/>
    <n v="8.36"/>
    <s v="SALE"/>
    <s v="EUR"/>
    <n v="322"/>
    <s v="3.4"/>
    <s v="31.0"/>
    <m/>
    <m/>
    <s v="No"/>
    <d v="2023-01-29T00:00:00"/>
    <s v="https://img01.ztat.net/article/ZL100987.jpg"/>
    <n v="0.26473175021987688"/>
    <s v="Moderate"/>
  </r>
  <r>
    <s v="ZL100830"/>
    <s v="https://www.zalando.de/shine-slim-fit-polo---denim-blue-zl100830/"/>
    <x v="71"/>
    <s v="Slim Fit POLO - DENIM BLUE"/>
    <s v="Men's T-Shirts &amp; Polos"/>
    <x v="0"/>
    <x v="0"/>
    <s v="Denim Blue"/>
    <s v="S"/>
    <n v="16.53"/>
    <n v="12.17"/>
    <s v="SALE"/>
    <s v="EUR"/>
    <n v="420"/>
    <s v="4.5"/>
    <s v="26.0"/>
    <m/>
    <m/>
    <s v="Yes"/>
    <d v="2023-01-29T00:00:00"/>
    <s v="https://img01.ztat.net/article/ZL100830.jpg"/>
    <n v="0.26376285541439815"/>
    <s v="Moderate"/>
  </r>
  <r>
    <s v="ZL100021"/>
    <s v="https://www.zalando.de/adidas-performance-print-t-shirt---grey-melange-zl100021/"/>
    <x v="6"/>
    <s v="Print T-SHIRT - GREY MELANGE"/>
    <s v="Men's T-Shirts &amp; Polos"/>
    <x v="1"/>
    <x v="1"/>
    <s v="Grey Melange"/>
    <s v="M"/>
    <n v="29.33"/>
    <n v="21.6"/>
    <s v="SALE"/>
    <s v="EUR"/>
    <n v="347"/>
    <s v="3.4"/>
    <s v="35.0"/>
    <m/>
    <m/>
    <s v="Yes"/>
    <d v="2023-01-29T00:00:00"/>
    <s v="https://img01.ztat.net/article/ZL100021.jpg"/>
    <n v="0.26355267644050451"/>
    <s v="Moderate"/>
  </r>
  <r>
    <s v="ZL100702"/>
    <s v="https://www.zalando.de/tommy-hilfiger-print-polo---navy-zl100702/"/>
    <x v="8"/>
    <s v="Print POLO - NAVY"/>
    <s v="Men's T-Shirts &amp; Polos"/>
    <x v="0"/>
    <x v="0"/>
    <s v="Navy"/>
    <s v="S"/>
    <n v="10.18"/>
    <n v="7.5"/>
    <s v="SALE"/>
    <s v="EUR"/>
    <n v="519"/>
    <s v="3.7"/>
    <s v="27.0"/>
    <m/>
    <m/>
    <s v="Yes"/>
    <d v="2023-01-29T00:00:00"/>
    <s v="https://img01.ztat.net/article/ZL100702.jpg"/>
    <n v="0.26326129666011788"/>
    <s v="Moderate"/>
  </r>
  <r>
    <s v="ZL100018"/>
    <s v="https://www.zalando.de/umbro-basic-polo---royal-blue-zl100018/"/>
    <x v="55"/>
    <s v="Basic POLO - ROYAL BLUE"/>
    <s v="Men's T-Shirts &amp; Polos"/>
    <x v="0"/>
    <x v="0"/>
    <s v="Royal Blue"/>
    <s v="S"/>
    <n v="71.41"/>
    <n v="52.82"/>
    <s v="SALE"/>
    <s v="EUR"/>
    <n v="243"/>
    <s v="4.7"/>
    <s v="32.0"/>
    <m/>
    <m/>
    <s v="Yes"/>
    <d v="2023-01-29T00:00:00"/>
    <s v="https://img01.ztat.net/article/ZL100018.jpg"/>
    <n v="0.26032768519815147"/>
    <s v="Moderate"/>
  </r>
  <r>
    <s v="ZL100138"/>
    <s v="https://www.zalando.de/adidas-performance-basic-polo---royal-blue-zl100138/"/>
    <x v="6"/>
    <s v="Basic POLO - ROYAL BLUE"/>
    <s v="Men's T-Shirts &amp; Polos"/>
    <x v="0"/>
    <x v="0"/>
    <s v="Royal Blue"/>
    <s v="M"/>
    <n v="14.91"/>
    <n v="11.03"/>
    <s v="SALE"/>
    <s v="EUR"/>
    <n v="430"/>
    <s v="0"/>
    <s v="28.0"/>
    <m/>
    <m/>
    <s v="Yes"/>
    <d v="2023-01-29T00:00:00"/>
    <s v="https://img01.ztat.net/article/ZL100138.jpg"/>
    <n v="0.26022803487592228"/>
    <s v="Moderate"/>
  </r>
  <r>
    <s v="ZL100717"/>
    <s v="https://www.zalando.de/nike-essential-t-shirt---mint-zl100717/"/>
    <x v="25"/>
    <s v="Essential T-SHIRT - MINT"/>
    <s v="Men's T-Shirts &amp; Polos"/>
    <x v="1"/>
    <x v="1"/>
    <s v="Mint"/>
    <s v="S"/>
    <n v="10.3"/>
    <n v="7.62"/>
    <s v="SALE"/>
    <s v="EUR"/>
    <n v="659"/>
    <s v="0"/>
    <s v="31.0"/>
    <m/>
    <m/>
    <s v="Yes"/>
    <d v="2023-01-29T00:00:00"/>
    <s v="https://img01.ztat.net/article/ZL100717.jpg"/>
    <n v="0.26019417475728157"/>
    <s v="Moderate"/>
  </r>
  <r>
    <s v="ZL100782"/>
    <s v="https://www.zalando.de/jack-and-jones-slim-fit-t-shirt---mint-zl100782/"/>
    <x v="102"/>
    <s v="Slim Fit T-SHIRT - MINT"/>
    <s v="Men's T-Shirts &amp; Polos"/>
    <x v="1"/>
    <x v="4"/>
    <s v="Mint"/>
    <s v="XS"/>
    <n v="12.44"/>
    <n v="9.2100000000000009"/>
    <s v="SALE"/>
    <s v="EUR"/>
    <n v="806"/>
    <s v="4.4"/>
    <s v="0"/>
    <m/>
    <m/>
    <s v="No"/>
    <d v="2023-01-29T00:00:00"/>
    <s v="https://img01.ztat.net/article/ZL100782.jpg"/>
    <n v="0.25964630225080376"/>
    <s v="Moderate"/>
  </r>
  <r>
    <s v="ZL100156"/>
    <s v="https://www.zalando.de/mango-man-slim-fit-t-shirt---rust-zl100156/"/>
    <x v="5"/>
    <s v="Slim Fit T-SHIRT - RUST"/>
    <s v="Men's T-Shirts &amp; Polos"/>
    <x v="1"/>
    <x v="4"/>
    <s v="Rust"/>
    <s v="M"/>
    <n v="16.02"/>
    <n v="11.87"/>
    <s v="SALE"/>
    <s v="EUR"/>
    <n v="696"/>
    <s v="4.1"/>
    <s v="28.0"/>
    <m/>
    <m/>
    <s v="Yes"/>
    <d v="2023-01-29T00:00:00"/>
    <s v="https://img01.ztat.net/article/ZL100156.jpg"/>
    <n v="0.25905118601747817"/>
    <s v="Moderate"/>
  </r>
  <r>
    <s v="ZL100426"/>
    <s v="https://www.zalando.de/odlo-basic-polo---black-zl100426/"/>
    <x v="27"/>
    <s v="Basic POLO - BLACK"/>
    <s v="Men's T-Shirts &amp; Polos"/>
    <x v="0"/>
    <x v="0"/>
    <s v="Black"/>
    <s v="S"/>
    <n v="25.31"/>
    <n v="18.760000000000002"/>
    <s v="SALE"/>
    <s v="EUR"/>
    <n v="639"/>
    <s v="4.4"/>
    <s v="28.0"/>
    <m/>
    <m/>
    <s v="Yes"/>
    <d v="2023-01-29T00:00:00"/>
    <s v="https://img01.ztat.net/article/ZL100426.jpg"/>
    <n v="0.25879099170288411"/>
    <s v="Moderate"/>
  </r>
  <r>
    <s v="ZL100088"/>
    <s v="https://www.zalando.de/nike-essential-polo---white-zl100088/"/>
    <x v="25"/>
    <s v="Essential POLO - WHITE"/>
    <s v="Men's T-Shirts &amp; Polos"/>
    <x v="0"/>
    <x v="2"/>
    <s v="White"/>
    <s v="S"/>
    <n v="30.77"/>
    <n v="22.92"/>
    <s v="SALE"/>
    <s v="EUR"/>
    <n v="987"/>
    <s v="3.7"/>
    <s v="39.0"/>
    <m/>
    <m/>
    <s v="Yes"/>
    <d v="2023-01-29T00:00:00"/>
    <s v="https://img01.ztat.net/article/ZL100088.jpg"/>
    <n v="0.25511862203444907"/>
    <s v="Moderate"/>
  </r>
  <r>
    <s v="ZL100659"/>
    <s v="https://www.zalando.de/adidas-performance-basic-t-shirt---dark-green-zl100659/"/>
    <x v="6"/>
    <s v="Basic T-SHIRT - DARK GREEN"/>
    <s v="Men's T-Shirts &amp; Polos"/>
    <x v="1"/>
    <x v="1"/>
    <s v="Dark Green"/>
    <s v="XS"/>
    <n v="8.99"/>
    <n v="6.73"/>
    <s v="SALE"/>
    <s v="EUR"/>
    <n v="814"/>
    <s v="3.9"/>
    <s v="35.0"/>
    <m/>
    <m/>
    <s v="No"/>
    <d v="2023-01-29T00:00:00"/>
    <s v="https://img01.ztat.net/article/ZL100659.jpg"/>
    <n v="0.25139043381535037"/>
    <s v="Moderate"/>
  </r>
  <r>
    <s v="ZL100929"/>
    <s v="https://www.zalando.de/nike-sb-slim-fit-polo---dark-green-zl100929/"/>
    <x v="65"/>
    <s v="Slim Fit POLO - DARK GREEN"/>
    <s v="Men's T-Shirts &amp; Polos"/>
    <x v="0"/>
    <x v="0"/>
    <s v="Dark Green"/>
    <s v="M"/>
    <n v="13.1"/>
    <n v="9.83"/>
    <s v="SALE"/>
    <s v="EUR"/>
    <n v="315"/>
    <s v="3.1"/>
    <s v="37.0"/>
    <m/>
    <m/>
    <s v="Yes"/>
    <d v="2023-01-29T00:00:00"/>
    <s v="https://img01.ztat.net/article/ZL100929.jpg"/>
    <n v="0.24961832061068701"/>
    <s v="Moderate"/>
  </r>
  <r>
    <s v="ZL100364"/>
    <s v="https://www.zalando.de/björn-borg-print-t-shirt---royal-blue-zl100364/"/>
    <x v="89"/>
    <s v="Print T-SHIRT - ROYAL BLUE"/>
    <s v="Men's T-Shirts &amp; Polos"/>
    <x v="1"/>
    <x v="4"/>
    <s v="Royal Blue"/>
    <s v="S"/>
    <n v="23.08"/>
    <n v="17.34"/>
    <s v="SALE"/>
    <s v="EUR"/>
    <n v="381"/>
    <s v="4.7"/>
    <s v="40.0"/>
    <m/>
    <m/>
    <s v="Yes"/>
    <d v="2023-01-29T00:00:00"/>
    <s v="https://img01.ztat.net/article/ZL100364.jpg"/>
    <n v="0.24870017331022526"/>
    <s v="Moderate"/>
  </r>
  <r>
    <s v="ZL100415"/>
    <s v="https://www.zalando.de/g-star-essential-polo---mint-zl100415/"/>
    <x v="69"/>
    <s v="Essential POLO - MINT"/>
    <s v="Men's T-Shirts &amp; Polos"/>
    <x v="0"/>
    <x v="3"/>
    <s v="Mint"/>
    <s v="XS"/>
    <n v="14.49"/>
    <n v="10.91"/>
    <s v="SALE"/>
    <s v="EUR"/>
    <n v="165"/>
    <s v="3.7"/>
    <s v="23.0"/>
    <m/>
    <m/>
    <s v="Yes"/>
    <d v="2023-01-29T00:00:00"/>
    <s v="https://img01.ztat.net/article/ZL100415.jpg"/>
    <n v="0.24706694271911664"/>
    <s v="Moderate"/>
  </r>
  <r>
    <s v="ZL100652"/>
    <s v="https://www.zalando.de/adidas-performance-essential-t-shirt---rust-zl100652/"/>
    <x v="6"/>
    <s v="Essential T-SHIRT - RUST"/>
    <s v="Men's T-Shirts &amp; Polos"/>
    <x v="1"/>
    <x v="6"/>
    <s v="Rust"/>
    <s v="XS"/>
    <n v="8.99"/>
    <n v="6.77"/>
    <s v="SALE"/>
    <s v="EUR"/>
    <n v="392"/>
    <s v="3.4"/>
    <s v="35.0"/>
    <m/>
    <m/>
    <s v="No"/>
    <d v="2023-01-29T00:00:00"/>
    <s v="https://img01.ztat.net/article/ZL100652.jpg"/>
    <n v="0.2469410456062292"/>
    <s v="Moderate"/>
  </r>
  <r>
    <s v="ZL100844"/>
    <s v="https://www.zalando.de/tommy-hilfiger-essential-t-shirt---rust-zl100844/"/>
    <x v="8"/>
    <s v="Essential T-SHIRT - RUST"/>
    <s v="Men's T-Shirts &amp; Polos"/>
    <x v="1"/>
    <x v="4"/>
    <s v="Rust"/>
    <s v="XS"/>
    <n v="10.54"/>
    <n v="7.94"/>
    <s v="SALE"/>
    <s v="EUR"/>
    <n v="650"/>
    <s v="3.9"/>
    <s v="40.0"/>
    <m/>
    <m/>
    <s v="Yes"/>
    <d v="2023-01-29T00:00:00"/>
    <s v="https://img01.ztat.net/article/ZL100844.jpg"/>
    <n v="0.24667931688804545"/>
    <s v="Moderate"/>
  </r>
  <r>
    <s v="ZL100308"/>
    <s v="https://www.zalando.de/gap-regular-fit-t-shirt---beige-zl100308/"/>
    <x v="63"/>
    <s v="Regular Fit T-SHIRT - BEIGE"/>
    <s v="Men's T-Shirts &amp; Polos"/>
    <x v="1"/>
    <x v="1"/>
    <s v="Beige"/>
    <s v="XS"/>
    <n v="33.5"/>
    <n v="25.24"/>
    <s v="SALE"/>
    <s v="EUR"/>
    <n v="146"/>
    <s v="4.7"/>
    <s v="23.0"/>
    <m/>
    <m/>
    <s v="Yes"/>
    <d v="2023-01-29T00:00:00"/>
    <s v="https://img01.ztat.net/article/ZL100308.jpg"/>
    <n v="0.24656716417910451"/>
    <s v="Moderate"/>
  </r>
  <r>
    <s v="ZL100599"/>
    <s v="https://www.zalando.de/cars-regular-fit-t-shirt---white-zl100599/"/>
    <x v="30"/>
    <s v="Regular Fit T-SHIRT - WHITE"/>
    <s v="Men's T-Shirts &amp; Polos"/>
    <x v="1"/>
    <x v="5"/>
    <s v="White"/>
    <s v="XS"/>
    <n v="15.06"/>
    <n v="11.35"/>
    <s v="SALE"/>
    <s v="EUR"/>
    <n v="413"/>
    <s v="3.5"/>
    <s v="34.0"/>
    <m/>
    <m/>
    <s v="Yes"/>
    <d v="2023-01-29T00:00:00"/>
    <s v="https://img01.ztat.net/article/ZL100599.jpg"/>
    <n v="0.24634794156706513"/>
    <s v="Moderate"/>
  </r>
  <r>
    <s v="ZL100613"/>
    <s v="https://www.zalando.de/salomon-basic-t-shirt---light-grey-zl100613/"/>
    <x v="53"/>
    <s v="Basic T-SHIRT - LIGHT GREY"/>
    <s v="Men's T-Shirts &amp; Polos"/>
    <x v="1"/>
    <x v="1"/>
    <s v="Light Grey"/>
    <s v="XS"/>
    <n v="8.99"/>
    <n v="6.78"/>
    <s v="SALE"/>
    <s v="EUR"/>
    <n v="414"/>
    <s v="3.3"/>
    <s v="0"/>
    <m/>
    <m/>
    <s v="No"/>
    <d v="2023-01-29T00:00:00"/>
    <s v="https://img01.ztat.net/article/ZL100613.jpg"/>
    <n v="0.24582869855394882"/>
    <s v="Moderate"/>
  </r>
  <r>
    <s v="ZL100117"/>
    <s v="https://www.zalando.de/jordan-basic-t-shirt---olive-zl100117/"/>
    <x v="75"/>
    <s v="Basic T-SHIRT - OLIVE"/>
    <s v="Men's T-Shirts &amp; Polos"/>
    <x v="1"/>
    <x v="4"/>
    <s v="Olive"/>
    <s v="XS"/>
    <n v="16.079999999999998"/>
    <n v="12.13"/>
    <s v="SALE"/>
    <s v="EUR"/>
    <n v="953"/>
    <s v="3.3"/>
    <s v="41.0"/>
    <m/>
    <m/>
    <s v="Yes"/>
    <d v="2023-01-29T00:00:00"/>
    <s v="https://img01.ztat.net/article/ZL100117.jpg"/>
    <n v="0.2456467661691541"/>
    <s v="Moderate"/>
  </r>
  <r>
    <s v="ZL100911"/>
    <s v="https://www.zalando.de/shine-original-print-t-shirt---rust-zl100911/"/>
    <x v="71"/>
    <s v="Print T-SHIRT - RUST"/>
    <s v="Men's T-Shirts &amp; Polos"/>
    <x v="1"/>
    <x v="5"/>
    <s v="Rust"/>
    <s v="XS"/>
    <n v="9.66"/>
    <n v="7.29"/>
    <s v="SALE"/>
    <s v="EUR"/>
    <n v="99"/>
    <s v="0"/>
    <s v="33.0"/>
    <m/>
    <m/>
    <s v="Yes"/>
    <d v="2023-01-29T00:00:00"/>
    <s v="https://img01.ztat.net/article/ZL100911.jpg"/>
    <n v="0.24534161490683232"/>
    <s v="Moderate"/>
  </r>
  <r>
    <s v="ZL100158"/>
    <s v="https://www.zalando.de/burton-menswear-london-print-polo---grey-melange-zl100158/"/>
    <x v="58"/>
    <s v="Print POLO - GREY MELANGE"/>
    <s v="Men's T-Shirts &amp; Polos"/>
    <x v="0"/>
    <x v="2"/>
    <s v="Grey Melange"/>
    <s v="S"/>
    <n v="17"/>
    <n v="12.84"/>
    <s v="SALE"/>
    <s v="EUR"/>
    <n v="231"/>
    <s v="3.3"/>
    <s v="31.0"/>
    <m/>
    <m/>
    <s v="No"/>
    <d v="2023-01-29T00:00:00"/>
    <s v="https://img01.ztat.net/article/ZL100158.jpg"/>
    <n v="0.24470588235294119"/>
    <s v="Moderate"/>
  </r>
  <r>
    <s v="ZL100577"/>
    <s v="https://www.zalando.de/only-and-sons-denim-print-polo---anthracite-zl100577/"/>
    <x v="61"/>
    <s v="Print POLO - ANTHRACITE"/>
    <s v="Men's T-Shirts &amp; Polos"/>
    <x v="0"/>
    <x v="0"/>
    <s v="Anthracite"/>
    <s v="S"/>
    <n v="8.99"/>
    <n v="6.8"/>
    <s v="SALE"/>
    <s v="EUR"/>
    <n v="237"/>
    <s v="0"/>
    <s v="40.0"/>
    <m/>
    <m/>
    <s v="Yes"/>
    <d v="2023-01-29T00:00:00"/>
    <s v="https://img01.ztat.net/article/ZL100577.jpg"/>
    <n v="0.24360400444938823"/>
    <s v="Moderate"/>
  </r>
  <r>
    <s v="ZL100852"/>
    <s v="https://www.zalando.de/adidas-performance-basic-t-shirt---royal-blue-zl100852/"/>
    <x v="6"/>
    <s v="Basic T-SHIRT - ROYAL BLUE"/>
    <s v="Men's T-Shirts &amp; Polos"/>
    <x v="1"/>
    <x v="4"/>
    <s v="Royal Blue"/>
    <s v="M"/>
    <n v="24.11"/>
    <n v="18.25"/>
    <s v="SALE"/>
    <s v="EUR"/>
    <n v="825"/>
    <s v="4.1"/>
    <s v="31.0"/>
    <m/>
    <m/>
    <s v="Yes"/>
    <d v="2023-01-29T00:00:00"/>
    <s v="https://img01.ztat.net/article/ZL100852.jpg"/>
    <n v="0.24305267523849022"/>
    <s v="Moderate"/>
  </r>
  <r>
    <s v="ZL100251"/>
    <s v="https://www.zalando.de/cars-basic-t-shirt---dark-blue-zl100251/"/>
    <x v="30"/>
    <s v="Basic T-SHIRT - DARK BLUE"/>
    <s v="Men's T-Shirts &amp; Polos"/>
    <x v="1"/>
    <x v="6"/>
    <s v="Dark Blue"/>
    <s v="S"/>
    <n v="23.53"/>
    <n v="17.850000000000001"/>
    <s v="SALE"/>
    <s v="EUR"/>
    <n v="550"/>
    <s v="3.7"/>
    <s v="27.0"/>
    <m/>
    <m/>
    <s v="Yes"/>
    <d v="2023-01-29T00:00:00"/>
    <s v="https://img01.ztat.net/article/ZL100251.jpg"/>
    <n v="0.24139396515087119"/>
    <s v="Moderate"/>
  </r>
  <r>
    <s v="ZL100697"/>
    <s v="https://www.zalando.de/fila-basic-polo---red-zl100697/"/>
    <x v="39"/>
    <s v="Basic POLO - RED"/>
    <s v="Men's T-Shirts &amp; Polos"/>
    <x v="0"/>
    <x v="2"/>
    <s v="Red"/>
    <s v="S"/>
    <n v="17.91"/>
    <n v="13.61"/>
    <s v="SALE"/>
    <s v="EUR"/>
    <n v="595"/>
    <s v="3.1"/>
    <s v="36.0"/>
    <m/>
    <m/>
    <s v="Yes"/>
    <d v="2023-01-29T00:00:00"/>
    <s v="https://img01.ztat.net/article/ZL100697.jpg"/>
    <n v="0.24008933556672254"/>
    <s v="Moderate"/>
  </r>
  <r>
    <s v="ZL100596"/>
    <s v="https://www.zalando.de/element-basic-t-shirt---red-zl100596/"/>
    <x v="52"/>
    <s v="Basic T-SHIRT - RED"/>
    <s v="Men's T-Shirts &amp; Polos"/>
    <x v="1"/>
    <x v="4"/>
    <s v="Red"/>
    <s v="S"/>
    <n v="26.39"/>
    <n v="20.079999999999998"/>
    <s v="SALE"/>
    <s v="EUR"/>
    <n v="698"/>
    <s v="3.3"/>
    <s v="0"/>
    <m/>
    <m/>
    <s v="Yes"/>
    <d v="2023-01-29T00:00:00"/>
    <s v="https://img01.ztat.net/article/ZL100596.jpg"/>
    <n v="0.23910572186434265"/>
    <s v="Moderate"/>
  </r>
  <r>
    <s v="ZL100244"/>
    <s v="https://www.zalando.de/nike-regular-fit-polo---anthracite-zl100244/"/>
    <x v="25"/>
    <s v="Regular Fit POLO - ANTHRACITE"/>
    <s v="Men's T-Shirts &amp; Polos"/>
    <x v="0"/>
    <x v="3"/>
    <s v="Anthracite"/>
    <s v="XS"/>
    <n v="18.41"/>
    <n v="14.03"/>
    <s v="SALE"/>
    <s v="EUR"/>
    <n v="694"/>
    <s v="4.0"/>
    <s v="28.0"/>
    <m/>
    <m/>
    <s v="No"/>
    <d v="2023-01-29T00:00:00"/>
    <s v="https://img01.ztat.net/article/ZL100244.jpg"/>
    <n v="0.2379141770776752"/>
    <s v="Moderate"/>
  </r>
  <r>
    <s v="ZL100643"/>
    <s v="https://www.zalando.de/adidas-performance-essential-t-shirt---navy-zl100643/"/>
    <x v="6"/>
    <s v="Essential T-SHIRT - NAVY"/>
    <s v="Men's T-Shirts &amp; Polos"/>
    <x v="1"/>
    <x v="4"/>
    <s v="Navy"/>
    <s v="XS"/>
    <n v="12.66"/>
    <n v="9.65"/>
    <s v="SALE"/>
    <s v="EUR"/>
    <n v="412"/>
    <s v="3.6"/>
    <s v="34.0"/>
    <m/>
    <m/>
    <s v="No"/>
    <d v="2023-01-29T00:00:00"/>
    <s v="https://img01.ztat.net/article/ZL100643.jpg"/>
    <n v="0.23775671406003157"/>
    <s v="Moderate"/>
  </r>
  <r>
    <s v="ZL100006"/>
    <s v="https://www.zalando.de/eterna-regular-fit-t-shirt---white-zl100006/"/>
    <x v="35"/>
    <s v="Regular Fit T-SHIRT - WHITE"/>
    <s v="Men's T-Shirts &amp; Polos"/>
    <x v="1"/>
    <x v="6"/>
    <s v="White"/>
    <s v="S"/>
    <n v="10.3"/>
    <n v="7.86"/>
    <s v="SALE"/>
    <s v="EUR"/>
    <n v="524"/>
    <s v="3.5"/>
    <s v="27.0"/>
    <m/>
    <m/>
    <s v="No"/>
    <d v="2023-01-29T00:00:00"/>
    <s v="https://img01.ztat.net/article/ZL100006.jpg"/>
    <n v="0.23689320388349516"/>
    <s v="Moderate"/>
  </r>
  <r>
    <s v="ZL100504"/>
    <s v="https://www.zalando.de/adidas-performance-print-t-shirt---mint-zl100504/"/>
    <x v="6"/>
    <s v="Print T-SHIRT - MINT"/>
    <s v="Men's T-Shirts &amp; Polos"/>
    <x v="1"/>
    <x v="6"/>
    <s v="Mint"/>
    <s v="S"/>
    <n v="8.99"/>
    <n v="6.87"/>
    <s v="SALE"/>
    <s v="EUR"/>
    <n v="205"/>
    <s v="3.0"/>
    <s v="36.0"/>
    <m/>
    <m/>
    <s v="Yes"/>
    <d v="2023-01-29T00:00:00"/>
    <s v="https://img01.ztat.net/article/ZL100504.jpg"/>
    <n v="0.23581757508342605"/>
    <s v="Moderate"/>
  </r>
  <r>
    <s v="ZL100990"/>
    <s v="https://www.zalando.de/adidas-performance-regular-fit-t-shirt---dark-blue-zl100990/"/>
    <x v="6"/>
    <s v="Regular Fit T-SHIRT - DARK BLUE"/>
    <s v="Men's T-Shirts &amp; Polos"/>
    <x v="1"/>
    <x v="6"/>
    <s v="Dark Blue"/>
    <s v="XS"/>
    <n v="32.11"/>
    <n v="24.54"/>
    <s v="SALE"/>
    <s v="EUR"/>
    <n v="170"/>
    <s v="4.0"/>
    <s v="0"/>
    <m/>
    <m/>
    <s v="Yes"/>
    <d v="2023-01-29T00:00:00"/>
    <s v="https://img01.ztat.net/article/ZL100990.jpg"/>
    <n v="0.2357521021488633"/>
    <s v="Moderate"/>
  </r>
  <r>
    <s v="ZL100787"/>
    <s v="https://www.zalando.de/nike-regular-fit-polo---beige-zl100787/"/>
    <x v="25"/>
    <s v="Regular Fit POLO - BEIGE"/>
    <s v="Men's T-Shirts &amp; Polos"/>
    <x v="0"/>
    <x v="2"/>
    <s v="Beige"/>
    <s v="XS"/>
    <n v="16.36"/>
    <n v="12.55"/>
    <s v="SALE"/>
    <s v="EUR"/>
    <n v="436"/>
    <s v="0"/>
    <s v="26.0"/>
    <m/>
    <m/>
    <s v="No"/>
    <d v="2023-01-29T00:00:00"/>
    <s v="https://img01.ztat.net/article/ZL100787.jpg"/>
    <n v="0.23288508557457205"/>
    <s v="Moderate"/>
  </r>
  <r>
    <s v="ZL100203"/>
    <s v="https://www.zalando.de/nike-print-polo---rust-zl100203/"/>
    <x v="25"/>
    <s v="Print POLO - RUST"/>
    <s v="Men's T-Shirts &amp; Polos"/>
    <x v="0"/>
    <x v="0"/>
    <s v="Rust"/>
    <s v="XS"/>
    <n v="33.47"/>
    <n v="25.71"/>
    <s v="SALE"/>
    <s v="EUR"/>
    <n v="573"/>
    <s v="4.1"/>
    <s v="0"/>
    <m/>
    <m/>
    <s v="Yes"/>
    <d v="2023-01-29T00:00:00"/>
    <s v="https://img01.ztat.net/article/ZL100203.jpg"/>
    <n v="0.23184941738870626"/>
    <s v="Moderate"/>
  </r>
  <r>
    <s v="ZL100858"/>
    <s v="https://www.zalando.de/burton-london-regular-fit-polo---royal-blue-zl100858/"/>
    <x v="58"/>
    <s v="Regular Fit POLO - ROYAL BLUE"/>
    <s v="Men's T-Shirts &amp; Polos"/>
    <x v="0"/>
    <x v="0"/>
    <s v="Royal Blue"/>
    <s v="S"/>
    <n v="20.45"/>
    <n v="15.72"/>
    <s v="SALE"/>
    <s v="EUR"/>
    <n v="279"/>
    <s v="4.9"/>
    <s v="37.0"/>
    <m/>
    <m/>
    <s v="No"/>
    <d v="2023-01-29T00:00:00"/>
    <s v="https://img01.ztat.net/article/ZL100858.jpg"/>
    <n v="0.23129584352078233"/>
    <s v="Moderate"/>
  </r>
  <r>
    <s v="ZL100718"/>
    <s v="https://www.zalando.de/element-print-t-shirt---off-white-zl100718/"/>
    <x v="52"/>
    <s v="Print T-SHIRT - OFF WHITE"/>
    <s v="Men's T-Shirts &amp; Polos"/>
    <x v="1"/>
    <x v="4"/>
    <s v="Off White"/>
    <s v="XS"/>
    <n v="17.559999999999999"/>
    <n v="13.51"/>
    <s v="SALE"/>
    <s v="EUR"/>
    <n v="483"/>
    <s v="3.7"/>
    <s v="36.0"/>
    <m/>
    <m/>
    <s v="Yes"/>
    <d v="2023-01-29T00:00:00"/>
    <s v="https://img01.ztat.net/article/ZL100718.jpg"/>
    <n v="0.23063781321184507"/>
    <s v="Moderate"/>
  </r>
  <r>
    <s v="ZL100472"/>
    <s v="https://www.zalando.de/champion-essential-t-shirt---grey-melange-zl100472/"/>
    <x v="103"/>
    <s v="Essential T-SHIRT - GREY MELANGE"/>
    <s v="Men's T-Shirts &amp; Polos"/>
    <x v="1"/>
    <x v="1"/>
    <s v="Grey Melange"/>
    <s v="S"/>
    <n v="14.45"/>
    <n v="11.12"/>
    <s v="SALE"/>
    <s v="EUR"/>
    <n v="904"/>
    <s v="4.5"/>
    <s v="35.0"/>
    <m/>
    <m/>
    <s v="No"/>
    <d v="2023-01-29T00:00:00"/>
    <s v="https://img01.ztat.net/article/ZL100472.jpg"/>
    <n v="0.23044982698961938"/>
    <s v="Moderate"/>
  </r>
  <r>
    <s v="ZL100740"/>
    <s v="https://www.zalando.de/tom-tailor-denim-slim-fit-t-shirt---off-white-zl100740/"/>
    <x v="72"/>
    <s v="Slim Fit T-SHIRT - OFF WHITE"/>
    <s v="Men's T-Shirts &amp; Polos"/>
    <x v="1"/>
    <x v="6"/>
    <s v="Off White"/>
    <s v="XS"/>
    <n v="9.16"/>
    <n v="7.05"/>
    <s v="SALE"/>
    <s v="EUR"/>
    <n v="544"/>
    <s v="3.1"/>
    <s v="31.0"/>
    <m/>
    <m/>
    <s v="Yes"/>
    <d v="2023-01-29T00:00:00"/>
    <s v="https://img01.ztat.net/article/ZL100740.jpg"/>
    <n v="0.23034934497816598"/>
    <s v="Moderate"/>
  </r>
  <r>
    <s v="ZL100760"/>
    <s v="https://www.zalando.de/hackett-london-print-t-shirt---navy-zl100760/"/>
    <x v="104"/>
    <s v="Print T-SHIRT - NAVY"/>
    <s v="Men's T-Shirts &amp; Polos"/>
    <x v="1"/>
    <x v="6"/>
    <s v="Navy"/>
    <s v="S"/>
    <n v="19.850000000000001"/>
    <n v="15.28"/>
    <s v="SALE"/>
    <s v="EUR"/>
    <n v="477"/>
    <s v="4.5"/>
    <s v="28.0"/>
    <m/>
    <m/>
    <s v="No"/>
    <d v="2023-01-29T00:00:00"/>
    <s v="https://img01.ztat.net/article/ZL100760.jpg"/>
    <n v="0.23022670025188927"/>
    <s v="Moderate"/>
  </r>
  <r>
    <s v="ZL100320"/>
    <s v="https://www.zalando.de/ltb-essential-polo---off-white-zl100320/"/>
    <x v="67"/>
    <s v="Essential POLO - OFF WHITE"/>
    <s v="Men's T-Shirts &amp; Polos"/>
    <x v="0"/>
    <x v="2"/>
    <s v="Off White"/>
    <s v="M"/>
    <n v="9.6"/>
    <n v="7.4"/>
    <s v="SALE"/>
    <s v="EUR"/>
    <n v="86"/>
    <s v="4.6"/>
    <s v="39.0"/>
    <m/>
    <m/>
    <s v="Yes"/>
    <d v="2023-01-29T00:00:00"/>
    <s v="https://img01.ztat.net/article/ZL100320.jpg"/>
    <n v="0.2291666666666666"/>
    <s v="Moderate"/>
  </r>
  <r>
    <s v="ZL100703"/>
    <s v="https://www.zalando.de/under-armour-slim-fit-polo---navy-zl100703/"/>
    <x v="96"/>
    <s v="Slim Fit POLO - NAVY"/>
    <s v="Men's T-Shirts &amp; Polos"/>
    <x v="0"/>
    <x v="2"/>
    <s v="Navy"/>
    <s v="M"/>
    <n v="12.76"/>
    <n v="9.84"/>
    <s v="SALE"/>
    <s v="EUR"/>
    <n v="765"/>
    <s v="0"/>
    <s v="38.0"/>
    <m/>
    <m/>
    <s v="Yes"/>
    <d v="2023-01-29T00:00:00"/>
    <s v="https://img01.ztat.net/article/ZL100703.jpg"/>
    <n v="0.22884012539184953"/>
    <s v="Moderate"/>
  </r>
  <r>
    <s v="ZL100353"/>
    <s v="https://www.zalando.de/casual-friday-essential-polo---black-zl100353/"/>
    <x v="86"/>
    <s v="Essential POLO - BLACK"/>
    <s v="Men's T-Shirts &amp; Polos"/>
    <x v="0"/>
    <x v="2"/>
    <s v="Black"/>
    <s v="XS"/>
    <n v="11.31"/>
    <n v="8.75"/>
    <s v="SALE"/>
    <s v="EUR"/>
    <n v="910"/>
    <s v="0"/>
    <s v="29.0"/>
    <m/>
    <m/>
    <s v="Yes"/>
    <d v="2023-01-29T00:00:00"/>
    <s v="https://img01.ztat.net/article/ZL100353.jpg"/>
    <n v="0.22634836427939881"/>
    <s v="Moderate"/>
  </r>
  <r>
    <s v="ZL100559"/>
    <s v="https://www.zalando.de/nike-regular-fit-t-shirt---white-zl100559/"/>
    <x v="25"/>
    <s v="Regular Fit T-SHIRT - WHITE"/>
    <s v="Men's T-Shirts &amp; Polos"/>
    <x v="1"/>
    <x v="6"/>
    <s v="White"/>
    <s v="M"/>
    <n v="27.14"/>
    <n v="21.03"/>
    <s v="SALE"/>
    <s v="EUR"/>
    <n v="377"/>
    <s v="4.7"/>
    <s v="0"/>
    <m/>
    <m/>
    <s v="Yes"/>
    <d v="2023-01-29T00:00:00"/>
    <s v="https://img01.ztat.net/article/ZL100559.jpg"/>
    <n v="0.22512896094325716"/>
    <s v="Moderate"/>
  </r>
  <r>
    <s v="ZL100083"/>
    <s v="https://www.zalando.de/celio-basic-polo---khaki-zl100083/"/>
    <x v="74"/>
    <s v="Basic POLO - KHAKI"/>
    <s v="Men's T-Shirts &amp; Polos"/>
    <x v="0"/>
    <x v="0"/>
    <s v="Khaki"/>
    <s v="XS"/>
    <n v="31.94"/>
    <n v="24.83"/>
    <s v="SALE"/>
    <s v="EUR"/>
    <n v="648"/>
    <s v="0"/>
    <s v="42.0"/>
    <m/>
    <m/>
    <s v="Yes"/>
    <d v="2023-01-29T00:00:00"/>
    <s v="https://img01.ztat.net/article/ZL100083.jpg"/>
    <n v="0.22260488415779595"/>
    <s v="Moderate"/>
  </r>
  <r>
    <s v="ZL100211"/>
    <s v="https://www.zalando.de/nn07-regular-fit-t-shirt---dark-blue-zl100211/"/>
    <x v="25"/>
    <s v="Regular Fit T-SHIRT - DARK BLUE"/>
    <s v="Men's T-Shirts &amp; Polos"/>
    <x v="1"/>
    <x v="5"/>
    <s v="Dark Blue"/>
    <s v="S"/>
    <n v="25.34"/>
    <n v="19.7"/>
    <s v="SALE"/>
    <s v="EUR"/>
    <n v="365"/>
    <s v="4.2"/>
    <s v="33.0"/>
    <m/>
    <m/>
    <s v="No"/>
    <d v="2023-01-29T00:00:00"/>
    <s v="https://img01.ztat.net/article/ZL100211.jpg"/>
    <n v="0.22257300710339387"/>
    <s v="Moderate"/>
  </r>
  <r>
    <s v="ZL100259"/>
    <s v="https://www.zalando.de/jack-wolfskin-print-t-shirt---khaki-zl100259/"/>
    <x v="105"/>
    <s v="Print T-SHIRT - KHAKI"/>
    <s v="Men's T-Shirts &amp; Polos"/>
    <x v="1"/>
    <x v="4"/>
    <s v="Khaki"/>
    <s v="S"/>
    <n v="10.88"/>
    <n v="8.5"/>
    <s v="SALE"/>
    <s v="EUR"/>
    <n v="463"/>
    <s v="4.2"/>
    <s v="40.0"/>
    <m/>
    <m/>
    <s v="Yes"/>
    <d v="2023-01-29T00:00:00"/>
    <s v="https://img01.ztat.net/article/ZL100259.jpg"/>
    <n v="0.21875000000000006"/>
    <s v="Moderate"/>
  </r>
  <r>
    <s v="ZL100084"/>
    <s v="https://www.zalando.de/burton-basic-polo---grey-melange-zl100084/"/>
    <x v="58"/>
    <s v="Basic POLO - GREY MELANGE"/>
    <s v="Men's T-Shirts &amp; Polos"/>
    <x v="0"/>
    <x v="2"/>
    <s v="Grey Melange"/>
    <s v="S"/>
    <n v="34.619999999999997"/>
    <n v="27.06"/>
    <s v="SALE"/>
    <s v="EUR"/>
    <n v="294"/>
    <s v="4.5"/>
    <s v="35.0"/>
    <m/>
    <m/>
    <s v="No"/>
    <d v="2023-01-29T00:00:00"/>
    <s v="https://img01.ztat.net/article/ZL100084.jpg"/>
    <n v="0.21837088388214904"/>
    <s v="Moderate"/>
  </r>
  <r>
    <s v="ZL100949"/>
    <s v="https://www.zalando.de/björn-borg-essential-polo---dark-blue-zl100949/"/>
    <x v="89"/>
    <s v="Essential POLO - DARK BLUE"/>
    <s v="Men's T-Shirts &amp; Polos"/>
    <x v="0"/>
    <x v="2"/>
    <s v="Dark Blue"/>
    <s v="XS"/>
    <n v="12.36"/>
    <n v="9.67"/>
    <s v="SALE"/>
    <s v="EUR"/>
    <n v="858"/>
    <s v="0"/>
    <s v="35.0"/>
    <m/>
    <m/>
    <s v="No"/>
    <d v="2023-01-29T00:00:00"/>
    <s v="https://img01.ztat.net/article/ZL100949.jpg"/>
    <n v="0.2176375404530744"/>
    <s v="Moderate"/>
  </r>
  <r>
    <s v="ZL100824"/>
    <s v="https://www.zalando.de/mango-man-slim-fit-polo---navy-zl100824/"/>
    <x v="5"/>
    <s v="Slim Fit POLO - NAVY"/>
    <s v="Men's T-Shirts &amp; Polos"/>
    <x v="0"/>
    <x v="2"/>
    <s v="Navy"/>
    <s v="XS"/>
    <n v="8.99"/>
    <n v="7.05"/>
    <s v="SALE"/>
    <s v="EUR"/>
    <n v="542"/>
    <s v="3.3"/>
    <s v="39.0"/>
    <m/>
    <m/>
    <s v="Yes"/>
    <d v="2023-01-29T00:00:00"/>
    <s v="https://img01.ztat.net/article/ZL100824.jpg"/>
    <n v="0.21579532814238045"/>
    <s v="Moderate"/>
  </r>
  <r>
    <s v="ZL100560"/>
    <s v="https://www.zalando.de/tommy-hilfiger-slim-fit-t-shirt---black-zl100560/"/>
    <x v="8"/>
    <s v="Slim Fit T-SHIRT - BLACK"/>
    <s v="Men's T-Shirts &amp; Polos"/>
    <x v="1"/>
    <x v="6"/>
    <s v="Black"/>
    <s v="XS"/>
    <n v="8.99"/>
    <n v="7.06"/>
    <s v="SALE"/>
    <s v="EUR"/>
    <n v="737"/>
    <s v="3.9"/>
    <s v="34.0"/>
    <m/>
    <m/>
    <s v="Yes"/>
    <d v="2023-01-29T00:00:00"/>
    <s v="https://img01.ztat.net/article/ZL100560.jpg"/>
    <n v="0.21468298109010017"/>
    <s v="Moderate"/>
  </r>
  <r>
    <s v="ZL100667"/>
    <s v="https://www.zalando.de/adidas-performance-regular-fit-t-shirt---olive-zl100667/"/>
    <x v="6"/>
    <s v="Regular Fit T-SHIRT - OLIVE"/>
    <s v="Men's T-Shirts &amp; Polos"/>
    <x v="1"/>
    <x v="5"/>
    <s v="Olive"/>
    <s v="S"/>
    <n v="12.69"/>
    <n v="9.9700000000000006"/>
    <s v="SALE"/>
    <s v="EUR"/>
    <n v="759"/>
    <s v="4.7"/>
    <s v="41.0"/>
    <m/>
    <m/>
    <s v="Yes"/>
    <d v="2023-01-29T00:00:00"/>
    <s v="https://img01.ztat.net/article/ZL100667.jpg"/>
    <n v="0.21434200157604405"/>
    <s v="Moderate"/>
  </r>
  <r>
    <s v="ZL100185"/>
    <s v="https://www.zalando.de/vans-slim-fit-t-shirt---dark-green-zl100185/"/>
    <x v="18"/>
    <s v="Slim Fit T-SHIRT - DARK GREEN"/>
    <s v="Men's T-Shirts &amp; Polos"/>
    <x v="1"/>
    <x v="4"/>
    <s v="Dark Green"/>
    <s v="XS"/>
    <n v="17.03"/>
    <n v="13.41"/>
    <s v="SALE"/>
    <s v="EUR"/>
    <n v="264"/>
    <s v="3.1"/>
    <s v="27.0"/>
    <m/>
    <m/>
    <s v="Yes"/>
    <d v="2023-01-29T00:00:00"/>
    <s v="https://img01.ztat.net/article/ZL100185.jpg"/>
    <n v="0.21256605989430422"/>
    <s v="Moderate"/>
  </r>
  <r>
    <s v="ZL100072"/>
    <s v="https://www.zalando.de/mazine-slim-fit-t-shirt---khaki-zl100072/"/>
    <x v="51"/>
    <s v="Slim Fit T-SHIRT - KHAKI"/>
    <s v="Men's T-Shirts &amp; Polos"/>
    <x v="1"/>
    <x v="4"/>
    <s v="Khaki"/>
    <s v=""/>
    <n v="32.99"/>
    <n v="26.01"/>
    <s v="SALE"/>
    <s v="EUR"/>
    <n v="259"/>
    <s v="3.3"/>
    <s v="37.0"/>
    <m/>
    <m/>
    <s v="No"/>
    <d v="2023-01-29T00:00:00"/>
    <s v="https://img01.ztat.net/article/ZL100072.jpg"/>
    <n v="0.21157926644437708"/>
    <s v="Moderate"/>
  </r>
  <r>
    <s v="ZL100285"/>
    <s v="https://www.zalando.de/vans-basic-t-shirt---grey-melange-zl100285/"/>
    <x v="18"/>
    <s v="Basic T-SHIRT - GREY MELANGE"/>
    <s v="Men's T-Shirts &amp; Polos"/>
    <x v="1"/>
    <x v="5"/>
    <s v="Grey Melange"/>
    <s v="S"/>
    <n v="12.14"/>
    <n v="9.6300000000000008"/>
    <s v="SALE"/>
    <s v="EUR"/>
    <n v="182"/>
    <s v="4.1"/>
    <s v="43.0"/>
    <m/>
    <m/>
    <s v="Yes"/>
    <d v="2023-01-29T00:00:00"/>
    <s v="https://img01.ztat.net/article/ZL100285.jpg"/>
    <n v="0.20675453047775944"/>
    <s v="Moderate"/>
  </r>
  <r>
    <s v="ZL100644"/>
    <s v="https://www.zalando.de/jack-jones-junior-essential-t-shirt---red-zl100644/"/>
    <x v="34"/>
    <s v="Essential T-SHIRT - RED"/>
    <s v="Men's T-Shirts &amp; Polos"/>
    <x v="1"/>
    <x v="1"/>
    <s v="Red"/>
    <s v="M"/>
    <n v="40.94"/>
    <n v="32.51"/>
    <s v="SALE"/>
    <s v="EUR"/>
    <n v="325"/>
    <s v="4.4"/>
    <s v="0"/>
    <m/>
    <m/>
    <s v="Yes"/>
    <d v="2023-01-29T00:00:00"/>
    <s v="https://img01.ztat.net/article/ZL100644.jpg"/>
    <n v="0.20591108939912067"/>
    <s v="Moderate"/>
  </r>
  <r>
    <s v="ZL100410"/>
    <s v="https://www.zalando.de/adidas-performance-print-t-shirt---rust-zl100410/"/>
    <x v="6"/>
    <s v="Print T-SHIRT - RUST"/>
    <s v="Men's T-Shirts &amp; Polos"/>
    <x v="1"/>
    <x v="5"/>
    <m/>
    <s v="XS"/>
    <n v="13.54"/>
    <n v="10.78"/>
    <s v="SALE"/>
    <s v="EUR"/>
    <n v="372"/>
    <s v="3.7"/>
    <s v="41.0"/>
    <m/>
    <m/>
    <s v="Yes"/>
    <d v="2023-01-29T00:00:00"/>
    <s v="https://img01.ztat.net/article/ZL100410.jpg"/>
    <n v="0.20384047267355981"/>
    <s v="Moderate"/>
  </r>
  <r>
    <s v="ZL100229"/>
    <s v="https://www.zalando.de/produkt-essential-polo---black-zl100229/"/>
    <x v="0"/>
    <s v="Essential POLO - BLACK"/>
    <s v="Men's T-Shirts &amp; Polos"/>
    <x v="0"/>
    <x v="3"/>
    <s v="Black"/>
    <s v="XS"/>
    <n v="8.99"/>
    <n v="7.18"/>
    <s v="SALE"/>
    <s v="EUR"/>
    <n v="530"/>
    <s v="0"/>
    <s v="37.0"/>
    <m/>
    <m/>
    <s v="Yes"/>
    <d v="2023-01-29T00:00:00"/>
    <s v="https://img01.ztat.net/article/ZL100229.jpg"/>
    <n v="0.20133481646273643"/>
    <s v="Moderate"/>
  </r>
  <r>
    <s v="ZL100355"/>
    <s v="https://www.zalando.de/craft-sportswear-print-t-shirt---royal-blue-zl100355/"/>
    <x v="31"/>
    <s v="Print T-SHIRT - ROYAL BLUE"/>
    <s v="Men's T-Shirts &amp; Polos"/>
    <x v="1"/>
    <x v="4"/>
    <s v="Royal Blue"/>
    <s v=""/>
    <n v="8.99"/>
    <n v="7.18"/>
    <s v="SALE"/>
    <s v="EUR"/>
    <n v="712"/>
    <s v="3.6"/>
    <s v="34.0"/>
    <m/>
    <m/>
    <s v="Yes"/>
    <d v="2023-01-29T00:00:00"/>
    <s v="https://img01.ztat.net/article/ZL100355.jpg"/>
    <n v="0.20133481646273643"/>
    <s v="Moderate"/>
  </r>
  <r>
    <s v="ZL100506"/>
    <s v="https://www.zalando.de/adidas-performance-regular-fit-t-shirt---black-zl100506/"/>
    <x v="6"/>
    <s v="Regular Fit T-SHIRT - BLACK"/>
    <s v="Men's T-Shirts &amp; Polos"/>
    <x v="1"/>
    <x v="5"/>
    <s v="Black"/>
    <s v="XS"/>
    <n v="11.58"/>
    <n v="9.26"/>
    <s v="SALE"/>
    <s v="EUR"/>
    <n v="186"/>
    <s v="3.5"/>
    <s v="35.0"/>
    <m/>
    <m/>
    <s v="No"/>
    <d v="2023-01-29T00:00:00"/>
    <s v="https://img01.ztat.net/article/ZL100506.jpg"/>
    <n v="0.20034542314335063"/>
    <s v="Moderate"/>
  </r>
  <r>
    <s v="ZL100807"/>
    <s v="https://www.zalando.de/calvin-klein-regular-fit-polo---red-zl100807/"/>
    <x v="14"/>
    <s v="Regular Fit POLO - RED"/>
    <s v="Men's T-Shirts &amp; Polos"/>
    <x v="0"/>
    <x v="0"/>
    <s v="Red"/>
    <s v="XS"/>
    <n v="8.99"/>
    <n v="7.19"/>
    <s v="SALE"/>
    <s v="EUR"/>
    <n v="310"/>
    <s v="4.0"/>
    <s v="41.0"/>
    <m/>
    <m/>
    <s v="Yes"/>
    <d v="2023-01-29T00:00:00"/>
    <s v="https://img01.ztat.net/article/ZL100807.jpg"/>
    <n v="0.20022246941045604"/>
    <s v="Moderate"/>
  </r>
  <r>
    <s v="ZL100325"/>
    <s v="https://www.zalando.de/anti-fashion-essential-t-shirt---grey-melange-zl100325/"/>
    <x v="106"/>
    <s v="Essential T-SHIRT - GREY MELANGE"/>
    <s v="Men's T-Shirts &amp; Polos"/>
    <x v="1"/>
    <x v="1"/>
    <s v="Grey Melange"/>
    <s v="M"/>
    <n v="22.03"/>
    <n v="17.66"/>
    <s v="SALE"/>
    <s v="EUR"/>
    <n v="663"/>
    <s v="0"/>
    <s v="47.0"/>
    <m/>
    <m/>
    <s v="Yes"/>
    <d v="2023-01-29T00:00:00"/>
    <s v="https://img01.ztat.net/article/ZL100325.jpg"/>
    <n v="0.1983658647299138"/>
    <s v="Light"/>
  </r>
  <r>
    <s v="ZL100385"/>
    <s v="https://www.zalando.de/blend-she-slim-fit-t-shirt---bordeaux-zl100385/"/>
    <x v="38"/>
    <s v="Slim Fit T-SHIRT - BORDEAUX"/>
    <s v="Men's T-Shirts &amp; Polos"/>
    <x v="1"/>
    <x v="1"/>
    <s v="Bordeaux"/>
    <s v=""/>
    <n v="16.45"/>
    <n v="13.22"/>
    <s v="SALE"/>
    <s v="EUR"/>
    <n v="11"/>
    <s v="4.6"/>
    <s v="33.0"/>
    <m/>
    <m/>
    <s v="Yes"/>
    <d v="2023-01-29T00:00:00"/>
    <s v="https://img01.ztat.net/article/ZL100385.jpg"/>
    <n v="0.19635258358662608"/>
    <s v="Light"/>
  </r>
  <r>
    <s v="ZL100758"/>
    <s v="https://www.zalando.de/nn07-print-polo---olive-zl100758/"/>
    <x v="25"/>
    <s v="Print POLO - OLIVE"/>
    <s v="Men's T-Shirts &amp; Polos"/>
    <x v="0"/>
    <x v="0"/>
    <s v="Olive"/>
    <s v="S"/>
    <n v="28.64"/>
    <n v="23.04"/>
    <s v="SALE"/>
    <s v="EUR"/>
    <n v="141"/>
    <s v="N/A"/>
    <s v="46.0"/>
    <m/>
    <m/>
    <s v="Yes"/>
    <d v="2023-01-29T00:00:00"/>
    <s v="https://img01.ztat.net/article/ZL100758.jpg"/>
    <n v="0.19553072625698328"/>
    <s v="Light"/>
  </r>
  <r>
    <s v="ZL100069"/>
    <s v="https://www.zalando.de/boss-orange-print-polo---black-zl100069/"/>
    <x v="107"/>
    <s v="Print POLO - BLACK"/>
    <s v="Men's T-Shirts &amp; Polos"/>
    <x v="0"/>
    <x v="2"/>
    <s v="Black"/>
    <s v="XS"/>
    <n v="11.32"/>
    <n v="9.11"/>
    <s v="SALE"/>
    <s v="EUR"/>
    <n v="15"/>
    <s v="3.5"/>
    <s v="32.0"/>
    <m/>
    <m/>
    <s v="No"/>
    <d v="2023-01-29T00:00:00"/>
    <s v="https://img01.ztat.net/article/ZL100069.jpg"/>
    <n v="0.19522968197879867"/>
    <s v="Light"/>
  </r>
  <r>
    <s v="ZL100845"/>
    <s v="https://www.zalando.de/q/s-designed-by-slim-fit-polo---dark-green-zl100845/"/>
    <x v="92"/>
    <s v="Slim Fit POLO - DARK GREEN"/>
    <s v="Men's T-Shirts &amp; Polos"/>
    <x v="0"/>
    <x v="0"/>
    <s v="Dark Green"/>
    <s v="S"/>
    <n v="11.98"/>
    <n v="9.65"/>
    <s v="SALE"/>
    <s v="EUR"/>
    <n v="853"/>
    <s v="4.4"/>
    <s v="40.0"/>
    <m/>
    <m/>
    <s v="No"/>
    <d v="2023-01-29T00:00:00"/>
    <s v="https://img01.ztat.net/article/ZL100845.jpg"/>
    <n v="0.19449081803005008"/>
    <s v="Light"/>
  </r>
  <r>
    <s v="ZL100941"/>
    <s v="https://www.zalando.de/gant-essential-polo---grey-melange-zl100941/"/>
    <x v="108"/>
    <s v="Essential POLO - GREY MELANGE"/>
    <s v="Men's T-Shirts &amp; Polos"/>
    <x v="0"/>
    <x v="0"/>
    <s v="Grey Melange"/>
    <s v="S"/>
    <n v="19.11"/>
    <n v="15.41"/>
    <s v="SALE"/>
    <s v="EUR"/>
    <n v="91"/>
    <s v="4.1"/>
    <s v="39.0"/>
    <m/>
    <m/>
    <s v="No"/>
    <d v="2023-01-29T00:00:00"/>
    <s v="https://img01.ztat.net/article/ZL100941.jpg"/>
    <n v="0.19361590790162217"/>
    <s v="Light"/>
  </r>
  <r>
    <s v="ZL100221"/>
    <s v="https://www.zalando.de/converse-print-polo---light-grey-zl100221/"/>
    <x v="54"/>
    <s v="Print POLO - LIGHT GREY"/>
    <s v="Men's T-Shirts &amp; Polos"/>
    <x v="0"/>
    <x v="3"/>
    <s v="Light Grey"/>
    <s v="XS"/>
    <n v="22.24"/>
    <n v="17.95"/>
    <s v="SALE"/>
    <s v="EUR"/>
    <n v="976"/>
    <s v="4.7"/>
    <s v="35.0"/>
    <m/>
    <m/>
    <s v="Yes"/>
    <d v="2023-01-29T00:00:00"/>
    <s v="https://img01.ztat.net/article/ZL100221.jpg"/>
    <n v="0.19289568345323738"/>
    <s v="Light"/>
  </r>
  <r>
    <s v="ZL100417"/>
    <s v="https://www.zalando.de/adidas-performance-essential-polo---dark-green-zl100417/"/>
    <x v="6"/>
    <s v="Essential POLO - DARK GREEN"/>
    <s v="Men's T-Shirts &amp; Polos"/>
    <x v="0"/>
    <x v="2"/>
    <s v="Dark Green"/>
    <s v="XS"/>
    <n v="23.67"/>
    <n v="19.11"/>
    <s v="SALE"/>
    <s v="EUR"/>
    <n v="285"/>
    <s v="4.6"/>
    <s v="27.0"/>
    <m/>
    <m/>
    <s v="No"/>
    <d v="2023-01-29T00:00:00"/>
    <s v="https://img01.ztat.net/article/ZL100417.jpg"/>
    <n v="0.19264892268694558"/>
    <s v="Light"/>
  </r>
  <r>
    <s v="ZL100582"/>
    <s v="https://www.zalando.de/calvin-klein-regular-fit-polo---light-grey-zl100582/"/>
    <x v="14"/>
    <s v="Regular Fit POLO - LIGHT GREY"/>
    <s v="Men's T-Shirts &amp; Polos"/>
    <x v="0"/>
    <x v="2"/>
    <s v="Light Grey"/>
    <s v="S"/>
    <n v="12.82"/>
    <n v="10.38"/>
    <s v="SALE"/>
    <s v="EUR"/>
    <n v="137"/>
    <s v="4.5"/>
    <s v="0"/>
    <m/>
    <m/>
    <s v="Yes"/>
    <d v="2023-01-29T00:00:00"/>
    <s v="https://img01.ztat.net/article/ZL100582.jpg"/>
    <n v="0.19032761310452415"/>
    <s v="Light"/>
  </r>
  <r>
    <s v="ZL100487"/>
    <s v="https://www.zalando.de/jack-wolfskin-basic-polo---navy-zl100487/"/>
    <x v="105"/>
    <s v="Basic POLO - NAVY"/>
    <s v="Men's T-Shirts &amp; Polos"/>
    <x v="0"/>
    <x v="0"/>
    <s v="Navy"/>
    <s v="XS"/>
    <n v="8.99"/>
    <n v="7.28"/>
    <s v="SALE"/>
    <s v="EUR"/>
    <n v="242"/>
    <s v="4.3"/>
    <s v="29.0"/>
    <m/>
    <m/>
    <s v="Yes"/>
    <d v="2023-01-29T00:00:00"/>
    <s v="https://img01.ztat.net/article/ZL100487.jpg"/>
    <n v="0.19021134593993325"/>
    <s v="Light"/>
  </r>
  <r>
    <s v="ZL100168"/>
    <s v="https://www.zalando.de/tommy-hilfiger-print-t-shirt---anthracite-zl100168/"/>
    <x v="8"/>
    <s v="Print T-SHIRT - ANTHRACITE"/>
    <s v="Men's T-Shirts &amp; Polos"/>
    <x v="1"/>
    <x v="1"/>
    <s v="Anthracite"/>
    <s v="M"/>
    <n v="12.12"/>
    <n v="9.82"/>
    <s v="SALE"/>
    <s v="EUR"/>
    <n v="163"/>
    <s v="3.7"/>
    <s v="38.0"/>
    <m/>
    <m/>
    <s v="Yes"/>
    <d v="2023-01-29T00:00:00"/>
    <s v="https://img01.ztat.net/article/ZL100168.jpg"/>
    <n v="0.18976897689768971"/>
    <s v="Light"/>
  </r>
  <r>
    <s v="ZL100397"/>
    <s v="https://www.zalando.de/nike-slim-fit-t-shirt---anthracite-zl100397/"/>
    <x v="25"/>
    <s v="Slim Fit T-SHIRT - ANTHRACITE"/>
    <s v="Men's T-Shirts &amp; Polos"/>
    <x v="1"/>
    <x v="1"/>
    <s v="Anthracite"/>
    <s v="XS"/>
    <n v="17.149999999999999"/>
    <n v="13.93"/>
    <s v="SALE"/>
    <s v="EUR"/>
    <n v="246"/>
    <s v="0"/>
    <s v="34.0"/>
    <m/>
    <m/>
    <s v="No"/>
    <d v="2023-01-29T00:00:00"/>
    <s v="https://img01.ztat.net/article/ZL100397.jpg"/>
    <n v="0.18775510204081627"/>
    <s v="Light"/>
  </r>
  <r>
    <s v="ZL100411"/>
    <s v="https://www.zalando.de/olymp-essential-t-shirt---off-white-zl100411/"/>
    <x v="80"/>
    <s v="Essential T-SHIRT - OFF WHITE"/>
    <s v="Men's T-Shirts &amp; Polos"/>
    <x v="1"/>
    <x v="4"/>
    <s v="Off White"/>
    <s v="S"/>
    <n v="11.83"/>
    <n v="9.6300000000000008"/>
    <s v="SALE"/>
    <s v="EUR"/>
    <n v="577"/>
    <s v="3.6"/>
    <s v="30.0"/>
    <m/>
    <m/>
    <s v="Yes"/>
    <d v="2023-01-29T00:00:00"/>
    <s v="https://img01.ztat.net/article/ZL100411.jpg"/>
    <n v="0.18596787827557051"/>
    <s v="Light"/>
  </r>
  <r>
    <s v="ZL100198"/>
    <s v="https://www.zalando.de/only-and-sons-denim-essential-polo---anthracite-zl100198/"/>
    <x v="61"/>
    <s v="Essential POLO - ANTHRACITE"/>
    <s v="Men's T-Shirts &amp; Polos"/>
    <x v="0"/>
    <x v="0"/>
    <s v="Anthracite"/>
    <s v="XS"/>
    <n v="10.67"/>
    <n v="8.69"/>
    <s v="SALE"/>
    <s v="EUR"/>
    <n v="847"/>
    <s v="4.4"/>
    <s v="44.0"/>
    <m/>
    <m/>
    <s v="No"/>
    <d v="2023-01-29T00:00:00"/>
    <s v="https://img01.ztat.net/article/ZL100198.jpg"/>
    <n v="0.18556701030927839"/>
    <s v="Light"/>
  </r>
  <r>
    <s v="ZL100869"/>
    <s v="https://www.zalando.de/urban-classics-essential-polo---bordeaux-zl100869/"/>
    <x v="36"/>
    <s v="Essential POLO - BORDEAUX"/>
    <s v="Men's T-Shirts &amp; Polos"/>
    <x v="0"/>
    <x v="2"/>
    <s v="Bordeaux"/>
    <s v="XS"/>
    <n v="11.3"/>
    <n v="9.23"/>
    <s v="SALE"/>
    <s v="EUR"/>
    <n v="164"/>
    <s v="N/A"/>
    <s v="35.0"/>
    <m/>
    <m/>
    <s v="Yes"/>
    <d v="2023-01-29T00:00:00"/>
    <s v="https://img01.ztat.net/article/ZL100869.jpg"/>
    <n v="0.18318584070796462"/>
    <s v="Light"/>
  </r>
  <r>
    <s v="ZL100055"/>
    <s v="https://www.zalando.de/only-and-sons-denim-essential-polo---rust-zl100055/"/>
    <x v="61"/>
    <s v="Essential POLO - RUST"/>
    <s v="Men's T-Shirts &amp; Polos"/>
    <x v="0"/>
    <x v="0"/>
    <m/>
    <s v="S"/>
    <n v="16.03"/>
    <n v="13.1"/>
    <s v="SALE"/>
    <s v="EUR"/>
    <n v="286"/>
    <s v="3.3"/>
    <s v="33.0"/>
    <m/>
    <m/>
    <s v="Yes"/>
    <d v="2023-01-29T00:00:00"/>
    <s v="https://img01.ztat.net/article/ZL100055.jpg"/>
    <n v="0.18278228321896453"/>
    <s v="Light"/>
  </r>
  <r>
    <s v="ZL100451"/>
    <s v="https://www.zalando.de/petrol-industries-basic-t-shirt---bordeaux-zl100451/"/>
    <x v="7"/>
    <s v="Basic T-SHIRT - BORDEAUX"/>
    <s v="Men's T-Shirts &amp; Polos"/>
    <x v="1"/>
    <x v="4"/>
    <m/>
    <s v="S"/>
    <n v="12"/>
    <n v="9.83"/>
    <s v="SALE"/>
    <s v="EUR"/>
    <n v="459"/>
    <s v="4.8"/>
    <s v="27.0"/>
    <m/>
    <m/>
    <s v="Yes"/>
    <d v="2023-01-29T00:00:00"/>
    <s v="https://img01.ztat.net/article/ZL100451.jpg"/>
    <n v="0.18083333333333332"/>
    <s v="Light"/>
  </r>
  <r>
    <s v="ZL100998"/>
    <s v="https://www.zalando.de/pier-1-essential-polo---khaki-zl100998/"/>
    <x v="62"/>
    <s v="Essential POLO - KHAKI"/>
    <s v="Men's T-Shirts &amp; Polos"/>
    <x v="0"/>
    <x v="0"/>
    <s v="Khaki"/>
    <s v="M"/>
    <n v="27.16"/>
    <n v="22.46"/>
    <s v="SALE"/>
    <s v="EUR"/>
    <n v="988"/>
    <s v="3.2"/>
    <s v="31.0"/>
    <m/>
    <m/>
    <s v="Yes"/>
    <d v="2023-01-29T00:00:00"/>
    <s v="https://img01.ztat.net/article/ZL100998.jpg"/>
    <n v="0.1730486008836524"/>
    <s v="Light"/>
  </r>
  <r>
    <s v="ZL100376"/>
    <s v="https://www.zalando.de/nike-essential-t-shirt---bordeaux-zl100376/"/>
    <x v="25"/>
    <s v="Essential T-SHIRT - BORDEAUX"/>
    <s v="Men's T-Shirts &amp; Polos"/>
    <x v="1"/>
    <x v="4"/>
    <s v="Bordeaux"/>
    <s v="XS"/>
    <n v="40.19"/>
    <n v="33.299999999999997"/>
    <s v="SALE"/>
    <s v="EUR"/>
    <n v="152"/>
    <s v="4.4"/>
    <s v="35.0"/>
    <m/>
    <m/>
    <s v="No"/>
    <d v="2023-01-29T00:00:00"/>
    <s v="https://img01.ztat.net/article/ZL100376.jpg"/>
    <n v="0.17143568051754171"/>
    <s v="Light"/>
  </r>
  <r>
    <s v="ZL100500"/>
    <s v="https://www.zalando.de/j.lindeberg-print-polo---light-grey-zl100500/"/>
    <x v="10"/>
    <s v="Print POLO - LIGHT GREY"/>
    <s v="Men's T-Shirts &amp; Polos"/>
    <x v="0"/>
    <x v="0"/>
    <s v="Light Grey"/>
    <s v="S"/>
    <n v="11.58"/>
    <n v="9.68"/>
    <s v="SALE"/>
    <s v="EUR"/>
    <n v="135"/>
    <s v="3.2"/>
    <s v="34.0"/>
    <m/>
    <m/>
    <s v="Yes"/>
    <d v="2023-01-29T00:00:00"/>
    <s v="https://img01.ztat.net/article/ZL100500.jpg"/>
    <n v="0.16407599309153717"/>
    <s v="Light"/>
  </r>
  <r>
    <s v="ZL100610"/>
    <s v="https://www.zalando.de/weekday-basic-polo---dark-green-zl100610/"/>
    <x v="46"/>
    <s v="Basic POLO - DARK GREEN"/>
    <s v="Men's T-Shirts &amp; Polos"/>
    <x v="0"/>
    <x v="2"/>
    <s v="Dark Green"/>
    <s v="XS"/>
    <n v="8.99"/>
    <n v="7.52"/>
    <s v="SALE"/>
    <s v="EUR"/>
    <n v="687"/>
    <s v="4.0"/>
    <s v="31.0"/>
    <m/>
    <m/>
    <s v="Yes"/>
    <d v="2023-01-29T00:00:00"/>
    <s v="https://img01.ztat.net/article/ZL100610.jpg"/>
    <n v="0.16351501668520585"/>
    <s v="Light"/>
  </r>
  <r>
    <s v="ZL100255"/>
    <s v="https://www.zalando.de/ea7-emporio-armani-print-t-shirt---olive-zl100255/"/>
    <x v="109"/>
    <s v="Print T-SHIRT - OLIVE"/>
    <s v="Men's T-Shirts &amp; Polos"/>
    <x v="1"/>
    <x v="4"/>
    <s v="Olive"/>
    <s v="S"/>
    <n v="16.059999999999999"/>
    <n v="13.48"/>
    <s v="SALE"/>
    <s v="EUR"/>
    <n v="618"/>
    <s v="0"/>
    <s v="32.0"/>
    <m/>
    <m/>
    <s v="Yes"/>
    <d v="2023-01-29T00:00:00"/>
    <s v="https://img01.ztat.net/article/ZL100255.jpg"/>
    <n v="0.16064757160647564"/>
    <s v="Light"/>
  </r>
  <r>
    <s v="ZL100133"/>
    <s v="https://www.zalando.de/jack-jones-junior-regular-fit-t-shirt---rust-zl100133/"/>
    <x v="34"/>
    <s v="Regular Fit T-SHIRT - RUST"/>
    <s v="Men's T-Shirts &amp; Polos"/>
    <x v="1"/>
    <x v="5"/>
    <s v="Rust"/>
    <s v="S"/>
    <n v="60.32"/>
    <n v="50.85"/>
    <s v="SALE"/>
    <s v="EUR"/>
    <n v="263"/>
    <s v="0"/>
    <s v="48.0"/>
    <m/>
    <m/>
    <s v="No"/>
    <d v="2023-01-29T00:00:00"/>
    <s v="https://img01.ztat.net/article/ZL100133.jpg"/>
    <n v="0.15699602122015913"/>
    <s v="Light"/>
  </r>
  <r>
    <s v="ZL100113"/>
    <s v="https://www.zalando.de/calvin-klein-essential-t-shirt---red-zl100113/"/>
    <x v="14"/>
    <s v="Essential T-SHIRT - RED"/>
    <s v="Men's T-Shirts &amp; Polos"/>
    <x v="1"/>
    <x v="5"/>
    <s v="Red"/>
    <s v="S"/>
    <n v="9.6199999999999992"/>
    <n v="8.1199999999999992"/>
    <s v="SALE"/>
    <s v="EUR"/>
    <n v="415"/>
    <s v="3.8"/>
    <s v="37.0"/>
    <m/>
    <m/>
    <s v="Yes"/>
    <d v="2023-01-29T00:00:00"/>
    <s v="https://img01.ztat.net/article/ZL100113.jpg"/>
    <n v="0.15592515592515593"/>
    <s v="Light"/>
  </r>
  <r>
    <s v="ZL100316"/>
    <s v="https://www.zalando.de/denim-and-supply-essential-polo---bordeaux-zl100316/"/>
    <x v="3"/>
    <s v="Essential POLO - BORDEAUX"/>
    <s v="Men's T-Shirts &amp; Polos"/>
    <x v="0"/>
    <x v="3"/>
    <s v="Bordeaux"/>
    <s v="S"/>
    <n v="37.07"/>
    <n v="31.29"/>
    <s v="SALE"/>
    <s v="EUR"/>
    <n v="486"/>
    <s v="3.9"/>
    <s v="36.0"/>
    <m/>
    <m/>
    <s v="Yes"/>
    <d v="2023-01-29T00:00:00"/>
    <s v="https://img01.ztat.net/article/ZL100316.jpg"/>
    <n v="0.15592123010520639"/>
    <s v="Light"/>
  </r>
  <r>
    <s v="ZL100246"/>
    <s v="https://www.zalando.de/produkt-essential-polo---navy-zl100246/"/>
    <x v="0"/>
    <s v="Essential POLO - NAVY"/>
    <s v="Men's T-Shirts &amp; Polos"/>
    <x v="0"/>
    <x v="2"/>
    <s v="Navy"/>
    <s v="XS"/>
    <n v="14.65"/>
    <n v="12.43"/>
    <s v="SALE"/>
    <s v="EUR"/>
    <n v="64"/>
    <s v="3.2"/>
    <s v="43.0"/>
    <m/>
    <m/>
    <s v="No"/>
    <d v="2023-01-29T00:00:00"/>
    <s v="https://img01.ztat.net/article/ZL100246.jpg"/>
    <n v="0.15153583617747443"/>
    <s v="Light"/>
  </r>
  <r>
    <s v="ZL100063"/>
    <s v="https://www.zalando.de/tommy-hilfiger-essential-polo---dark-blue-zl100063/"/>
    <x v="8"/>
    <s v="Essential POLO - DARK BLUE"/>
    <s v="Men's T-Shirts &amp; Polos"/>
    <x v="0"/>
    <x v="0"/>
    <m/>
    <s v="XS"/>
    <n v="12.68"/>
    <n v="10.81"/>
    <s v="SALE"/>
    <s v="EUR"/>
    <n v="332"/>
    <s v="4.9"/>
    <s v="31.0"/>
    <m/>
    <m/>
    <s v="Yes"/>
    <d v="2023-01-29T00:00:00"/>
    <s v="https://img01.ztat.net/article/ZL100063.jpg"/>
    <n v="0.14747634069400625"/>
    <s v="Light"/>
  </r>
  <r>
    <s v="ZL100107"/>
    <s v="https://www.zalando.de/peter-werth-regular-fit-polo---white-zl100107/"/>
    <x v="93"/>
    <s v="Regular Fit POLO - WHITE"/>
    <s v="Men's T-Shirts &amp; Polos"/>
    <x v="0"/>
    <x v="3"/>
    <s v="White"/>
    <s v="XS"/>
    <n v="13.27"/>
    <n v="11.33"/>
    <s v="SALE"/>
    <s v="EUR"/>
    <n v="697"/>
    <s v="3.9"/>
    <s v="38.0"/>
    <m/>
    <m/>
    <s v="No"/>
    <d v="2023-01-29T00:00:00"/>
    <s v="https://img01.ztat.net/article/ZL100107.jpg"/>
    <n v="0.14619442351168044"/>
    <s v="Light"/>
  </r>
  <r>
    <s v="ZL100661"/>
    <s v="https://www.zalando.de/levi's-slim-fit-polo---grey-melange-zl100661/"/>
    <x v="33"/>
    <s v="Slim Fit POLO - GREY MELANGE"/>
    <s v="Men's T-Shirts &amp; Polos"/>
    <x v="0"/>
    <x v="3"/>
    <s v="Grey Melange"/>
    <s v="S"/>
    <n v="30.36"/>
    <n v="25.95"/>
    <s v="SALE"/>
    <s v="EUR"/>
    <n v="664"/>
    <s v="3.6"/>
    <s v="36.0"/>
    <m/>
    <m/>
    <s v="Yes"/>
    <d v="2023-01-29T00:00:00"/>
    <s v="https://img01.ztat.net/article/ZL100661.jpg"/>
    <n v="0.14525691699604742"/>
    <s v="Light"/>
  </r>
  <r>
    <s v="ZL100090"/>
    <s v="https://www.zalando.de/yourturn-essential-t-shirt---rust-zl100090/"/>
    <x v="49"/>
    <s v="Essential T-SHIRT - RUST"/>
    <s v="Men's T-Shirts &amp; Polos"/>
    <x v="1"/>
    <x v="5"/>
    <s v="Rust"/>
    <s v="XS"/>
    <n v="8.99"/>
    <n v="7.69"/>
    <s v="SALE"/>
    <s v="EUR"/>
    <n v="410"/>
    <s v="4.3"/>
    <s v="44.0"/>
    <m/>
    <m/>
    <s v="Yes"/>
    <d v="2023-01-29T00:00:00"/>
    <s v="https://img01.ztat.net/article/ZL100090.jpg"/>
    <n v="0.14460511679644047"/>
    <s v="Light"/>
  </r>
  <r>
    <s v="ZL100894"/>
    <s v="https://www.zalando.de/nike-print-polo---rust-zl100894/"/>
    <x v="25"/>
    <s v="Print POLO - RUST"/>
    <s v="Men's T-Shirts &amp; Polos"/>
    <x v="0"/>
    <x v="3"/>
    <s v="Rust"/>
    <s v="XS"/>
    <n v="24.23"/>
    <n v="20.75"/>
    <s v="SALE"/>
    <s v="EUR"/>
    <n v="874"/>
    <s v="4.8"/>
    <s v="45.0"/>
    <m/>
    <m/>
    <s v="Yes"/>
    <d v="2023-01-29T00:00:00"/>
    <s v="https://img01.ztat.net/article/ZL100894.jpg"/>
    <n v="0.14362360709863806"/>
    <s v="Light"/>
  </r>
  <r>
    <s v="ZL100981"/>
    <s v="https://www.zalando.de/patagonia-print-t-shirt---mint-zl100981/"/>
    <x v="81"/>
    <s v="Print T-SHIRT - MINT"/>
    <s v="Men's T-Shirts &amp; Polos"/>
    <x v="1"/>
    <x v="6"/>
    <s v="Mint"/>
    <s v="XS"/>
    <n v="18.45"/>
    <n v="15.84"/>
    <s v="SALE"/>
    <s v="EUR"/>
    <n v="613"/>
    <s v="3.4"/>
    <s v="41.0"/>
    <m/>
    <m/>
    <s v="Yes"/>
    <d v="2023-01-29T00:00:00"/>
    <s v="https://img01.ztat.net/article/ZL100981.jpg"/>
    <n v="0.14146341463414633"/>
    <s v="Light"/>
  </r>
  <r>
    <s v="ZL100591"/>
    <s v="https://www.zalando.de/superdry-print-t-shirt---anthracite-zl100591/"/>
    <x v="77"/>
    <s v="Print T-SHIRT - ANTHRACITE"/>
    <s v="Men's T-Shirts &amp; Polos"/>
    <x v="1"/>
    <x v="4"/>
    <s v="Anthracite"/>
    <s v="XS"/>
    <n v="8.99"/>
    <n v="7.74"/>
    <s v="SALE"/>
    <s v="EUR"/>
    <n v="607"/>
    <s v="3.9"/>
    <s v="35.0"/>
    <m/>
    <m/>
    <s v="Yes"/>
    <d v="2023-01-29T00:00:00"/>
    <s v="https://img01.ztat.net/article/ZL100591.jpg"/>
    <n v="0.13904338153503892"/>
    <s v="Light"/>
  </r>
  <r>
    <s v="ZL100046"/>
    <s v="https://www.zalando.de/napapijri-essential-polo---mint-zl100046/"/>
    <x v="50"/>
    <s v="Essential POLO - MINT"/>
    <s v="Men's T-Shirts &amp; Polos"/>
    <x v="0"/>
    <x v="0"/>
    <s v="Mint"/>
    <s v="XS"/>
    <n v="23.86"/>
    <n v="20.64"/>
    <s v="SALE"/>
    <s v="EUR"/>
    <n v="454"/>
    <s v="3.9"/>
    <s v="40.0"/>
    <m/>
    <m/>
    <s v="Yes"/>
    <d v="2023-01-29T00:00:00"/>
    <s v="https://img01.ztat.net/article/ZL100046.jpg"/>
    <n v="0.13495389773679795"/>
    <s v="Light"/>
  </r>
  <r>
    <s v="ZL100207"/>
    <s v="https://www.zalando.de/pier-1-regular-fit-polo---dark-green-zl100207/"/>
    <x v="62"/>
    <s v="Regular Fit POLO - DARK GREEN"/>
    <s v="Men's T-Shirts &amp; Polos"/>
    <x v="0"/>
    <x v="3"/>
    <s v="Dark Green"/>
    <s v="S"/>
    <n v="8.99"/>
    <n v="7.83"/>
    <s v="SALE"/>
    <s v="EUR"/>
    <n v="692"/>
    <s v="3.2"/>
    <s v="0"/>
    <m/>
    <m/>
    <s v="Yes"/>
    <d v="2023-01-29T00:00:00"/>
    <s v="https://img01.ztat.net/article/ZL100207.jpg"/>
    <n v="0.12903225806451615"/>
    <s v="Light"/>
  </r>
  <r>
    <s v="ZL100646"/>
    <s v="https://www.zalando.de/anerkjendt-print-t-shirt---dark-green-zl100646/"/>
    <x v="26"/>
    <s v="Print T-SHIRT - DARK GREEN"/>
    <s v="Men's T-Shirts &amp; Polos"/>
    <x v="1"/>
    <x v="5"/>
    <s v="Dark Green"/>
    <s v="XS"/>
    <n v="20.12"/>
    <n v="17.68"/>
    <s v="SALE"/>
    <s v="EUR"/>
    <n v="518"/>
    <s v="4.2"/>
    <s v="45.0"/>
    <m/>
    <m/>
    <s v="No"/>
    <d v="2023-01-29T00:00:00"/>
    <s v="https://img01.ztat.net/article/ZL100646.jpg"/>
    <n v="0.12127236580516905"/>
    <s v="Light"/>
  </r>
  <r>
    <s v="ZL100361"/>
    <s v="https://www.zalando.de/adidas-performance-regular-fit-polo---denim-blue-zl100361/"/>
    <x v="6"/>
    <s v="Regular Fit POLO - DENIM BLUE"/>
    <s v="Men's T-Shirts &amp; Polos"/>
    <x v="0"/>
    <x v="0"/>
    <s v="Denim Blue"/>
    <s v="XS"/>
    <n v="8.99"/>
    <n v="7.97"/>
    <s v="SALE"/>
    <s v="EUR"/>
    <n v="896"/>
    <s v="3.1"/>
    <s v="35.0"/>
    <m/>
    <m/>
    <s v="Yes"/>
    <d v="2023-01-29T00:00:00"/>
    <s v="https://img01.ztat.net/article/ZL100361.jpg"/>
    <n v="0.11345939933259182"/>
    <s v="Light"/>
  </r>
  <r>
    <s v="ZL100452"/>
    <s v="https://www.zalando.de/adidas-performance-basic-t-shirt---dark-blue-zl100452/"/>
    <x v="6"/>
    <s v="Basic T-SHIRT - DARK BLUE"/>
    <s v="Men's T-Shirts &amp; Polos"/>
    <x v="1"/>
    <x v="4"/>
    <s v="Dark Blue"/>
    <s v="XS"/>
    <n v="8.99"/>
    <n v="7.98"/>
    <s v="SALE"/>
    <s v="EUR"/>
    <n v="344"/>
    <s v="4.9"/>
    <s v="29.0"/>
    <m/>
    <m/>
    <s v="No"/>
    <d v="2023-01-29T00:00:00"/>
    <s v="https://img01.ztat.net/article/ZL100452.jpg"/>
    <n v="0.11234705228031143"/>
    <s v="Light"/>
  </r>
  <r>
    <s v="ZL100570"/>
    <s v="https://www.zalando.de/calvin-klein-essential-polo---rust-zl100570/"/>
    <x v="14"/>
    <s v="Essential POLO - RUST"/>
    <s v="Men's T-Shirts &amp; Polos"/>
    <x v="0"/>
    <x v="3"/>
    <s v="Rust"/>
    <s v="S"/>
    <n v="20.02"/>
    <n v="17.87"/>
    <s v="SALE"/>
    <s v="EUR"/>
    <n v="736"/>
    <s v="3.9"/>
    <s v="30.0"/>
    <m/>
    <m/>
    <s v="Yes"/>
    <d v="2023-01-29T00:00:00"/>
    <s v="https://img01.ztat.net/article/ZL100570.jpg"/>
    <n v="0.10739260739260732"/>
    <s v="Light"/>
  </r>
  <r>
    <s v="ZL100446"/>
    <s v="https://www.zalando.de/nike-regular-fit-polo---mint-zl100446/"/>
    <x v="25"/>
    <s v="Regular Fit POLO - MINT"/>
    <s v="Men's T-Shirts &amp; Polos"/>
    <x v="0"/>
    <x v="3"/>
    <s v="Mint"/>
    <s v="M"/>
    <n v="13.48"/>
    <n v="12.15"/>
    <s v="SALE"/>
    <s v="EUR"/>
    <n v="55"/>
    <s v="3.1"/>
    <s v="0"/>
    <m/>
    <m/>
    <s v="Yes"/>
    <d v="2023-01-29T00:00:00"/>
    <s v="https://img01.ztat.net/article/ZL100446.jpg"/>
    <n v="9.866468842729971E-2"/>
    <s v="Light"/>
  </r>
  <r>
    <s v="ZL100428"/>
    <s v="https://www.zalando.de/under-armour-print-polo---olive-zl100428/"/>
    <x v="96"/>
    <s v="Print POLO - OLIVE"/>
    <s v="Men's T-Shirts &amp; Polos"/>
    <x v="0"/>
    <x v="2"/>
    <s v="Olive"/>
    <s v="S"/>
    <n v="28.08"/>
    <n v="25.88"/>
    <s v="SALE"/>
    <s v="EUR"/>
    <n v="929"/>
    <s v="4.3"/>
    <s v="28.0"/>
    <m/>
    <m/>
    <s v="No"/>
    <d v="2023-01-29T00:00:00"/>
    <s v="https://img01.ztat.net/article/ZL100428.jpg"/>
    <n v="7.8347578347578328E-2"/>
    <s v="Light"/>
  </r>
  <r>
    <s v="ZL100260"/>
    <s v="https://www.zalando.de/pier-one-print-t-shirt---royal-blue-zl100260/"/>
    <x v="62"/>
    <s v="Print T-SHIRT - ROYAL BLUE"/>
    <s v="Men's T-Shirts &amp; Polos"/>
    <x v="1"/>
    <x v="1"/>
    <s v="Royal Blue"/>
    <s v="M"/>
    <n v="27.46"/>
    <n v="25.5"/>
    <s v="SALE"/>
    <s v="EUR"/>
    <n v="333"/>
    <s v="4.7"/>
    <s v="25.0"/>
    <m/>
    <m/>
    <s v="Yes"/>
    <d v="2023-01-29T00:00:00"/>
    <s v="https://img01.ztat.net/article/ZL100260.jpg"/>
    <n v="7.1376547705753857E-2"/>
    <s v="Light"/>
  </r>
  <r>
    <s v="ZL100756"/>
    <s v="https://www.zalando.de/billabong-basic-t-shirt---off-white-zl100756/"/>
    <x v="110"/>
    <s v="Basic T-SHIRT - OFF WHITE"/>
    <s v="Men's T-Shirts &amp; Polos"/>
    <x v="1"/>
    <x v="4"/>
    <s v="Off White"/>
    <s v="XS"/>
    <n v="18.850000000000001"/>
    <n v="17.53"/>
    <s v="SALE"/>
    <s v="EUR"/>
    <n v="262"/>
    <s v="5.0"/>
    <s v="41.0"/>
    <m/>
    <m/>
    <s v="Yes"/>
    <d v="2023-01-29T00:00:00"/>
    <s v="https://img01.ztat.net/article/ZL100756.jpg"/>
    <n v="7.0026525198938996E-2"/>
    <s v="Light"/>
  </r>
  <r>
    <s v="ZL100349"/>
    <s v="https://www.zalando.de/björn-borg-regular-fit-polo---light-grey-zl100349/"/>
    <x v="89"/>
    <s v="Regular Fit POLO - LIGHT GREY"/>
    <s v="Men's T-Shirts &amp; Polos"/>
    <x v="0"/>
    <x v="0"/>
    <s v="Light Grey"/>
    <s v="XS"/>
    <n v="13.27"/>
    <n v="12.53"/>
    <s v="SALE"/>
    <s v="EUR"/>
    <n v="900"/>
    <s v="3.6"/>
    <s v="33.0"/>
    <m/>
    <m/>
    <s v="No"/>
    <d v="2023-01-29T00:00:00"/>
    <s v="https://img01.ztat.net/article/ZL100349.jpg"/>
    <n v="5.5764883195177112E-2"/>
    <s v="Light"/>
  </r>
  <r>
    <s v="ZL100132"/>
    <s v="https://www.zalando.de/lacoste-print-t-shirt---anthracite-zl100132/"/>
    <x v="4"/>
    <s v="Print T-SHIRT - ANTHRACITE"/>
    <s v="Men's T-Shirts &amp; Polos"/>
    <x v="1"/>
    <x v="5"/>
    <s v="Anthracite"/>
    <s v="M"/>
    <n v="22.14"/>
    <n v="21.03"/>
    <s v="SALE"/>
    <s v="EUR"/>
    <n v="912"/>
    <s v="3.7"/>
    <s v="38.0"/>
    <m/>
    <m/>
    <s v="Yes"/>
    <d v="2023-01-29T00:00:00"/>
    <s v="https://img01.ztat.net/article/ZL100132.jpg"/>
    <n v="5.0135501355013525E-2"/>
    <s v="Light"/>
  </r>
  <r>
    <s v="ZL100235"/>
    <s v="https://www.zalando.de/mango-man-regular-fit-t-shirt---dark-blue-zl100235/"/>
    <x v="5"/>
    <s v="Regular Fit T-SHIRT - DARK BLUE"/>
    <s v="Men's T-Shirts &amp; Polos"/>
    <x v="1"/>
    <x v="6"/>
    <s v="Dark Blue"/>
    <s v="XS"/>
    <n v="8.99"/>
    <n v="8.5399999999999991"/>
    <s v="SALE"/>
    <s v="EUR"/>
    <n v="13"/>
    <s v="4.4"/>
    <s v="0"/>
    <m/>
    <m/>
    <s v="No"/>
    <d v="2023-01-29T00:00:00"/>
    <s v="https://img01.ztat.net/article/ZL100235.jpg"/>
    <n v="5.0055617352614136E-2"/>
    <s v="Light"/>
  </r>
  <r>
    <s v="ZL100635"/>
    <s v="https://www.zalando.de/the-north-face-print-t-shirt---beige-zl100635/"/>
    <x v="22"/>
    <s v="Print T-SHIRT - BEIGE"/>
    <s v="Men's T-Shirts &amp; Polos"/>
    <x v="1"/>
    <x v="6"/>
    <s v="Beige"/>
    <s v="S"/>
    <n v="8.99"/>
    <n v="8.5399999999999991"/>
    <s v="SALE"/>
    <s v="EUR"/>
    <n v="387"/>
    <s v="3.4"/>
    <s v="33.0"/>
    <m/>
    <m/>
    <s v="Yes"/>
    <d v="2023-01-29T00:00:00"/>
    <s v="https://img01.ztat.net/article/ZL100635.jpg"/>
    <n v="5.0055617352614136E-2"/>
    <s v="Light"/>
  </r>
  <r>
    <s v="ZL100289"/>
    <s v="https://www.zalando.de/seidensticker-slim-fit-t-shirt---olive-zl100289/"/>
    <x v="41"/>
    <s v="Slim Fit T-SHIRT - OLIVE"/>
    <s v="Men's T-Shirts &amp; Polos"/>
    <x v="1"/>
    <x v="1"/>
    <s v="Olive"/>
    <s v="M"/>
    <n v="12.39"/>
    <n v="11.77"/>
    <s v="SALE"/>
    <s v="EUR"/>
    <n v="647"/>
    <s v="3.2"/>
    <s v="28.0"/>
    <m/>
    <m/>
    <s v="Yes"/>
    <d v="2023-01-29T00:00:00"/>
    <s v="https://img01.ztat.net/article/ZL100289.jpg"/>
    <n v="5.0040355125100966E-2"/>
    <s v="Light"/>
  </r>
  <r>
    <s v="ZL100111"/>
    <s v="https://www.zalando.de/urban-classics-regular-fit-t-shirt---anthracite-zl100111/"/>
    <x v="36"/>
    <s v="Regular Fit T-SHIRT - ANTHRACITE"/>
    <s v="Men's T-Shirts &amp; Polos"/>
    <x v="1"/>
    <x v="4"/>
    <s v="Anthracite"/>
    <s v="S"/>
    <n v="22.2"/>
    <n v="21.09"/>
    <s v="SALE"/>
    <s v="EUR"/>
    <n v="276"/>
    <s v="4.2"/>
    <s v="47.0"/>
    <m/>
    <m/>
    <s v="Yes"/>
    <d v="2023-01-29T00:00:00"/>
    <s v="https://img01.ztat.net/article/ZL100111.jpg"/>
    <n v="4.9999999999999975E-2"/>
    <s v="Light"/>
  </r>
  <r>
    <s v="ZL100730"/>
    <s v="https://www.zalando.de/the-north-face-basic-polo---rust-zl100730/"/>
    <x v="22"/>
    <s v="Basic POLO - RUST"/>
    <s v="Men's T-Shirts &amp; Polos"/>
    <x v="0"/>
    <x v="3"/>
    <s v="Rust"/>
    <s v="XS"/>
    <n v="14.43"/>
    <n v="13.71"/>
    <s v="SALE"/>
    <s v="EUR"/>
    <n v="701"/>
    <s v="4.4"/>
    <s v="37.0"/>
    <m/>
    <m/>
    <s v="No"/>
    <d v="2023-01-29T00:00:00"/>
    <s v="https://img01.ztat.net/article/ZL100730.jpg"/>
    <n v="4.9896049896049816E-2"/>
    <s v="Light"/>
  </r>
  <r>
    <s v="ZL100151"/>
    <s v="https://www.zalando.de/produkt-print-polo---royal-blue-zl100151/"/>
    <x v="0"/>
    <s v="Print POLO - ROYAL BLUE"/>
    <s v="Men's T-Shirts &amp; Polos"/>
    <x v="0"/>
    <x v="3"/>
    <s v="Royal Blue"/>
    <s v="M"/>
    <n v="26.74"/>
    <n v="26.14"/>
    <s v="SALE"/>
    <s v="EUR"/>
    <n v="441"/>
    <s v="4.6"/>
    <s v="46.0"/>
    <m/>
    <m/>
    <s v="Yes"/>
    <d v="2023-01-29T00:00:00"/>
    <s v="https://img01.ztat.net/article/ZL100151.jpg"/>
    <n v="2.2438294689603511E-2"/>
    <s v="Light"/>
  </r>
  <r>
    <s v="ZL100001"/>
    <s v="https://www.zalando.de/only-and-sons-denim-print-t-shirt---rust-zl100001/"/>
    <x v="61"/>
    <s v="Print T-SHIRT - RUST"/>
    <s v="Men's T-Shirts &amp; Polos"/>
    <x v="1"/>
    <x v="6"/>
    <s v="Rust"/>
    <s v="S"/>
    <n v="22.03"/>
    <n v="22.03"/>
    <s v="Regular Price"/>
    <s v="EUR"/>
    <n v="316"/>
    <s v="3.8"/>
    <s v="0"/>
    <m/>
    <m/>
    <s v="Yes"/>
    <d v="2023-01-29T00:00:00"/>
    <s v="https://img01.ztat.net/article/ZL100001.jpg"/>
    <n v="0"/>
    <s v="No Discount"/>
  </r>
  <r>
    <s v="ZL100002"/>
    <s v="https://www.zalando.de/anerkjendt-essential-t-shirt---grey-melange-zl100002/"/>
    <x v="26"/>
    <s v="Essential T-SHIRT - GREY MELANGE"/>
    <s v="Men's T-Shirts &amp; Polos"/>
    <x v="1"/>
    <x v="1"/>
    <s v="Grey Melange"/>
    <s v="XS"/>
    <n v="26.38"/>
    <n v="26.38"/>
    <s v="Regular Price"/>
    <s v="EUR"/>
    <n v="990"/>
    <s v="3.1"/>
    <s v="29.0"/>
    <m/>
    <m/>
    <s v="Yes"/>
    <d v="2023-01-29T00:00:00"/>
    <s v="https://img01.ztat.net/article/ZL100002.jpg"/>
    <n v="0"/>
    <s v="No Discount"/>
  </r>
  <r>
    <s v="ZL100005"/>
    <s v="https://www.zalando.de/wrangler-basic-t-shirt---mint-zl100005/"/>
    <x v="57"/>
    <s v="Basic T-SHIRT - MINT"/>
    <s v="Men's T-Shirts &amp; Polos"/>
    <x v="1"/>
    <x v="4"/>
    <s v="Mint"/>
    <s v="XS"/>
    <n v="16.77"/>
    <n v="16.77"/>
    <s v="Regular Price"/>
    <s v="EUR"/>
    <n v="497"/>
    <s v="4.6"/>
    <s v="32.0"/>
    <m/>
    <m/>
    <s v="Yes"/>
    <d v="2023-01-29T00:00:00"/>
    <s v="https://img01.ztat.net/article/ZL100005.jpg"/>
    <n v="0"/>
    <s v="No Discount"/>
  </r>
  <r>
    <s v="ZL100007"/>
    <s v="https://www.zalando.de/nike-basic-t-shirt---bordeaux-zl100007/"/>
    <x v="25"/>
    <s v="Basic T-SHIRT - BORDEAUX"/>
    <s v="Men's T-Shirts &amp; Polos"/>
    <x v="1"/>
    <x v="5"/>
    <s v="Bordeaux"/>
    <s v="XS"/>
    <n v="15.61"/>
    <n v="15.61"/>
    <s v="Regular Price"/>
    <s v="EUR"/>
    <n v="963"/>
    <s v="3.7"/>
    <s v="38.0"/>
    <m/>
    <m/>
    <s v="Yes"/>
    <d v="2023-01-29T00:00:00"/>
    <s v="https://img01.ztat.net/article/ZL100007.jpg"/>
    <n v="0"/>
    <s v="No Discount"/>
  </r>
  <r>
    <s v="ZL100009"/>
    <s v="https://www.zalando.de/jack-and-jones-slim-fit-polo---denim-blue-zl100009/"/>
    <x v="102"/>
    <s v="Slim Fit POLO - DENIM BLUE"/>
    <s v="Men's T-Shirts &amp; Polos"/>
    <x v="0"/>
    <x v="0"/>
    <s v="Denim Blue"/>
    <s v="S"/>
    <n v="8.99"/>
    <n v="8.99"/>
    <s v="Regular Price"/>
    <s v="EUR"/>
    <n v="741"/>
    <s v="3.7"/>
    <s v="43.0"/>
    <m/>
    <m/>
    <s v="No"/>
    <d v="2023-01-29T00:00:00"/>
    <s v="https://img01.ztat.net/article/ZL100009.jpg"/>
    <n v="0"/>
    <s v="No Discount"/>
  </r>
  <r>
    <s v="ZL100012"/>
    <s v="https://www.zalando.de/pier-one-regular-fit-t-shirt---rust-zl100012/"/>
    <x v="62"/>
    <s v="Regular Fit T-SHIRT - RUST"/>
    <s v="Men's T-Shirts &amp; Polos"/>
    <x v="1"/>
    <x v="4"/>
    <s v="Rust"/>
    <s v="S"/>
    <n v="12.39"/>
    <n v="12.39"/>
    <s v="Regular Price"/>
    <s v="EUR"/>
    <n v="217"/>
    <s v="4.2"/>
    <s v="35.0"/>
    <m/>
    <m/>
    <s v="Yes"/>
    <d v="2023-01-29T00:00:00"/>
    <s v="https://img01.ztat.net/article/ZL100012.jpg"/>
    <n v="0"/>
    <s v="No Discount"/>
  </r>
  <r>
    <s v="ZL100013"/>
    <s v="https://www.zalando.de/guess-basic-polo---dark-blue-zl100013/"/>
    <x v="82"/>
    <s v="Basic POLO - DARK BLUE"/>
    <s v="Men's T-Shirts &amp; Polos"/>
    <x v="0"/>
    <x v="0"/>
    <s v="Dark Blue"/>
    <s v="XS"/>
    <n v="10.96"/>
    <n v="10.96"/>
    <s v="Regular Price"/>
    <s v="EUR"/>
    <n v="706"/>
    <s v="4.2"/>
    <s v="31.0"/>
    <m/>
    <m/>
    <s v="Yes"/>
    <d v="2023-01-29T00:00:00"/>
    <s v="https://img01.ztat.net/article/ZL100013.jpg"/>
    <n v="0"/>
    <s v="No Discount"/>
  </r>
  <r>
    <s v="ZL100016"/>
    <s v="https://www.zalando.de/new-look-slim-fit-polo---dark-blue-zl100016/"/>
    <x v="11"/>
    <s v="Slim Fit POLO - DARK BLUE"/>
    <s v="Men's T-Shirts &amp; Polos"/>
    <x v="0"/>
    <x v="3"/>
    <s v="Dark Blue"/>
    <s v="XS"/>
    <n v="23.14"/>
    <n v="23.14"/>
    <s v="Regular Price"/>
    <s v="EUR"/>
    <n v="9"/>
    <s v="3.9"/>
    <s v="39.0"/>
    <m/>
    <m/>
    <s v="Yes"/>
    <d v="2023-01-29T00:00:00"/>
    <s v="https://img01.ztat.net/article/ZL100016.jpg"/>
    <n v="0"/>
    <s v="No Discount"/>
  </r>
  <r>
    <s v="ZL100020"/>
    <s v="https://www.zalando.de/new-look-basic-polo---grey-melange-zl100020/"/>
    <x v="11"/>
    <s v="Basic POLO - GREY MELANGE"/>
    <s v="Men's T-Shirts &amp; Polos"/>
    <x v="0"/>
    <x v="2"/>
    <s v="Grey Melange"/>
    <s v="M"/>
    <n v="13.09"/>
    <n v="13.09"/>
    <s v="Regular Price"/>
    <s v="EUR"/>
    <n v="142"/>
    <s v="0"/>
    <s v="43.0"/>
    <m/>
    <m/>
    <s v="No"/>
    <d v="2023-01-29T00:00:00"/>
    <s v="https://img01.ztat.net/article/ZL100020.jpg"/>
    <n v="0"/>
    <s v="No Discount"/>
  </r>
  <r>
    <s v="ZL100022"/>
    <s v="https://www.zalando.de/herrlicher-print-polo---dark-green-zl100022/"/>
    <x v="42"/>
    <s v="Print POLO - DARK GREEN"/>
    <s v="Men's T-Shirts &amp; Polos"/>
    <x v="0"/>
    <x v="3"/>
    <s v="Dark Green"/>
    <s v="S"/>
    <n v="12.43"/>
    <n v="12.43"/>
    <s v="Regular Price"/>
    <s v="EUR"/>
    <n v="926"/>
    <s v="0"/>
    <s v="35.0"/>
    <m/>
    <m/>
    <s v="Yes"/>
    <d v="2023-01-29T00:00:00"/>
    <s v="https://img01.ztat.net/article/ZL100022.jpg"/>
    <n v="0"/>
    <s v="No Discount"/>
  </r>
  <r>
    <s v="ZL100023"/>
    <s v="https://www.zalando.de/nike-slim-fit-t-shirt---khaki-zl100023/"/>
    <x v="25"/>
    <s v="Slim Fit T-SHIRT - KHAKI"/>
    <s v="Men's T-Shirts &amp; Polos"/>
    <x v="1"/>
    <x v="1"/>
    <s v="Khaki"/>
    <s v="XS"/>
    <n v="34.82"/>
    <n v="34.82"/>
    <s v="Regular Price"/>
    <s v="EUR"/>
    <n v="466"/>
    <s v="0"/>
    <s v="N/A"/>
    <m/>
    <m/>
    <s v="Yes"/>
    <d v="2023-01-29T00:00:00"/>
    <s v="https://img01.ztat.net/article/ZL100023.jpg"/>
    <n v="0"/>
    <s v="No Discount"/>
  </r>
  <r>
    <s v="ZL100024"/>
    <s v="https://www.zalando.de/guess-slim-fit-t-shirt---light-grey-zl100024/"/>
    <x v="82"/>
    <s v="Slim Fit T-SHIRT - LIGHT GREY"/>
    <s v="Men's T-Shirts &amp; Polos"/>
    <x v="1"/>
    <x v="6"/>
    <s v="Light Grey"/>
    <s v="S"/>
    <n v="19.190000000000001"/>
    <n v="19.190000000000001"/>
    <s v="Regular Price"/>
    <s v="EUR"/>
    <n v="986"/>
    <s v="0"/>
    <s v="42.0"/>
    <m/>
    <m/>
    <s v="Yes"/>
    <d v="2023-01-29T00:00:00"/>
    <s v="https://img01.ztat.net/article/ZL100024.jpg"/>
    <n v="0"/>
    <s v="No Discount"/>
  </r>
  <r>
    <s v="ZL100025"/>
    <s v="https://www.zalando.de/nike-slim-fit-t-shirt---red-zl100025/"/>
    <x v="25"/>
    <s v="Slim Fit T-SHIRT - RED"/>
    <s v="Men's T-Shirts &amp; Polos"/>
    <x v="1"/>
    <x v="5"/>
    <s v="Red"/>
    <s v="M"/>
    <n v="25.11"/>
    <n v="25.11"/>
    <s v="Regular Price"/>
    <s v="EUR"/>
    <n v="797"/>
    <s v="0"/>
    <s v="32.0"/>
    <m/>
    <m/>
    <s v="Yes"/>
    <d v="2023-01-29T00:00:00"/>
    <s v="https://img01.ztat.net/article/ZL100025.jpg"/>
    <n v="0"/>
    <s v="No Discount"/>
  </r>
  <r>
    <s v="ZL100026"/>
    <s v="https://www.zalando.de/adidas-originals-basic-t-shirt---bordeaux-zl100026/"/>
    <x v="19"/>
    <s v="Basic T-SHIRT - BORDEAUX"/>
    <s v="Men's T-Shirts &amp; Polos"/>
    <x v="1"/>
    <x v="6"/>
    <s v="Bordeaux"/>
    <s v=""/>
    <n v="13.82"/>
    <n v="13.82"/>
    <s v="Regular Price"/>
    <s v="EUR"/>
    <n v="273"/>
    <s v="0"/>
    <s v="40.0"/>
    <m/>
    <m/>
    <s v="Yes"/>
    <d v="2023-01-29T00:00:00"/>
    <s v="https://img01.ztat.net/article/ZL100026.jpg"/>
    <n v="0"/>
    <s v="No Discount"/>
  </r>
  <r>
    <s v="ZL100027"/>
    <s v="https://www.zalando.de/nike-regular-fit-polo---bordeaux-zl100027/"/>
    <x v="25"/>
    <s v="Regular Fit POLO - BORDEAUX"/>
    <s v="Men's T-Shirts &amp; Polos"/>
    <x v="0"/>
    <x v="3"/>
    <s v="Bordeaux"/>
    <s v="XS"/>
    <n v="30.39"/>
    <n v="30.39"/>
    <s v="Regular Price"/>
    <s v="EUR"/>
    <n v="374"/>
    <s v="3.4"/>
    <s v="N/A"/>
    <m/>
    <m/>
    <s v="No"/>
    <d v="2023-01-29T00:00:00"/>
    <s v="https://img01.ztat.net/article/ZL100027.jpg"/>
    <n v="0"/>
    <s v="No Discount"/>
  </r>
  <r>
    <s v="ZL100028"/>
    <s v="https://www.zalando.de/jack-jones-junior-essential-polo---off-white-zl100028/"/>
    <x v="34"/>
    <s v="Essential Polo - Off White"/>
    <s v="Men's T-Shirts &amp; Polos"/>
    <x v="0"/>
    <x v="2"/>
    <s v="Off White"/>
    <s v="M"/>
    <n v="17.760000000000002"/>
    <n v="17.760000000000002"/>
    <s v="Regular Price"/>
    <s v="EUR"/>
    <n v="727"/>
    <s v="4.1"/>
    <s v="36.0"/>
    <m/>
    <m/>
    <s v="Yes"/>
    <d v="2023-01-29T00:00:00"/>
    <s v="https://img01.ztat.net/article/ZL100028.jpg"/>
    <n v="0"/>
    <s v="No Discount"/>
  </r>
  <r>
    <s v="ZL100029"/>
    <s v="https://www.zalando.de/nike-basic-polo---black-zl100029/"/>
    <x v="25"/>
    <s v="Basic POLO - BLACK"/>
    <s v="Men's T-Shirts &amp; Polos"/>
    <x v="0"/>
    <x v="0"/>
    <s v="Black"/>
    <s v="XS"/>
    <n v="19.84"/>
    <n v="19.84"/>
    <s v="Regular Price"/>
    <s v="EUR"/>
    <n v="380"/>
    <s v="4.3"/>
    <s v="30.0"/>
    <m/>
    <m/>
    <s v="No"/>
    <d v="2023-01-29T00:00:00"/>
    <s v="https://img01.ztat.net/article/ZL100029.jpg"/>
    <n v="0"/>
    <s v="No Discount"/>
  </r>
  <r>
    <s v="ZL100030"/>
    <s v="https://www.zalando.de/umbro-essential-t-shirt---red-zl100030/"/>
    <x v="55"/>
    <s v="Essential T-SHIRT - RED"/>
    <s v="Men's T-Shirts &amp; Polos"/>
    <x v="1"/>
    <x v="4"/>
    <s v="Red"/>
    <s v="S"/>
    <n v="21.06"/>
    <n v="21.06"/>
    <s v="Regular Price"/>
    <s v="EUR"/>
    <n v="429"/>
    <s v="3.7"/>
    <s v="38.0"/>
    <m/>
    <m/>
    <s v="Yes"/>
    <d v="2023-01-29T00:00:00"/>
    <s v="https://img01.ztat.net/article/ZL100030.jpg"/>
    <n v="0"/>
    <s v="No Discount"/>
  </r>
  <r>
    <s v="ZL100032"/>
    <s v="https://www.zalando.de/timberland-slim-fit-t-shirt---dark-green-zl100032/"/>
    <x v="91"/>
    <s v="Slim Fit T-SHIRT - DARK GREEN"/>
    <s v="Men's T-Shirts &amp; Polos"/>
    <x v="1"/>
    <x v="1"/>
    <s v="Dark Green"/>
    <s v="XS"/>
    <n v="20.82"/>
    <n v="20.82"/>
    <s v="Regular Price"/>
    <s v="EUR"/>
    <n v="226"/>
    <s v="3.4"/>
    <s v="29.0"/>
    <m/>
    <m/>
    <s v="Yes"/>
    <d v="2023-01-29T00:00:00"/>
    <s v="https://img01.ztat.net/article/ZL100032.jpg"/>
    <n v="0"/>
    <s v="No Discount"/>
  </r>
  <r>
    <s v="ZL100033"/>
    <s v="https://www.zalando.de/only-and-sons-denim-regular-fit-polo---khaki-zl100033/"/>
    <x v="61"/>
    <s v="Regular Fit POLO - KHAKI"/>
    <s v="Men's T-Shirts &amp; Polos"/>
    <x v="0"/>
    <x v="2"/>
    <s v="Khaki"/>
    <s v="XS"/>
    <n v="26.46"/>
    <n v="26.46"/>
    <s v="Regular Price"/>
    <s v="EUR"/>
    <n v="937"/>
    <s v="0"/>
    <s v="31.0"/>
    <m/>
    <m/>
    <s v="Yes"/>
    <d v="2023-01-29T00:00:00"/>
    <s v="https://img01.ztat.net/article/ZL100033.jpg"/>
    <n v="0"/>
    <s v="No Discount"/>
  </r>
  <r>
    <s v="ZL100036"/>
    <s v="https://www.zalando.de/anerkjendt-print-t-shirt---dark-blue-zl100036/"/>
    <x v="26"/>
    <s v="Print T-SHIRT - DARK BLUE"/>
    <s v="Men's T-Shirts &amp; Polos"/>
    <x v="1"/>
    <x v="5"/>
    <s v="Dark Blue"/>
    <s v="XS"/>
    <n v="18.43"/>
    <n v="18.43"/>
    <s v="Regular Price"/>
    <s v="EUR"/>
    <n v="866"/>
    <s v="4.1"/>
    <s v="29.0"/>
    <m/>
    <m/>
    <s v="Yes"/>
    <d v="2023-01-29T00:00:00"/>
    <s v="https://img01.ztat.net/article/ZL100036.jpg"/>
    <n v="0"/>
    <s v="No Discount"/>
  </r>
  <r>
    <s v="ZL100038"/>
    <s v="https://www.zalando.de/name-it-regular-fit-polo---bordeaux-zl100038/"/>
    <x v="16"/>
    <s v="Regular Fit POLO - BORDEAUX"/>
    <s v="Men's T-Shirts &amp; Polos"/>
    <x v="0"/>
    <x v="3"/>
    <s v="Bordeaux"/>
    <s v="S"/>
    <n v="18.28"/>
    <n v="18.28"/>
    <s v="Regular Price"/>
    <s v="EUR"/>
    <n v="763"/>
    <s v="3.5"/>
    <s v="31.0"/>
    <m/>
    <m/>
    <s v="Yes"/>
    <d v="2023-01-29T00:00:00"/>
    <s v="https://img01.ztat.net/article/ZL100038.jpg"/>
    <n v="0"/>
    <s v="No Discount"/>
  </r>
  <r>
    <s v="ZL100040"/>
    <s v="https://www.zalando.de/tommy-hilfiger-slim-fit-polo---red-zl100040/"/>
    <x v="8"/>
    <s v="Slim Fit POLO - RED"/>
    <s v="Men's T-Shirts &amp; Polos"/>
    <x v="0"/>
    <x v="2"/>
    <s v="Red"/>
    <s v="S"/>
    <n v="19.22"/>
    <n v="19.22"/>
    <s v="Regular Price"/>
    <s v="EUR"/>
    <n v="249"/>
    <s v="3.3"/>
    <s v="34.0"/>
    <m/>
    <m/>
    <s v="Yes"/>
    <d v="2023-01-29T00:00:00"/>
    <s v="https://img01.ztat.net/article/ZL100040.jpg"/>
    <n v="0"/>
    <s v="No Discount"/>
  </r>
  <r>
    <s v="ZL100041"/>
    <s v="https://www.zalando.de/blend-she-essential-t-shirt---bordeaux-zl100041/"/>
    <x v="38"/>
    <s v="Essential T-SHIRT - BORDEAUX"/>
    <s v="Men's T-Shirts &amp; Polos"/>
    <x v="1"/>
    <x v="5"/>
    <s v="Bordeaux"/>
    <s v="XS"/>
    <n v="6.99"/>
    <n v="6.99"/>
    <s v="NEW"/>
    <s v="EUR"/>
    <n v="355"/>
    <s v="3.2"/>
    <s v="35.0"/>
    <m/>
    <m/>
    <s v="No"/>
    <d v="2023-01-29T00:00:00"/>
    <s v="https://img01.ztat.net/article/ZL100041.jpg"/>
    <n v="0"/>
    <s v="No Discount"/>
  </r>
  <r>
    <s v="ZL100043"/>
    <s v="https://www.zalando.de/nike-basic-polo---beige-zl100043/"/>
    <x v="25"/>
    <s v="Basic POLO - BEIGE"/>
    <s v="Men's T-Shirts &amp; Polos"/>
    <x v="0"/>
    <x v="0"/>
    <s v="Beige"/>
    <s v="M"/>
    <n v="12.9"/>
    <n v="12.9"/>
    <s v="Regular Price"/>
    <s v="EUR"/>
    <n v="772"/>
    <s v="0"/>
    <s v="29.0"/>
    <m/>
    <m/>
    <s v="Yes"/>
    <d v="2023-01-29T00:00:00"/>
    <s v="https://img01.ztat.net/article/ZL100043.jpg"/>
    <n v="0"/>
    <s v="No Discount"/>
  </r>
  <r>
    <s v="ZL100044"/>
    <s v="https://www.zalando.de/only-and-sons-denim-regular-fit-t-shirt---beige-zl100044/"/>
    <x v="61"/>
    <s v="Regular Fit T-SHIRT - BEIGE"/>
    <s v="Men's T-Shirts &amp; Polos"/>
    <x v="1"/>
    <x v="6"/>
    <s v="Beige"/>
    <s v="XS"/>
    <n v="8.99"/>
    <n v="8.99"/>
    <s v="Regular Price"/>
    <s v="EUR"/>
    <n v="67"/>
    <s v="4.8"/>
    <s v="34.0"/>
    <m/>
    <m/>
    <s v="No"/>
    <d v="2023-01-29T00:00:00"/>
    <s v="https://img01.ztat.net/article/ZL100044.jpg"/>
    <n v="0"/>
    <s v="No Discount"/>
  </r>
  <r>
    <s v="ZL100048"/>
    <s v="https://www.zalando.de/van-laack-slim-fit-t-shirt---grey-melange-zl100048/"/>
    <x v="9"/>
    <s v="Slim Fit T-SHIRT - GREY MELANGE"/>
    <s v="Men's T-Shirts &amp; Polos"/>
    <x v="1"/>
    <x v="1"/>
    <s v="Grey Melange"/>
    <s v="XS"/>
    <n v="10.09"/>
    <n v="10.09"/>
    <s v="Regular Price"/>
    <s v="EUR"/>
    <n v="402"/>
    <s v="3.4"/>
    <s v="32.0"/>
    <m/>
    <m/>
    <s v="Yes"/>
    <d v="2023-01-29T00:00:00"/>
    <s v="https://img01.ztat.net/article/ZL100048.jpg"/>
    <n v="0"/>
    <s v="No Discount"/>
  </r>
  <r>
    <s v="ZL100049"/>
    <s v="https://www.zalando.de/g-star-slim-fit-polo---red-zl100049/"/>
    <x v="69"/>
    <s v="Slim Fit POLO - RED"/>
    <s v="Men's T-Shirts &amp; Polos"/>
    <x v="0"/>
    <x v="3"/>
    <s v="Red"/>
    <s v="XS"/>
    <n v="15"/>
    <n v="15"/>
    <s v="Regular Price"/>
    <s v="EUR"/>
    <n v="227"/>
    <s v="4.2"/>
    <s v="45.0"/>
    <m/>
    <m/>
    <s v="Yes"/>
    <d v="2023-01-29T00:00:00"/>
    <s v="https://img01.ztat.net/article/ZL100049.jpg"/>
    <n v="0"/>
    <s v="No Discount"/>
  </r>
  <r>
    <s v="ZL100050"/>
    <s v="https://www.zalando.de/tommy-hilfiger-slim-fit-polo---dark-blue-zl100050/"/>
    <x v="8"/>
    <s v="Slim Fit POLO - DARK BLUE"/>
    <s v="Men's T-Shirts &amp; Polos"/>
    <x v="0"/>
    <x v="0"/>
    <s v="Dark Blue"/>
    <s v="S"/>
    <n v="13.21"/>
    <n v="13.21"/>
    <s v="Regular Price"/>
    <s v="EUR"/>
    <n v="238"/>
    <s v="4.0"/>
    <s v="22.0"/>
    <m/>
    <m/>
    <s v="Yes"/>
    <d v="2023-01-29T00:00:00"/>
    <s v="https://img01.ztat.net/article/ZL100050.jpg"/>
    <n v="0"/>
    <s v="No Discount"/>
  </r>
  <r>
    <s v="ZL100052"/>
    <s v="https://www.zalando.de/gap-basic-polo---dark-green-zl100052/"/>
    <x v="63"/>
    <s v="Basic POLO - DARK GREEN"/>
    <s v="Men's T-Shirts &amp; Polos"/>
    <x v="0"/>
    <x v="3"/>
    <s v="Dark Green"/>
    <s v="S"/>
    <n v="22.53"/>
    <n v="22.53"/>
    <s v="Regular Price"/>
    <s v="EUR"/>
    <n v="158"/>
    <s v="3.3"/>
    <s v="30.0"/>
    <m/>
    <m/>
    <s v="Yes"/>
    <d v="2023-01-29T00:00:00"/>
    <s v="https://img01.ztat.net/article/ZL100052.jpg"/>
    <n v="0"/>
    <s v="No Discount"/>
  </r>
  <r>
    <s v="ZL100053"/>
    <s v="https://www.zalando.de/topman-print-t-shirt---dark-green-zl100053/"/>
    <x v="73"/>
    <s v="Print T-SHIRT - DARK GREEN"/>
    <s v="Men's T-Shirts &amp; Polos"/>
    <x v="1"/>
    <x v="6"/>
    <s v="Dark Green"/>
    <s v=""/>
    <n v="27.26"/>
    <n v="27.26"/>
    <s v="NEW"/>
    <s v="EUR"/>
    <n v="734"/>
    <s v="4.4"/>
    <s v="0"/>
    <m/>
    <m/>
    <s v="Yes"/>
    <d v="2023-01-29T00:00:00"/>
    <s v="https://img01.ztat.net/article/ZL100053.jpg"/>
    <n v="0"/>
    <s v="No Discount"/>
  </r>
  <r>
    <s v="ZL100057"/>
    <s v="https://www.zalando.de/levi's-print-polo---beige-zl100057/"/>
    <x v="33"/>
    <s v="Print POLO - BEIGE"/>
    <s v="Men's T-Shirts &amp; Polos"/>
    <x v="0"/>
    <x v="2"/>
    <s v="Beige"/>
    <s v="S"/>
    <n v="22.85"/>
    <n v="22.85"/>
    <s v="Regular Price"/>
    <s v="EUR"/>
    <n v="300"/>
    <s v="4.5"/>
    <s v="0"/>
    <m/>
    <m/>
    <s v="Yes"/>
    <d v="2023-01-29T00:00:00"/>
    <s v="https://img01.ztat.net/article/ZL100057.jpg"/>
    <n v="0"/>
    <s v="No Discount"/>
  </r>
  <r>
    <s v="ZL100059"/>
    <s v="https://www.zalando.de/adidas-performance-regular-fit-polo---dark-blue-zl100059/"/>
    <x v="6"/>
    <s v="Regular Fit POLO - DARK BLUE"/>
    <s v="Men's T-Shirts &amp; Polos"/>
    <x v="0"/>
    <x v="3"/>
    <s v="Dark Blue"/>
    <s v="XS"/>
    <n v="33.19"/>
    <n v="33.19"/>
    <s v="Regular Price"/>
    <s v="EUR"/>
    <n v="782"/>
    <s v="0"/>
    <s v="46.0"/>
    <m/>
    <m/>
    <s v="Yes"/>
    <d v="2023-01-29T00:00:00"/>
    <s v="https://img01.ztat.net/article/ZL100059.jpg"/>
    <n v="0"/>
    <s v="No Discount"/>
  </r>
  <r>
    <s v="ZL100060"/>
    <s v="https://www.zalando.de/digel-regular-fit-polo---anthracite-zl100060/"/>
    <x v="84"/>
    <s v="Regular Fit POLO - ANTHRACITE"/>
    <s v="Men's T-Shirts &amp; Polos"/>
    <x v="0"/>
    <x v="0"/>
    <s v="Anthracite"/>
    <s v="M"/>
    <n v="32.96"/>
    <n v="32.96"/>
    <s v="Regular Price"/>
    <s v="EUR"/>
    <n v="678"/>
    <s v="0"/>
    <s v="24.0"/>
    <m/>
    <m/>
    <s v="Yes"/>
    <d v="2023-01-29T00:00:00"/>
    <s v="https://img01.ztat.net/article/ZL100060.jpg"/>
    <n v="0"/>
    <s v="No Discount"/>
  </r>
  <r>
    <s v="ZL100061"/>
    <s v="https://www.zalando.de/nike-slim-fit-t-shirt---beige-zl100061/"/>
    <x v="25"/>
    <s v="Slim Fit T-SHIRT - BEIGE"/>
    <s v="Men's T-Shirts &amp; Polos"/>
    <x v="1"/>
    <x v="6"/>
    <s v="Beige"/>
    <s v="S"/>
    <n v="27.54"/>
    <n v="27.54"/>
    <s v="Regular Price"/>
    <s v="EUR"/>
    <n v="297"/>
    <s v="4.7"/>
    <s v="35.0"/>
    <m/>
    <m/>
    <s v="Yes"/>
    <d v="2023-01-29T00:00:00"/>
    <s v="https://img01.ztat.net/article/ZL100061.jpg"/>
    <n v="0"/>
    <s v="No Discount"/>
  </r>
  <r>
    <s v="ZL100062"/>
    <s v="https://www.zalando.de/jack-jones-junior-regular-fit-t-shirt---navy-zl100062/"/>
    <x v="34"/>
    <s v="Regular Fit T-SHIRT - NAVY"/>
    <s v="Men's T-Shirts &amp; Polos"/>
    <x v="1"/>
    <x v="5"/>
    <s v="Navy"/>
    <s v="XS"/>
    <n v="16.940000000000001"/>
    <n v="16.940000000000001"/>
    <s v="Regular Price"/>
    <s v="EUR"/>
    <n v="956"/>
    <s v="3.5"/>
    <s v="32.0"/>
    <m/>
    <m/>
    <s v="Yes"/>
    <d v="2023-01-29T00:00:00"/>
    <s v="https://img01.ztat.net/article/ZL100062.jpg"/>
    <n v="0"/>
    <s v="No Discount"/>
  </r>
  <r>
    <s v="ZL100064"/>
    <s v="https://www.zalando.de/tommy-hilfiger-regular-fit-polo---mint-zl100064/"/>
    <x v="8"/>
    <s v="Regular Fit Polo - Mint"/>
    <s v="Men's T-Shirts &amp; Polos"/>
    <x v="0"/>
    <x v="3"/>
    <s v="Mint"/>
    <s v="S"/>
    <n v="16.559999999999999"/>
    <n v="16.559999999999999"/>
    <s v="Regular Price"/>
    <s v="EUR"/>
    <n v="829"/>
    <s v="4.4"/>
    <s v="32.0"/>
    <m/>
    <m/>
    <s v="No"/>
    <d v="2023-01-29T00:00:00"/>
    <s v="https://img01.ztat.net/article/ZL100064.jpg"/>
    <n v="0"/>
    <s v="No Discount"/>
  </r>
  <r>
    <s v="ZL100065"/>
    <s v="https://www.zalando.de/tommy-hilfiger-print-t-shirt---beige-zl100065/"/>
    <x v="8"/>
    <s v="Print T-SHIRT - BEIGE"/>
    <s v="Men's T-Shirts &amp; Polos"/>
    <x v="1"/>
    <x v="5"/>
    <s v="Beige"/>
    <s v="S"/>
    <n v="11.66"/>
    <n v="11.66"/>
    <s v="Regular Price"/>
    <s v="EUR"/>
    <n v="225"/>
    <s v="4.9"/>
    <s v="43.0"/>
    <m/>
    <m/>
    <s v="No"/>
    <d v="2023-01-29T00:00:00"/>
    <s v="https://img01.ztat.net/article/ZL100065.jpg"/>
    <n v="0"/>
    <s v="No Discount"/>
  </r>
  <r>
    <s v="ZL100068"/>
    <s v="https://www.zalando.de/converse-regular-fit-polo---bordeaux-zl100068/"/>
    <x v="54"/>
    <s v="Regular Fit POLO - BORDEAUX"/>
    <s v="Men's T-Shirts &amp; Polos"/>
    <x v="0"/>
    <x v="3"/>
    <m/>
    <s v="M"/>
    <n v="19.04"/>
    <n v="19.04"/>
    <s v="Regular Price"/>
    <s v="EUR"/>
    <n v="631"/>
    <s v="0"/>
    <s v="25.0"/>
    <m/>
    <m/>
    <s v="Yes"/>
    <d v="2023-01-29T00:00:00"/>
    <s v="https://img01.ztat.net/article/ZL100068.jpg"/>
    <n v="0"/>
    <s v="No Discount"/>
  </r>
  <r>
    <s v="ZL100070"/>
    <s v="https://www.zalando.de/nike-basic-t-shirt---light-grey-zl100070/"/>
    <x v="25"/>
    <s v="Basic T-SHIRT - LIGHT GREY"/>
    <s v="Men's T-Shirts &amp; Polos"/>
    <x v="1"/>
    <x v="6"/>
    <s v="Light Grey"/>
    <s v="XS"/>
    <n v="14.07"/>
    <n v="14.07"/>
    <s v="Regular Price"/>
    <s v="EUR"/>
    <n v="437"/>
    <s v="4.9"/>
    <s v="29.0"/>
    <m/>
    <m/>
    <s v="Yes"/>
    <d v="2023-01-29T00:00:00"/>
    <s v="https://img01.ztat.net/article/ZL100070.jpg"/>
    <n v="0"/>
    <s v="No Discount"/>
  </r>
  <r>
    <s v="ZL100075"/>
    <s v="https://www.zalando.de/jackandjones-plus-basic-t-shirt---mint-zl100075/"/>
    <x v="64"/>
    <s v="Basic T-SHIRT - MINT"/>
    <s v="Men's T-Shirts &amp; Polos"/>
    <x v="1"/>
    <x v="6"/>
    <s v="Mint"/>
    <s v="S"/>
    <n v="8.99"/>
    <n v="8.99"/>
    <s v="Regular Price"/>
    <s v="EUR"/>
    <n v="174"/>
    <s v="4.5"/>
    <s v="40.0"/>
    <m/>
    <m/>
    <s v="Yes"/>
    <d v="2023-01-29T00:00:00"/>
    <s v="https://img01.ztat.net/article/ZL100075.jpg"/>
    <n v="0"/>
    <s v="No Discount"/>
  </r>
  <r>
    <s v="ZL100080"/>
    <s v="https://www.zalando.de/nn07-basic-t-shirt---olive-zl100080/"/>
    <x v="25"/>
    <s v="Basic T-SHIRT - OLIVE"/>
    <s v="Men's T-Shirts &amp; Polos"/>
    <x v="1"/>
    <x v="6"/>
    <s v="Olive"/>
    <s v="XS"/>
    <n v="27.4"/>
    <n v="27.4"/>
    <s v="Regular Price"/>
    <s v="EUR"/>
    <n v="805"/>
    <s v="4.8"/>
    <s v="44.0"/>
    <m/>
    <m/>
    <s v="No"/>
    <d v="2023-01-29T00:00:00"/>
    <s v="https://img01.ztat.net/article/ZL100080.jpg"/>
    <n v="0"/>
    <s v="No Discount"/>
  </r>
  <r>
    <s v="ZL100081"/>
    <s v="https://www.zalando.de/fila-slim-fit-polo---white-zl100081/"/>
    <x v="39"/>
    <s v="Slim Fit POLO - WHITE"/>
    <s v="Men's T-Shirts &amp; Polos"/>
    <x v="0"/>
    <x v="2"/>
    <s v="White"/>
    <s v="XS"/>
    <n v="15.22"/>
    <n v="15.22"/>
    <s v="Regular Price"/>
    <s v="EUR"/>
    <n v="288"/>
    <s v="4.4"/>
    <s v="31.0"/>
    <m/>
    <m/>
    <s v="Yes"/>
    <d v="2023-01-29T00:00:00"/>
    <s v="https://img01.ztat.net/article/ZL100081.jpg"/>
    <n v="0"/>
    <s v="No Discount"/>
  </r>
  <r>
    <s v="ZL100086"/>
    <s v="https://www.zalando.de/adidas-performance-basic-polo---white-zl100086/"/>
    <x v="6"/>
    <s v="Basic POLO - WHITE"/>
    <s v="Men's T-Shirts &amp; Polos"/>
    <x v="0"/>
    <x v="0"/>
    <s v="White"/>
    <s v="XS"/>
    <n v="17.23"/>
    <n v="17.23"/>
    <s v="Regular Price"/>
    <s v="EUR"/>
    <n v="783"/>
    <s v="3.9"/>
    <s v="28.0"/>
    <m/>
    <m/>
    <s v="Yes"/>
    <d v="2023-01-29T00:00:00"/>
    <s v="https://img01.ztat.net/article/ZL100086.jpg"/>
    <n v="0"/>
    <s v="No Discount"/>
  </r>
  <r>
    <s v="ZL100089"/>
    <s v="https://www.zalando.de/zalando-essentials-essential-polo---dark-blue-zl100089/"/>
    <x v="99"/>
    <s v="Essential POLO - DARK BLUE"/>
    <s v="Men's T-Shirts &amp; Polos"/>
    <x v="0"/>
    <x v="3"/>
    <s v="Dark Blue"/>
    <s v="S"/>
    <n v="24.77"/>
    <n v="24.77"/>
    <s v="Regular Price"/>
    <s v="EUR"/>
    <n v="932"/>
    <s v="4.9"/>
    <s v="41.0"/>
    <m/>
    <m/>
    <s v="Yes"/>
    <d v="2023-01-29T00:00:00"/>
    <s v="https://img01.ztat.net/article/ZL100089.jpg"/>
    <n v="0"/>
    <s v="No Discount"/>
  </r>
  <r>
    <s v="ZL100091"/>
    <s v="https://www.zalando.de/minimum-print-polo---beige-zl100091/"/>
    <x v="111"/>
    <s v="Print POLO - BEIGE"/>
    <s v="Men's T-Shirts &amp; Polos"/>
    <x v="0"/>
    <x v="3"/>
    <s v="Beige"/>
    <s v="S"/>
    <n v="23.37"/>
    <n v="23.37"/>
    <s v="Regular Price"/>
    <s v="EUR"/>
    <n v="448"/>
    <s v="3.7"/>
    <s v="41.0"/>
    <m/>
    <m/>
    <s v="No"/>
    <d v="2023-01-29T00:00:00"/>
    <s v="https://img01.ztat.net/article/ZL100091.jpg"/>
    <n v="0"/>
    <s v="No Discount"/>
  </r>
  <r>
    <s v="ZL100096"/>
    <s v="https://www.zalando.de/produkt-print-t-shirt---navy-zl100096/"/>
    <x v="0"/>
    <s v="Print T-SHIRT - NAVY"/>
    <s v="Men's T-Shirts &amp; Polos"/>
    <x v="1"/>
    <x v="6"/>
    <s v="Navy"/>
    <s v="M"/>
    <n v="29.27"/>
    <n v="29.27"/>
    <s v="Regular Price"/>
    <s v="EUR"/>
    <n v="683"/>
    <s v="3.3"/>
    <s v="36.0"/>
    <m/>
    <m/>
    <s v="Yes"/>
    <d v="2023-01-29T00:00:00"/>
    <s v="https://img01.ztat.net/article/ZL100096.jpg"/>
    <n v="0"/>
    <s v="No Discount"/>
  </r>
  <r>
    <s v="ZL100097"/>
    <s v="https://www.zalando.de/calvin-klein-basic-t-shirt---off-white-zl100097/"/>
    <x v="14"/>
    <s v="Basic T-SHIRT - OFF WHITE"/>
    <s v="Men's T-Shirts &amp; Polos"/>
    <x v="1"/>
    <x v="1"/>
    <s v="Off White"/>
    <s v="M"/>
    <n v="24.66"/>
    <n v="24.66"/>
    <s v="Regular Price"/>
    <s v="EUR"/>
    <n v="42"/>
    <s v="4.9"/>
    <s v="34.0"/>
    <m/>
    <m/>
    <s v="Yes"/>
    <d v="2023-01-29T00:00:00"/>
    <s v="https://img01.ztat.net/article/ZL100097.jpg"/>
    <n v="0"/>
    <s v="No Discount"/>
  </r>
  <r>
    <s v="ZL100098"/>
    <s v="https://www.zalando.de/marc-o'polo-regular-fit-t-shirt---off-white-zl100098/"/>
    <x v="112"/>
    <s v="Regular Fit T-SHIRT - OFF WHITE"/>
    <s v="Men's T-Shirts &amp; Polos"/>
    <x v="1"/>
    <x v="6"/>
    <s v="Off White"/>
    <s v="S"/>
    <n v="30.92"/>
    <n v="30.92"/>
    <s v="Regular Price"/>
    <s v="EUR"/>
    <n v="867"/>
    <s v="3.1"/>
    <s v="34.0"/>
    <m/>
    <m/>
    <s v="Yes"/>
    <d v="2023-01-29T00:00:00"/>
    <s v="https://img01.ztat.net/article/ZL100098.jpg"/>
    <n v="0"/>
    <s v="No Discount"/>
  </r>
  <r>
    <s v="ZL100099"/>
    <s v="https://www.zalando.de/burton-menswear-london-basic-t-shirt---denim-blue-zl100099/"/>
    <x v="58"/>
    <s v="Basic T-SHIRT - DENIM BLUE"/>
    <s v="Men's T-Shirts &amp; Polos"/>
    <x v="1"/>
    <x v="6"/>
    <s v="Denim Blue"/>
    <s v="S"/>
    <n v="11.53"/>
    <n v="11.53"/>
    <s v="Regular Price"/>
    <s v="EUR"/>
    <n v="676"/>
    <s v="4.2"/>
    <s v="30.0"/>
    <m/>
    <m/>
    <s v="Yes"/>
    <d v="2023-01-29T00:00:00"/>
    <s v="https://img01.ztat.net/article/ZL100099.jpg"/>
    <n v="0"/>
    <s v="No Discount"/>
  </r>
  <r>
    <s v="ZL100100"/>
    <s v="https://www.zalando.de/yourturn-basic-polo---white-zl100100/"/>
    <x v="49"/>
    <s v="Basic Polo - White"/>
    <s v="Men's T-Shirts &amp; Polos"/>
    <x v="0"/>
    <x v="0"/>
    <s v="White"/>
    <s v="M"/>
    <n v="8.99"/>
    <n v="8.99"/>
    <s v="Regular Price"/>
    <s v="EUR"/>
    <n v="879"/>
    <s v="3.7"/>
    <s v="41.0"/>
    <m/>
    <m/>
    <s v="No"/>
    <d v="2023-01-29T00:00:00"/>
    <s v="https://img01.ztat.net/article/ZL100100.jpg"/>
    <n v="0"/>
    <s v="No Discount"/>
  </r>
  <r>
    <s v="ZL100101"/>
    <s v="https://www.zalando.de/nike-regular-fit-t-shirt---denim-blue-zl100101/"/>
    <x v="25"/>
    <s v="Regular Fit T-SHIRT - DENIM BLUE"/>
    <s v="Men's T-Shirts &amp; Polos"/>
    <x v="1"/>
    <x v="1"/>
    <s v="Denim Blue"/>
    <s v="S"/>
    <n v="21.38"/>
    <n v="21.38"/>
    <s v="Regular Price"/>
    <s v="EUR"/>
    <n v="562"/>
    <s v="4.0"/>
    <s v="32.0"/>
    <m/>
    <m/>
    <s v="No"/>
    <d v="2023-01-29T00:00:00"/>
    <s v="https://img01.ztat.net/article/ZL100101.jpg"/>
    <n v="0"/>
    <s v="No Discount"/>
  </r>
  <r>
    <s v="ZL100102"/>
    <s v="https://www.zalando.de/nike-sportswear-basic-polo---navy-zl100102/"/>
    <x v="101"/>
    <s v="Basic POLO - NAVY"/>
    <s v="Men's T-Shirts &amp; Polos"/>
    <x v="0"/>
    <x v="2"/>
    <s v="Navy"/>
    <s v="XS"/>
    <n v="10.039999999999999"/>
    <n v="10.039999999999999"/>
    <s v="Regular Price"/>
    <s v="EUR"/>
    <n v="51"/>
    <s v="4.6"/>
    <s v="32.0"/>
    <m/>
    <m/>
    <s v="Yes"/>
    <d v="2023-01-29T00:00:00"/>
    <s v="https://img01.ztat.net/article/ZL100102.jpg"/>
    <n v="0"/>
    <s v="No Discount"/>
  </r>
  <r>
    <s v="ZL100103"/>
    <s v="https://www.zalando.de/blend-regular-fit-polo---red-zl100103/"/>
    <x v="113"/>
    <s v="Regular Fit POLO - RED"/>
    <s v="Men's T-Shirts &amp; Polos"/>
    <x v="0"/>
    <x v="0"/>
    <s v="Red"/>
    <s v=""/>
    <n v="14.01"/>
    <n v="14.01"/>
    <s v="Regular Price"/>
    <s v="EUR"/>
    <n v="837"/>
    <s v="3.2"/>
    <s v="34.0"/>
    <m/>
    <m/>
    <s v="Yes"/>
    <d v="2023-01-29T00:00:00"/>
    <s v="https://img01.ztat.net/article/ZL100103.jpg"/>
    <n v="0"/>
    <s v="No Discount"/>
  </r>
  <r>
    <s v="ZL100104"/>
    <s v="https://www.zalando.de/timberland-pro-basic-polo---dark-green-zl100104/"/>
    <x v="15"/>
    <s v="Basic POLO - DARK GREEN"/>
    <s v="Men's T-Shirts &amp; Polos"/>
    <x v="0"/>
    <x v="3"/>
    <s v="Dark Green"/>
    <s v=""/>
    <n v="18.32"/>
    <n v="18.32"/>
    <s v="Regular Price"/>
    <s v="EUR"/>
    <n v="623"/>
    <s v="N/A"/>
    <s v="0"/>
    <m/>
    <m/>
    <s v="No"/>
    <d v="2023-01-29T00:00:00"/>
    <s v="https://img01.ztat.net/article/ZL100104.jpg"/>
    <n v="0"/>
    <s v="No Discount"/>
  </r>
  <r>
    <s v="ZL100105"/>
    <s v="https://www.zalando.de/bershka-regular-fit-polo---bordeaux-zl100105/"/>
    <x v="13"/>
    <s v="Regular Fit POLO - BORDEAUX"/>
    <s v="Men's T-Shirts &amp; Polos"/>
    <x v="0"/>
    <x v="3"/>
    <s v="Bordeaux"/>
    <s v="S"/>
    <n v="8.99"/>
    <n v="8.99"/>
    <s v="Regular Price"/>
    <s v="EUR"/>
    <n v="887"/>
    <s v="4.7"/>
    <s v="30.0"/>
    <m/>
    <m/>
    <s v="No"/>
    <d v="2023-01-29T00:00:00"/>
    <s v="https://img01.ztat.net/article/ZL100105.jpg"/>
    <n v="0"/>
    <s v="No Discount"/>
  </r>
  <r>
    <s v="ZL100106"/>
    <s v="https://www.zalando.de/nike-basic-polo---rust-zl100106/"/>
    <x v="25"/>
    <s v="Basic POLO - RUST"/>
    <s v="Men's T-Shirts &amp; Polos"/>
    <x v="0"/>
    <x v="2"/>
    <m/>
    <s v="XS"/>
    <n v="8.99"/>
    <n v="8.99"/>
    <s v="Regular Price"/>
    <s v="EUR"/>
    <n v="640"/>
    <s v="4.6"/>
    <s v="41.0"/>
    <m/>
    <m/>
    <s v="Yes"/>
    <d v="2023-01-29T00:00:00"/>
    <s v="https://img01.ztat.net/article/ZL100106.jpg"/>
    <n v="0"/>
    <s v="No Discount"/>
  </r>
  <r>
    <s v="ZL100108"/>
    <s v="https://www.zalando.de/nike-basic-polo---black-zl100108/"/>
    <x v="25"/>
    <s v="Basic POLO - BLACK"/>
    <s v="Men's T-Shirts &amp; Polos"/>
    <x v="0"/>
    <x v="0"/>
    <s v="Black"/>
    <s v="S"/>
    <n v="20.09"/>
    <n v="20.09"/>
    <s v="Regular Price"/>
    <s v="EUR"/>
    <n v="447"/>
    <s v="3.1"/>
    <s v="35.0"/>
    <m/>
    <m/>
    <s v="Yes"/>
    <d v="2023-01-29T00:00:00"/>
    <s v="https://img01.ztat.net/article/ZL100108.jpg"/>
    <n v="0"/>
    <s v="No Discount"/>
  </r>
  <r>
    <s v="ZL100112"/>
    <s v="https://www.zalando.de/baldessarini-basic-t-shirt---off-white-zl100112/"/>
    <x v="114"/>
    <s v="Basic T-SHIRT - OFF WHITE"/>
    <s v="Men's T-Shirts &amp; Polos"/>
    <x v="1"/>
    <x v="1"/>
    <m/>
    <s v="S"/>
    <n v="13.67"/>
    <n v="13.67"/>
    <s v="NEW"/>
    <s v="EUR"/>
    <n v="24"/>
    <s v="3.2"/>
    <s v="32.0"/>
    <m/>
    <m/>
    <s v="No"/>
    <d v="2023-01-29T00:00:00"/>
    <s v="https://img01.ztat.net/article/ZL100112.jpg"/>
    <n v="0"/>
    <s v="No Discount"/>
  </r>
  <r>
    <s v="ZL100114"/>
    <s v="https://www.zalando.de/adidas-performance-essential-polo---off-white-zl100114/"/>
    <x v="6"/>
    <s v="Essential POLO - OFF WHITE"/>
    <s v="Men's T-Shirts &amp; Polos"/>
    <x v="0"/>
    <x v="0"/>
    <s v="Off White"/>
    <s v="M"/>
    <n v="10.95"/>
    <n v="10.95"/>
    <s v="Regular Price"/>
    <s v="EUR"/>
    <n v="200"/>
    <s v="3.5"/>
    <s v="26.0"/>
    <m/>
    <m/>
    <s v="Yes"/>
    <d v="2023-01-29T00:00:00"/>
    <s v="https://img01.ztat.net/article/ZL100114.jpg"/>
    <n v="0"/>
    <s v="No Discount"/>
  </r>
  <r>
    <s v="ZL100115"/>
    <s v="https://www.zalando.de/nike-print-polo---grey-melange-zl100115/"/>
    <x v="25"/>
    <s v="Print POLO - GREY MELANGE"/>
    <s v="Men's T-Shirts &amp; Polos"/>
    <x v="0"/>
    <x v="0"/>
    <s v="Grey Melange"/>
    <s v="XS"/>
    <n v="24.31"/>
    <n v="24.31"/>
    <s v="Regular Price"/>
    <s v="EUR"/>
    <n v="827"/>
    <s v="3.8"/>
    <s v="38.0"/>
    <m/>
    <m/>
    <s v="Yes"/>
    <d v="2023-01-29T00:00:00"/>
    <s v="https://img01.ztat.net/article/ZL100115.jpg"/>
    <n v="0"/>
    <s v="No Discount"/>
  </r>
  <r>
    <s v="ZL100118"/>
    <s v="https://www.zalando.de/seidensticker-basic-polo---rust-zl100118/"/>
    <x v="41"/>
    <s v="Basic POLO - RUST"/>
    <s v="Men's T-Shirts &amp; Polos"/>
    <x v="0"/>
    <x v="0"/>
    <s v="Rust"/>
    <s v="M"/>
    <n v="17.88"/>
    <n v="17.88"/>
    <s v="Regular Price"/>
    <s v="EUR"/>
    <n v="865"/>
    <s v="N/A"/>
    <s v="36.0"/>
    <m/>
    <m/>
    <s v="No"/>
    <d v="2023-01-29T00:00:00"/>
    <s v="https://img01.ztat.net/article/ZL100118.jpg"/>
    <n v="0"/>
    <s v="No Discount"/>
  </r>
  <r>
    <s v="ZL100119"/>
    <s v="https://www.zalando.de/only-and-sons-denim-print-polo---bordeaux-zl100119/"/>
    <x v="61"/>
    <s v="Print POLO - BORDEAUX"/>
    <s v="Men's T-Shirts &amp; Polos"/>
    <x v="0"/>
    <x v="2"/>
    <s v="Bordeaux"/>
    <s v="S"/>
    <n v="26.06"/>
    <n v="26.06"/>
    <s v="Regular Price"/>
    <s v="EUR"/>
    <n v="395"/>
    <s v="4.0"/>
    <s v="30.0"/>
    <m/>
    <m/>
    <s v="Yes"/>
    <d v="2023-01-29T00:00:00"/>
    <s v="https://img01.ztat.net/article/ZL100119.jpg"/>
    <n v="0"/>
    <s v="No Discount"/>
  </r>
  <r>
    <s v="ZL100120"/>
    <s v="https://www.zalando.de/pier-one-regular-fit-polo---light-grey-zl100120/"/>
    <x v="62"/>
    <s v="Regular Fit POLO - LIGHT GREY"/>
    <s v="Men's T-Shirts &amp; Polos"/>
    <x v="0"/>
    <x v="3"/>
    <s v="Light Grey"/>
    <s v="S"/>
    <n v="28.28"/>
    <n v="28.28"/>
    <s v="Regular Price"/>
    <s v="EUR"/>
    <n v="880"/>
    <s v="4.9"/>
    <s v="45.0"/>
    <m/>
    <m/>
    <s v="Yes"/>
    <d v="2023-01-29T00:00:00"/>
    <s v="https://img01.ztat.net/article/ZL100120.jpg"/>
    <n v="0"/>
    <s v="No Discount"/>
  </r>
  <r>
    <s v="ZL100122"/>
    <s v="https://www.zalando.de/odlo-print-polo---denim-blue-zl100122/"/>
    <x v="27"/>
    <s v="Print POLO - DENIM BLUE"/>
    <s v="Men's T-Shirts &amp; Polos"/>
    <x v="0"/>
    <x v="3"/>
    <s v="Denim Blue"/>
    <s v="XS"/>
    <n v="29.25"/>
    <n v="29.25"/>
    <s v="Regular Price"/>
    <s v="EUR"/>
    <n v="620"/>
    <s v="4.1"/>
    <s v="38.0"/>
    <m/>
    <m/>
    <s v="Yes"/>
    <d v="2023-01-29T00:00:00"/>
    <s v="https://img01.ztat.net/article/ZL100122.jpg"/>
    <n v="0"/>
    <s v="No Discount"/>
  </r>
  <r>
    <s v="ZL100124"/>
    <s v="https://www.zalando.de/craft-regular-fit-t-shirt---denim-blue-zl100124/"/>
    <x v="31"/>
    <s v="Regular Fit T-SHIRT - DENIM BLUE"/>
    <s v="Men's T-Shirts &amp; Polos"/>
    <x v="1"/>
    <x v="5"/>
    <s v="Denim Blue"/>
    <s v="S"/>
    <n v="21.98"/>
    <n v="21.98"/>
    <s v="Regular Price"/>
    <s v="EUR"/>
    <n v="427"/>
    <s v="0"/>
    <s v="42.0"/>
    <m/>
    <m/>
    <s v="Yes"/>
    <d v="2023-01-29T00:00:00"/>
    <s v="https://img01.ztat.net/article/ZL100124.jpg"/>
    <n v="0"/>
    <s v="No Discount"/>
  </r>
  <r>
    <s v="ZL100126"/>
    <s v="https://www.zalando.de/adidas-performance-essential-t-shirt---black-zl100126/"/>
    <x v="6"/>
    <s v="Essential T-SHIRT - BLACK"/>
    <s v="Men's T-Shirts &amp; Polos"/>
    <x v="1"/>
    <x v="5"/>
    <s v="Black"/>
    <s v="S"/>
    <n v="12.44"/>
    <n v="12.44"/>
    <s v="Regular Price"/>
    <s v="EUR"/>
    <n v="585"/>
    <s v="3.8"/>
    <s v="45.0"/>
    <m/>
    <m/>
    <s v="No"/>
    <d v="2023-01-29T00:00:00"/>
    <s v="https://img01.ztat.net/article/ZL100126.jpg"/>
    <n v="0"/>
    <s v="No Discount"/>
  </r>
  <r>
    <s v="ZL100127"/>
    <s v="https://www.zalando.de/nike-regular-fit-polo---olive-zl100127/"/>
    <x v="25"/>
    <s v="Regular Fit POLO - OLIVE"/>
    <s v="Men's T-Shirts &amp; Polos"/>
    <x v="0"/>
    <x v="0"/>
    <s v="Olive"/>
    <s v="XS"/>
    <n v="21.02"/>
    <n v="21.02"/>
    <s v="Regular Price"/>
    <s v="EUR"/>
    <n v="329"/>
    <s v="4.7"/>
    <s v="0"/>
    <m/>
    <m/>
    <s v="Yes"/>
    <d v="2023-01-29T00:00:00"/>
    <s v="https://img01.ztat.net/article/ZL100127.jpg"/>
    <n v="0"/>
    <s v="No Discount"/>
  </r>
  <r>
    <s v="ZL100129"/>
    <s v="https://www.zalando.de/converse-basic-t-shirt---white-zl100129/"/>
    <x v="54"/>
    <s v="Basic T-SHIRT - WHITE"/>
    <s v="Men's T-Shirts &amp; Polos"/>
    <x v="1"/>
    <x v="6"/>
    <s v="White"/>
    <s v="M"/>
    <n v="30.17"/>
    <n v="30.17"/>
    <s v="Regular Price"/>
    <s v="EUR"/>
    <n v="469"/>
    <s v="0"/>
    <s v="36.0"/>
    <m/>
    <m/>
    <s v="Yes"/>
    <d v="2023-01-29T00:00:00"/>
    <s v="https://img01.ztat.net/article/ZL100129.jpg"/>
    <n v="0"/>
    <s v="No Discount"/>
  </r>
  <r>
    <s v="ZL100130"/>
    <s v="https://www.zalando.de/salomon-essential-polo---denim-blue-zl100130/"/>
    <x v="53"/>
    <s v="Essential POLO - DENIM BLUE"/>
    <s v="Men's T-Shirts &amp; Polos"/>
    <x v="0"/>
    <x v="0"/>
    <s v="Denim Blue"/>
    <s v="S"/>
    <n v="16.5"/>
    <n v="16.5"/>
    <s v="Regular Price"/>
    <s v="EUR"/>
    <n v="658"/>
    <s v="3.1"/>
    <s v="31.0"/>
    <m/>
    <m/>
    <s v="Yes"/>
    <d v="2023-01-29T00:00:00"/>
    <s v="https://img01.ztat.net/article/ZL100130.jpg"/>
    <n v="0"/>
    <s v="No Discount"/>
  </r>
  <r>
    <s v="ZL100131"/>
    <s v="https://www.zalando.de/cars-print-t-shirt---bordeaux-zl100131/"/>
    <x v="30"/>
    <s v="Print T-SHIRT - BORDEAUX"/>
    <s v="Men's T-Shirts &amp; Polos"/>
    <x v="1"/>
    <x v="6"/>
    <s v="Bordeaux"/>
    <s v="S"/>
    <n v="8.99"/>
    <n v="8.99"/>
    <s v="Regular Price"/>
    <s v="EUR"/>
    <n v="287"/>
    <s v="0"/>
    <s v="33.0"/>
    <m/>
    <m/>
    <s v="Yes"/>
    <d v="2023-01-29T00:00:00"/>
    <s v="https://img01.ztat.net/article/ZL100131.jpg"/>
    <n v="0"/>
    <s v="No Discount"/>
  </r>
  <r>
    <s v="ZL100134"/>
    <s v="https://www.zalando.de/tommy-hilfiger-essential-polo---beige-zl100134/"/>
    <x v="8"/>
    <s v="Essential POLO - BEIGE"/>
    <s v="Men's T-Shirts &amp; Polos"/>
    <x v="0"/>
    <x v="2"/>
    <s v="Beige"/>
    <s v="XS"/>
    <n v="16.61"/>
    <n v="16.61"/>
    <s v="Regular Price"/>
    <s v="EUR"/>
    <n v="939"/>
    <s v="4.6"/>
    <s v="38.0"/>
    <m/>
    <m/>
    <s v="Yes"/>
    <d v="2023-01-29T00:00:00"/>
    <s v="https://img01.ztat.net/article/ZL100134.jpg"/>
    <n v="0"/>
    <s v="No Discount"/>
  </r>
  <r>
    <s v="ZL100136"/>
    <s v="https://www.zalando.de/windsor.-essential-t-shirt---royal-blue-zl100136/"/>
    <x v="115"/>
    <s v="Essential T-SHIRT - ROYAL BLUE"/>
    <s v="Men's T-Shirts &amp; Polos"/>
    <x v="1"/>
    <x v="6"/>
    <s v="Royal Blue"/>
    <s v="S"/>
    <n v="31.33"/>
    <n v="31.33"/>
    <s v="Regular Price"/>
    <s v="EUR"/>
    <n v="257"/>
    <s v="4.2"/>
    <s v="30.0"/>
    <m/>
    <m/>
    <s v="Yes"/>
    <d v="2023-01-29T00:00:00"/>
    <s v="https://img01.ztat.net/article/ZL100136.jpg"/>
    <n v="0"/>
    <s v="No Discount"/>
  </r>
  <r>
    <s v="ZL100137"/>
    <s v="https://www.zalando.de/boss-print-polo---denim-blue-zl100137/"/>
    <x v="48"/>
    <s v="Print POLO - DENIM BLUE"/>
    <s v="Men's T-Shirts &amp; Polos"/>
    <x v="0"/>
    <x v="0"/>
    <s v="Denim Blue"/>
    <s v="S"/>
    <n v="15.62"/>
    <n v="15.62"/>
    <s v="Regular Price"/>
    <s v="EUR"/>
    <n v="351"/>
    <s v="4.1"/>
    <s v="33.0"/>
    <m/>
    <m/>
    <s v="Yes"/>
    <d v="2023-01-29T00:00:00"/>
    <s v="https://img01.ztat.net/article/ZL100137.jpg"/>
    <n v="0"/>
    <s v="No Discount"/>
  </r>
  <r>
    <s v="ZL100139"/>
    <s v="https://www.zalando.de/tommy-hilfiger-essential-t-shirt---red-zl100139/"/>
    <x v="8"/>
    <s v="Essential T-SHIRT - RED"/>
    <s v="Men's T-Shirts &amp; Polos"/>
    <x v="1"/>
    <x v="5"/>
    <s v="Red"/>
    <s v="S"/>
    <n v="26.31"/>
    <n v="26.31"/>
    <s v="Regular Price"/>
    <s v="EUR"/>
    <n v="633"/>
    <s v="4.5"/>
    <s v="44.0"/>
    <m/>
    <m/>
    <s v="No"/>
    <d v="2023-01-29T00:00:00"/>
    <s v="https://img01.ztat.net/article/ZL100139.jpg"/>
    <n v="0"/>
    <s v="No Discount"/>
  </r>
  <r>
    <s v="ZL100141"/>
    <s v="https://www.zalando.de/selected-homme-print-polo---black-zl100141/"/>
    <x v="2"/>
    <s v="Print POLO - BLACK"/>
    <s v="Men's T-Shirts &amp; Polos"/>
    <x v="0"/>
    <x v="0"/>
    <s v="Black"/>
    <s v="XS"/>
    <n v="22.78"/>
    <n v="22.78"/>
    <s v="Regular Price"/>
    <s v="EUR"/>
    <n v="711"/>
    <s v="3.2"/>
    <s v="37.0"/>
    <m/>
    <m/>
    <s v="Yes"/>
    <d v="2023-01-29T00:00:00"/>
    <s v="https://img01.ztat.net/article/ZL100141.jpg"/>
    <n v="0"/>
    <s v="No Discount"/>
  </r>
  <r>
    <s v="ZL100143"/>
    <s v="https://www.zalando.de/yourturn-slim-fit-t-shirt---mint-zl100143/"/>
    <x v="49"/>
    <s v="Slim Fit T-SHIRT - MINT"/>
    <s v="Men's T-Shirts &amp; Polos"/>
    <x v="1"/>
    <x v="6"/>
    <s v="Mint"/>
    <s v="XS"/>
    <n v="29.05"/>
    <n v="29.05"/>
    <s v="Regular Price"/>
    <s v="EUR"/>
    <n v="431"/>
    <s v="3.0"/>
    <s v="27.0"/>
    <m/>
    <m/>
    <s v="No"/>
    <d v="2023-01-29T00:00:00"/>
    <s v="https://img01.ztat.net/article/ZL100143.jpg"/>
    <n v="0"/>
    <s v="No Discount"/>
  </r>
  <r>
    <s v="ZL100146"/>
    <s v="https://www.zalando.de/only-sons-slim-fit-polo---anthracite-zl100146/"/>
    <x v="61"/>
    <s v="Slim Fit POLO - ANTHRACITE"/>
    <s v="Men's T-Shirts &amp; Polos"/>
    <x v="0"/>
    <x v="0"/>
    <s v="Anthracite"/>
    <s v="S"/>
    <n v="11.22"/>
    <n v="11.22"/>
    <s v="Regular Price"/>
    <s v="EUR"/>
    <n v="31"/>
    <s v="4.2"/>
    <s v="31.0"/>
    <m/>
    <m/>
    <s v="Yes"/>
    <d v="2023-01-29T00:00:00"/>
    <s v="https://img01.ztat.net/article/ZL100146.jpg"/>
    <n v="0"/>
    <s v="No Discount"/>
  </r>
  <r>
    <s v="ZL100147"/>
    <s v="https://www.zalando.de/french-connection-slim-fit-t-shirt---black-zl100147/"/>
    <x v="116"/>
    <s v="Slim Fit T-SHIRT - BLACK"/>
    <s v="Men's T-Shirts &amp; Polos"/>
    <x v="1"/>
    <x v="1"/>
    <s v="Black"/>
    <s v="XS"/>
    <n v="15.38"/>
    <n v="15.38"/>
    <s v="Regular Price"/>
    <s v="EUR"/>
    <n v="750"/>
    <s v="N/A"/>
    <s v="36.0"/>
    <m/>
    <m/>
    <s v="Yes"/>
    <d v="2023-01-29T00:00:00"/>
    <s v="https://img01.ztat.net/article/ZL100147.jpg"/>
    <n v="0"/>
    <s v="No Discount"/>
  </r>
  <r>
    <s v="ZL100148"/>
    <s v="https://www.zalando.de/quiksilver-print-t-shirt---anthracite-zl100148/"/>
    <x v="70"/>
    <s v="Print T-SHIRT - ANTHRACITE"/>
    <s v="Men's T-Shirts &amp; Polos"/>
    <x v="1"/>
    <x v="4"/>
    <s v="Anthracite"/>
    <s v="S"/>
    <n v="20.67"/>
    <n v="20.67"/>
    <s v="Regular Price"/>
    <s v="EUR"/>
    <n v="949"/>
    <s v="4.4"/>
    <s v="31.0"/>
    <m/>
    <m/>
    <s v="Yes"/>
    <d v="2023-01-29T00:00:00"/>
    <s v="https://img01.ztat.net/article/ZL100148.jpg"/>
    <n v="0"/>
    <s v="No Discount"/>
  </r>
  <r>
    <s v="ZL100149"/>
    <s v="https://www.zalando.de/nike-essential-polo---red-zl100149/"/>
    <x v="25"/>
    <s v="Essential POLO - RED"/>
    <s v="Men's T-Shirts &amp; Polos"/>
    <x v="0"/>
    <x v="3"/>
    <s v="Red"/>
    <s v="S"/>
    <n v="14.01"/>
    <n v="14.01"/>
    <s v="Regular Price"/>
    <s v="EUR"/>
    <n v="967"/>
    <s v="3.7"/>
    <s v="36.0"/>
    <m/>
    <m/>
    <s v="Yes"/>
    <d v="2023-01-29T00:00:00"/>
    <s v="https://img01.ztat.net/article/ZL100149.jpg"/>
    <n v="0"/>
    <s v="No Discount"/>
  </r>
  <r>
    <s v="ZL100150"/>
    <s v="https://www.zalando.de/river-island-basic-polo---khaki-zl100150/"/>
    <x v="117"/>
    <s v="Basic POLO - KHAKI"/>
    <s v="Men's T-Shirts &amp; Polos"/>
    <x v="0"/>
    <x v="2"/>
    <s v="Khaki"/>
    <s v="M"/>
    <n v="9.5"/>
    <n v="9.5"/>
    <s v="Regular Price"/>
    <s v="EUR"/>
    <n v="27"/>
    <s v="3.9"/>
    <s v="N/A"/>
    <m/>
    <m/>
    <s v="No"/>
    <d v="2023-01-29T00:00:00"/>
    <s v="https://img01.ztat.net/article/ZL100150.jpg"/>
    <n v="0"/>
    <s v="No Discount"/>
  </r>
  <r>
    <s v="ZL100152"/>
    <s v="https://www.zalando.de/champion-essential-polo---bordeaux-zl100152/"/>
    <x v="103"/>
    <s v="Essential POLO - BORDEAUX"/>
    <s v="Men's T-Shirts &amp; Polos"/>
    <x v="0"/>
    <x v="2"/>
    <s v="Bordeaux"/>
    <s v=""/>
    <n v="13.74"/>
    <n v="13.74"/>
    <s v="Regular Price"/>
    <s v="EUR"/>
    <n v="172"/>
    <s v="3.9"/>
    <s v="32.0"/>
    <m/>
    <m/>
    <s v="No"/>
    <d v="2023-01-29T00:00:00"/>
    <s v="https://img01.ztat.net/article/ZL100152.jpg"/>
    <n v="0"/>
    <s v="No Discount"/>
  </r>
  <r>
    <s v="ZL100153"/>
    <s v="https://www.zalando.de/reebok-essential-t-shirt---mint-zl100153/"/>
    <x v="37"/>
    <s v="Essential T-SHIRT - MINT"/>
    <s v="Men's T-Shirts &amp; Polos"/>
    <x v="1"/>
    <x v="1"/>
    <s v="Mint"/>
    <s v="XS"/>
    <n v="16.55"/>
    <n v="16.55"/>
    <s v="Regular Price"/>
    <s v="EUR"/>
    <n v="75"/>
    <s v="3.2"/>
    <s v="29.0"/>
    <m/>
    <m/>
    <s v="Yes"/>
    <d v="2023-01-29T00:00:00"/>
    <s v="https://img01.ztat.net/article/ZL100153.jpg"/>
    <n v="0"/>
    <s v="No Discount"/>
  </r>
  <r>
    <s v="ZL100154"/>
    <s v="https://www.zalando.de/calvin-klein-essential-polo---navy-zl100154/"/>
    <x v="14"/>
    <s v="Essential POLO - NAVY"/>
    <s v="Men's T-Shirts &amp; Polos"/>
    <x v="0"/>
    <x v="2"/>
    <s v="Navy"/>
    <s v=""/>
    <n v="23.72"/>
    <n v="23.72"/>
    <s v="Regular Price"/>
    <s v="EUR"/>
    <n v="328"/>
    <s v="0"/>
    <s v="22.0"/>
    <m/>
    <m/>
    <s v="Yes"/>
    <d v="2023-01-29T00:00:00"/>
    <s v="https://img01.ztat.net/article/ZL100154.jpg"/>
    <n v="0"/>
    <s v="No Discount"/>
  </r>
  <r>
    <s v="ZL100155"/>
    <s v="https://www.zalando.de/nike-slim-fit-t-shirt---denim-blue-zl100155/"/>
    <x v="25"/>
    <s v="Slim Fit T-SHIRT - DENIM BLUE"/>
    <s v="Men's T-Shirts &amp; Polos"/>
    <x v="1"/>
    <x v="5"/>
    <s v="Denim Blue"/>
    <s v="S"/>
    <n v="15.98"/>
    <n v="15.98"/>
    <s v="Regular Price"/>
    <s v="EUR"/>
    <n v="216"/>
    <s v="3.9"/>
    <s v="32.0"/>
    <m/>
    <m/>
    <s v="Yes"/>
    <d v="2023-01-29T00:00:00"/>
    <s v="https://img01.ztat.net/article/ZL100155.jpg"/>
    <n v="0"/>
    <s v="No Discount"/>
  </r>
  <r>
    <s v="ZL100159"/>
    <s v="https://www.zalando.de/marc-o'polo-basic-t-shirt---dark-blue-zl100159/"/>
    <x v="112"/>
    <s v="Basic T-SHIRT - DARK BLUE"/>
    <s v="Men's T-Shirts &amp; Polos"/>
    <x v="1"/>
    <x v="5"/>
    <s v="Dark Blue"/>
    <s v="M"/>
    <n v="25.14"/>
    <n v="25.14"/>
    <s v="Regular Price"/>
    <s v="EUR"/>
    <n v="995"/>
    <s v="3.8"/>
    <s v="38.0"/>
    <m/>
    <m/>
    <s v="Yes"/>
    <d v="2023-01-29T00:00:00"/>
    <s v="https://img01.ztat.net/article/ZL100159.jpg"/>
    <n v="0"/>
    <s v="No Discount"/>
  </r>
  <r>
    <s v="ZL100162"/>
    <s v="https://www.zalando.de/nike-basic-polo---denim-blue-zl100162/"/>
    <x v="25"/>
    <s v="Basic POLO - DENIM BLUE"/>
    <s v="Men's T-Shirts &amp; Polos"/>
    <x v="0"/>
    <x v="3"/>
    <s v="Denim Blue"/>
    <s v="XS"/>
    <n v="19.59"/>
    <n v="19.59"/>
    <s v="Regular Price"/>
    <s v="EUR"/>
    <n v="947"/>
    <s v="4.8"/>
    <s v="44.0"/>
    <m/>
    <m/>
    <s v="Yes"/>
    <d v="2023-01-29T00:00:00"/>
    <s v="https://img01.ztat.net/article/ZL100162.jpg"/>
    <n v="0"/>
    <s v="No Discount"/>
  </r>
  <r>
    <s v="ZL100163"/>
    <s v="https://www.zalando.de/matinique-basic-polo---light-grey-zl100163/"/>
    <x v="118"/>
    <s v="Basic POLO - LIGHT GREY"/>
    <s v="Men's T-Shirts &amp; Polos"/>
    <x v="0"/>
    <x v="3"/>
    <s v="Light Grey"/>
    <s v="XS"/>
    <n v="22.22"/>
    <n v="22.22"/>
    <s v="Regular Price"/>
    <s v="EUR"/>
    <n v="644"/>
    <s v="3.5"/>
    <s v="33.0"/>
    <m/>
    <m/>
    <s v="Yes"/>
    <d v="2023-01-29T00:00:00"/>
    <s v="https://img01.ztat.net/article/ZL100163.jpg"/>
    <n v="0"/>
    <s v="No Discount"/>
  </r>
  <r>
    <s v="ZL100164"/>
    <s v="https://www.zalando.de/samsøe-samsøe-basic-polo---rust-zl100164/"/>
    <x v="119"/>
    <s v="Basic POLO - RUST"/>
    <s v="Men's T-Shirts &amp; Polos"/>
    <x v="0"/>
    <x v="0"/>
    <s v="Rust"/>
    <s v="M"/>
    <n v="28.67"/>
    <n v="28.67"/>
    <s v="NEW"/>
    <s v="EUR"/>
    <n v="350"/>
    <s v="4.3"/>
    <s v="0"/>
    <m/>
    <m/>
    <s v="Yes"/>
    <d v="2023-01-29T00:00:00"/>
    <s v="https://img01.ztat.net/article/ZL100164.jpg"/>
    <n v="0"/>
    <s v="No Discount"/>
  </r>
  <r>
    <s v="ZL100165"/>
    <s v="https://www.zalando.de/puma-print-polo---off-white-zl100165/"/>
    <x v="21"/>
    <s v="Print POLO - OFF WHITE"/>
    <s v="Men's T-Shirts &amp; Polos"/>
    <x v="0"/>
    <x v="3"/>
    <s v="Off White"/>
    <s v="S"/>
    <n v="16.2"/>
    <n v="16.2"/>
    <s v="Regular Price"/>
    <s v="EUR"/>
    <n v="895"/>
    <s v="0"/>
    <s v="N/A"/>
    <m/>
    <m/>
    <s v="Yes"/>
    <d v="2023-01-29T00:00:00"/>
    <s v="https://img01.ztat.net/article/ZL100165.jpg"/>
    <n v="0"/>
    <s v="No Discount"/>
  </r>
  <r>
    <s v="ZL100167"/>
    <s v="https://www.zalando.de/tommy-hilfiger-slim-fit-polo---light-grey-zl100167/"/>
    <x v="8"/>
    <s v="Slim Fit POLO - LIGHT GREY"/>
    <s v="Men's T-Shirts &amp; Polos"/>
    <x v="0"/>
    <x v="2"/>
    <s v="Light Grey"/>
    <s v="XS"/>
    <n v="12.05"/>
    <n v="12.05"/>
    <s v="Regular Price"/>
    <s v="EUR"/>
    <n v="594"/>
    <s v="3.8"/>
    <s v="28.0"/>
    <m/>
    <m/>
    <s v="Yes"/>
    <d v="2023-01-29T00:00:00"/>
    <s v="https://img01.ztat.net/article/ZL100167.jpg"/>
    <n v="0"/>
    <s v="No Discount"/>
  </r>
  <r>
    <s v="ZL100169"/>
    <s v="https://www.zalando.de/adidas-performance-regular-fit-t-shirt---mint-zl100169/"/>
    <x v="6"/>
    <s v="Regular Fit T-SHIRT - MINT"/>
    <s v="Men's T-Shirts &amp; Polos"/>
    <x v="1"/>
    <x v="1"/>
    <s v="Mint"/>
    <s v="XS"/>
    <n v="9.27"/>
    <n v="9.27"/>
    <s v="Regular Price"/>
    <s v="EUR"/>
    <n v="714"/>
    <s v="3.2"/>
    <s v="41.0"/>
    <m/>
    <m/>
    <s v="Yes"/>
    <d v="2023-01-29T00:00:00"/>
    <s v="https://img01.ztat.net/article/ZL100169.jpg"/>
    <n v="0"/>
    <s v="No Discount"/>
  </r>
  <r>
    <s v="ZL100170"/>
    <s v="https://www.zalando.de/seidensticker-basic-t-shirt---khaki-zl100170/"/>
    <x v="41"/>
    <s v="Basic T-SHIRT - KHAKI"/>
    <s v="Men's T-Shirts &amp; Polos"/>
    <x v="1"/>
    <x v="1"/>
    <s v="Khaki"/>
    <s v="S"/>
    <n v="18.63"/>
    <n v="18.63"/>
    <s v="Regular Price"/>
    <s v="EUR"/>
    <n v="673"/>
    <s v="4.2"/>
    <s v="43.0"/>
    <m/>
    <m/>
    <s v="Yes"/>
    <d v="2023-01-29T00:00:00"/>
    <s v="https://img01.ztat.net/article/ZL100170.jpg"/>
    <n v="0"/>
    <s v="No Discount"/>
  </r>
  <r>
    <s v="ZL100171"/>
    <s v="https://www.zalando.de/lacoste-slim-fit-t-shirt---black-zl100171/"/>
    <x v="4"/>
    <s v="Slim Fit T-SHIRT - BLACK"/>
    <s v="Men's T-Shirts &amp; Polos"/>
    <x v="1"/>
    <x v="6"/>
    <s v="Black"/>
    <s v="XS"/>
    <n v="11.06"/>
    <n v="11.06"/>
    <s v="Regular Price"/>
    <s v="EUR"/>
    <n v="125"/>
    <s v="3.9"/>
    <s v="37.0"/>
    <m/>
    <m/>
    <s v="Yes"/>
    <d v="2023-01-29T00:00:00"/>
    <s v="https://img01.ztat.net/article/ZL100171.jpg"/>
    <n v="0"/>
    <s v="No Discount"/>
  </r>
  <r>
    <s v="ZL100172"/>
    <s v="https://www.zalando.de/peter-werth-regular-fit-polo---denim-blue-zl100172/"/>
    <x v="93"/>
    <s v="Regular Fit POLO - DENIM BLUE"/>
    <s v="Men's T-Shirts &amp; Polos"/>
    <x v="0"/>
    <x v="0"/>
    <s v="Denim Blue"/>
    <s v="S"/>
    <n v="17.41"/>
    <n v="17.41"/>
    <s v="Regular Price"/>
    <s v="EUR"/>
    <n v="184"/>
    <s v="3.9"/>
    <s v="32.0"/>
    <m/>
    <m/>
    <s v="Yes"/>
    <d v="2023-01-29T00:00:00"/>
    <s v="https://img01.ztat.net/article/ZL100172.jpg"/>
    <n v="0"/>
    <s v="No Discount"/>
  </r>
  <r>
    <s v="ZL100173"/>
    <s v="https://www.zalando.de/pier-1-print-polo---grey-melange-zl100173/"/>
    <x v="62"/>
    <s v="Print POLO - GREY MELANGE"/>
    <s v="Men's T-Shirts &amp; Polos"/>
    <x v="0"/>
    <x v="3"/>
    <s v="Grey Melange"/>
    <s v="XS"/>
    <n v="27.15"/>
    <n v="27.15"/>
    <s v="Regular Price"/>
    <s v="EUR"/>
    <n v="190"/>
    <s v="4.7"/>
    <s v="38.0"/>
    <m/>
    <m/>
    <s v="No"/>
    <d v="2023-01-29T00:00:00"/>
    <s v="https://img01.ztat.net/article/ZL100173.jpg"/>
    <n v="0"/>
    <s v="No Discount"/>
  </r>
  <r>
    <s v="ZL100174"/>
    <s v="https://www.zalando.de/new-look-print-polo---khaki-zl100174/"/>
    <x v="11"/>
    <s v="Print POLO - KHAKI"/>
    <s v="Men's T-Shirts &amp; Polos"/>
    <x v="0"/>
    <x v="3"/>
    <s v="Khaki"/>
    <s v="S"/>
    <n v="15.29"/>
    <n v="15.29"/>
    <s v="Regular Price"/>
    <s v="EUR"/>
    <n v="510"/>
    <s v="4.1"/>
    <s v="40.0"/>
    <m/>
    <m/>
    <s v="Yes"/>
    <d v="2023-01-29T00:00:00"/>
    <s v="https://img01.ztat.net/article/ZL100174.jpg"/>
    <n v="0"/>
    <s v="No Discount"/>
  </r>
  <r>
    <s v="ZL100176"/>
    <s v="https://www.zalando.de/armani-exchange-basic-polo---royal-blue-zl100176/"/>
    <x v="120"/>
    <s v="Basic POLO - ROYAL BLUE"/>
    <s v="Men's T-Shirts &amp; Polos"/>
    <x v="0"/>
    <x v="2"/>
    <s v="Royal Blue"/>
    <s v="S"/>
    <n v="11.61"/>
    <n v="11.61"/>
    <s v="Regular Price"/>
    <s v="EUR"/>
    <n v="771"/>
    <s v="4.8"/>
    <s v="29.0"/>
    <m/>
    <m/>
    <s v="Yes"/>
    <d v="2023-01-29T00:00:00"/>
    <s v="https://img01.ztat.net/article/ZL100176.jpg"/>
    <n v="0"/>
    <s v="No Discount"/>
  </r>
  <r>
    <s v="ZL100177"/>
    <s v="https://www.zalando.de/lacoste-print-t-shirt---bordeaux-zl100177/"/>
    <x v="4"/>
    <s v="Print T-SHIRT - BORDEAUX"/>
    <s v="Men's T-Shirts &amp; Polos"/>
    <x v="1"/>
    <x v="4"/>
    <s v="Bordeaux"/>
    <s v="M"/>
    <n v="22.23"/>
    <n v="22.23"/>
    <s v="Regular Price"/>
    <s v="EUR"/>
    <n v="268"/>
    <s v="3.5"/>
    <s v="43.0"/>
    <m/>
    <m/>
    <s v="Yes"/>
    <d v="2023-01-29T00:00:00"/>
    <s v="https://img01.ztat.net/article/ZL100177.jpg"/>
    <n v="0"/>
    <s v="No Discount"/>
  </r>
  <r>
    <s v="ZL100178"/>
    <s v="https://www.zalando.de/iriedaily-essential-polo---navy-zl100178/"/>
    <x v="66"/>
    <s v="Essential POLO - NAVY"/>
    <s v="Men's T-Shirts &amp; Polos"/>
    <x v="0"/>
    <x v="0"/>
    <s v="Navy"/>
    <s v="S"/>
    <n v="37.04"/>
    <n v="37.04"/>
    <s v="Regular Price"/>
    <s v="EUR"/>
    <n v="529"/>
    <s v="3.3"/>
    <s v="0"/>
    <m/>
    <m/>
    <s v="No"/>
    <d v="2023-01-29T00:00:00"/>
    <s v="https://img01.ztat.net/article/ZL100178.jpg"/>
    <n v="0"/>
    <s v="No Discount"/>
  </r>
  <r>
    <s v="ZL100179"/>
    <s v="https://www.zalando.de/nike-slim-fit-polo---denim-blue-zl100179/"/>
    <x v="25"/>
    <s v="Slim Fit POLO - DENIM BLUE"/>
    <s v="Men's T-Shirts &amp; Polos"/>
    <x v="0"/>
    <x v="3"/>
    <s v="Denim Blue"/>
    <s v="S"/>
    <n v="18.89"/>
    <n v="18.89"/>
    <s v="Regular Price"/>
    <s v="EUR"/>
    <n v="541"/>
    <s v="5.0"/>
    <s v="38.0"/>
    <m/>
    <m/>
    <s v="Yes"/>
    <d v="2023-01-29T00:00:00"/>
    <s v="https://img01.ztat.net/article/ZL100179.jpg"/>
    <n v="0"/>
    <s v="No Discount"/>
  </r>
  <r>
    <s v="ZL100180"/>
    <s v="https://www.zalando.de/onlyandsons-slim-fit-polo---rust-zl100180/"/>
    <x v="61"/>
    <s v="Slim Fit POLO - RUST"/>
    <s v="Men's T-Shirts &amp; Polos"/>
    <x v="0"/>
    <x v="2"/>
    <s v="Rust"/>
    <s v="XS"/>
    <n v="10.17"/>
    <n v="10.17"/>
    <s v="Regular Price"/>
    <s v="EUR"/>
    <n v="746"/>
    <s v="3.6"/>
    <s v="38.0"/>
    <m/>
    <m/>
    <s v="Yes"/>
    <d v="2023-01-29T00:00:00"/>
    <s v="https://img01.ztat.net/article/ZL100180.jpg"/>
    <n v="0"/>
    <s v="No Discount"/>
  </r>
  <r>
    <s v="ZL100181"/>
    <s v="https://www.zalando.de/adidas-performance-print-polo---light-grey-zl100181/"/>
    <x v="6"/>
    <s v="Print POLO - LIGHT GREY"/>
    <s v="Men's T-Shirts &amp; Polos"/>
    <x v="0"/>
    <x v="2"/>
    <s v="Light Grey"/>
    <s v="S"/>
    <n v="11.15"/>
    <n v="11.15"/>
    <s v="Regular Price"/>
    <s v="EUR"/>
    <n v="101"/>
    <s v="4.2"/>
    <s v="38.0"/>
    <m/>
    <m/>
    <s v="Yes"/>
    <d v="2023-01-29T00:00:00"/>
    <s v="https://img01.ztat.net/article/ZL100181.jpg"/>
    <n v="0"/>
    <s v="No Discount"/>
  </r>
  <r>
    <s v="ZL100182"/>
    <s v="https://www.zalando.de/nike-regular-fit-polo---anthracite-zl100182/"/>
    <x v="25"/>
    <s v="Regular Fit POLO - ANTHRACITE"/>
    <s v="Men's T-Shirts &amp; Polos"/>
    <x v="0"/>
    <x v="2"/>
    <s v="Anthracite"/>
    <s v="XS"/>
    <n v="13.65"/>
    <n v="13.65"/>
    <s v="Regular Price"/>
    <s v="EUR"/>
    <n v="472"/>
    <s v="3.9"/>
    <s v="31.0"/>
    <m/>
    <m/>
    <s v="Yes"/>
    <d v="2023-01-29T00:00:00"/>
    <s v="https://img01.ztat.net/article/ZL100182.jpg"/>
    <n v="0"/>
    <s v="No Discount"/>
  </r>
  <r>
    <s v="ZL100183"/>
    <s v="https://www.zalando.de/shine-print-polo---olive-zl100183/"/>
    <x v="71"/>
    <s v="Print POLO - OLIVE"/>
    <s v="Men's T-Shirts &amp; Polos"/>
    <x v="0"/>
    <x v="2"/>
    <s v="Olive"/>
    <s v="XS"/>
    <n v="11.28"/>
    <n v="11.28"/>
    <s v="Regular Price"/>
    <s v="EUR"/>
    <n v="70"/>
    <s v="3.5"/>
    <s v="38.0"/>
    <m/>
    <m/>
    <s v="No"/>
    <d v="2023-01-29T00:00:00"/>
    <s v="https://img01.ztat.net/article/ZL100183.jpg"/>
    <n v="0"/>
    <s v="No Discount"/>
  </r>
  <r>
    <s v="ZL100184"/>
    <s v="https://www.zalando.de/jack-jones-junior-regular-fit-t-shirt---anthracite-zl100184/"/>
    <x v="34"/>
    <s v="Regular Fit T-SHIRT - ANTHRACITE"/>
    <s v="Men's T-Shirts &amp; Polos"/>
    <x v="1"/>
    <x v="6"/>
    <s v="Anthracite"/>
    <s v="XS"/>
    <n v="9.07"/>
    <n v="9.07"/>
    <s v="Regular Price"/>
    <s v="EUR"/>
    <n v="119"/>
    <s v="4.3"/>
    <s v="40.0"/>
    <m/>
    <m/>
    <s v="Yes"/>
    <d v="2023-01-29T00:00:00"/>
    <s v="https://img01.ztat.net/article/ZL100184.jpg"/>
    <n v="0"/>
    <s v="No Discount"/>
  </r>
  <r>
    <s v="ZL100187"/>
    <s v="https://www.zalando.de/adidas-performance-essential-polo---dark-green-zl100187/"/>
    <x v="6"/>
    <s v="Essential POLO - DARK GREEN"/>
    <s v="Men's T-Shirts &amp; Polos"/>
    <x v="0"/>
    <x v="3"/>
    <s v="Dark Green"/>
    <s v="XS"/>
    <n v="17.36"/>
    <n v="17.36"/>
    <s v="Regular Price"/>
    <s v="EUR"/>
    <n v="935"/>
    <s v="4.9"/>
    <s v="32.0"/>
    <m/>
    <m/>
    <s v="No"/>
    <d v="2023-01-29T00:00:00"/>
    <s v="https://img01.ztat.net/article/ZL100187.jpg"/>
    <n v="0"/>
    <s v="No Discount"/>
  </r>
  <r>
    <s v="ZL100188"/>
    <s v="https://www.zalando.de/iriedaily-essential-t-shirt---denim-blue-zl100188/"/>
    <x v="66"/>
    <s v="Essential T-SHIRT - DENIM BLUE"/>
    <s v="Men's T-Shirts &amp; Polos"/>
    <x v="1"/>
    <x v="6"/>
    <s v="Denim Blue"/>
    <s v="XS"/>
    <n v="30.04"/>
    <n v="30.04"/>
    <s v="Regular Price"/>
    <s v="EUR"/>
    <n v="74"/>
    <s v="0"/>
    <s v="30.0"/>
    <m/>
    <m/>
    <s v="Yes"/>
    <d v="2023-01-29T00:00:00"/>
    <s v="https://img01.ztat.net/article/ZL100188.jpg"/>
    <n v="0"/>
    <s v="No Discount"/>
  </r>
  <r>
    <s v="ZL100189"/>
    <s v="https://www.zalando.de/produkt-regular-fit-t-shirt---anthracite-zl100189/"/>
    <x v="0"/>
    <s v="Regular Fit T-SHIRT - ANTHRACITE"/>
    <s v="Men's T-Shirts &amp; Polos"/>
    <x v="1"/>
    <x v="4"/>
    <s v="Anthracite"/>
    <s v="XS"/>
    <n v="13.74"/>
    <n v="13.74"/>
    <s v="Regular Price"/>
    <s v="EUR"/>
    <n v="823"/>
    <s v="0"/>
    <s v="0"/>
    <m/>
    <m/>
    <s v="Yes"/>
    <d v="2023-01-29T00:00:00"/>
    <s v="https://img01.ztat.net/article/ZL100189.jpg"/>
    <n v="0"/>
    <s v="No Discount"/>
  </r>
  <r>
    <s v="ZL100190"/>
    <s v="https://www.zalando.de/fila-print-t-shirt---royal-blue-zl100190/"/>
    <x v="39"/>
    <s v="Print T-SHIRT - ROYAL BLUE"/>
    <s v="Men's T-Shirts &amp; Polos"/>
    <x v="1"/>
    <x v="1"/>
    <s v="Royal Blue"/>
    <s v="M"/>
    <n v="8.99"/>
    <n v="8.99"/>
    <s v="Regular Price"/>
    <s v="EUR"/>
    <n v="501"/>
    <s v="4.3"/>
    <s v="34.0"/>
    <m/>
    <m/>
    <s v="Yes"/>
    <d v="2023-01-29T00:00:00"/>
    <s v="https://img01.ztat.net/article/ZL100190.jpg"/>
    <n v="0"/>
    <s v="No Discount"/>
  </r>
  <r>
    <s v="ZL100191"/>
    <s v="https://www.zalando.de/nike-print-polo---beige-zl100191/"/>
    <x v="25"/>
    <s v="Print POLO - BEIGE"/>
    <s v="Men's T-Shirts &amp; Polos"/>
    <x v="0"/>
    <x v="3"/>
    <s v="Beige"/>
    <s v="XS"/>
    <n v="12.56"/>
    <n v="12.56"/>
    <s v="Regular Price"/>
    <s v="EUR"/>
    <n v="604"/>
    <s v="0"/>
    <s v="29.0"/>
    <m/>
    <m/>
    <s v="Yes"/>
    <d v="2023-01-29T00:00:00"/>
    <s v="https://img01.ztat.net/article/ZL100191.jpg"/>
    <n v="0"/>
    <s v="No Discount"/>
  </r>
  <r>
    <s v="ZL100192"/>
    <s v="https://www.zalando.de/jordan-print-polo---red-zl100192/"/>
    <x v="75"/>
    <s v="Print POLO - RED"/>
    <s v="Men's T-Shirts &amp; Polos"/>
    <x v="0"/>
    <x v="2"/>
    <s v="Red"/>
    <s v="M"/>
    <n v="23.9"/>
    <n v="23.9"/>
    <s v="Regular Price"/>
    <s v="EUR"/>
    <n v="993"/>
    <s v="4.3"/>
    <s v="51.0"/>
    <m/>
    <m/>
    <s v="No"/>
    <d v="2023-01-29T00:00:00"/>
    <s v="https://img01.ztat.net/article/ZL100192.jpg"/>
    <n v="0"/>
    <s v="No Discount"/>
  </r>
  <r>
    <s v="ZL100193"/>
    <s v="https://www.zalando.de/adidas-performance-regular-fit-polo---navy-zl100193/"/>
    <x v="6"/>
    <s v="Regular Fit POLO - NAVY"/>
    <s v="Men's T-Shirts &amp; Polos"/>
    <x v="0"/>
    <x v="2"/>
    <s v="Navy"/>
    <s v="XS"/>
    <n v="22.7"/>
    <n v="22.7"/>
    <s v="NEW"/>
    <s v="EUR"/>
    <n v="236"/>
    <s v="0"/>
    <s v="44.0"/>
    <m/>
    <m/>
    <s v="Yes"/>
    <d v="2023-01-29T00:00:00"/>
    <s v="https://img01.ztat.net/article/ZL100193.jpg"/>
    <n v="0"/>
    <s v="No Discount"/>
  </r>
  <r>
    <s v="ZL100194"/>
    <s v="https://www.zalando.de/calvin-klein-slim-fit-t-shirt---off-white-zl100194/"/>
    <x v="14"/>
    <s v="Slim Fit T-SHIRT - OFF WHITE"/>
    <s v="Men's T-Shirts &amp; Polos"/>
    <x v="1"/>
    <x v="5"/>
    <s v="Off White"/>
    <s v="S"/>
    <n v="20.81"/>
    <n v="20.81"/>
    <s v="Regular Price"/>
    <s v="EUR"/>
    <n v="532"/>
    <s v="4.1"/>
    <s v="35.0"/>
    <m/>
    <m/>
    <s v="Yes"/>
    <d v="2023-01-29T00:00:00"/>
    <s v="https://img01.ztat.net/article/ZL100194.jpg"/>
    <n v="0"/>
    <s v="No Discount"/>
  </r>
  <r>
    <s v="ZL100196"/>
    <s v="https://www.zalando.de/nike-print-polo---mint-zl100196/"/>
    <x v="25"/>
    <s v="Print POLO - MINT"/>
    <s v="Men's T-Shirts &amp; Polos"/>
    <x v="0"/>
    <x v="0"/>
    <s v="Mint"/>
    <s v="S"/>
    <n v="23.65"/>
    <n v="23.65"/>
    <s v="NEW"/>
    <s v="EUR"/>
    <n v="149"/>
    <s v="4.8"/>
    <s v="33.0"/>
    <m/>
    <m/>
    <s v="Yes"/>
    <d v="2023-01-29T00:00:00"/>
    <s v="https://img01.ztat.net/article/ZL100196.jpg"/>
    <n v="0"/>
    <s v="No Discount"/>
  </r>
  <r>
    <s v="ZL100199"/>
    <s v="https://www.zalando.de/adidas-performance-slim-fit-t-shirt---navy-zl100199/"/>
    <x v="6"/>
    <s v="Slim Fit T-SHIRT - NAVY"/>
    <s v="Men's T-Shirts &amp; Polos"/>
    <x v="1"/>
    <x v="6"/>
    <s v="Navy"/>
    <s v="S"/>
    <n v="15.29"/>
    <n v="15.29"/>
    <s v="Regular Price"/>
    <s v="EUR"/>
    <n v="467"/>
    <s v="4.4"/>
    <s v="31.0"/>
    <m/>
    <m/>
    <s v="Yes"/>
    <d v="2023-01-29T00:00:00"/>
    <s v="https://img01.ztat.net/article/ZL100199.jpg"/>
    <n v="0"/>
    <s v="No Discount"/>
  </r>
  <r>
    <s v="ZL100206"/>
    <s v="https://www.zalando.de/cleptomanicx-slim-fit-t-shirt---denim-blue-zl100206/"/>
    <x v="83"/>
    <s v="Slim Fit T-SHIRT - DENIM BLUE"/>
    <s v="Men's T-Shirts &amp; Polos"/>
    <x v="1"/>
    <x v="1"/>
    <s v="Denim Blue"/>
    <s v="XS"/>
    <n v="20.55"/>
    <n v="20.55"/>
    <s v="Regular Price"/>
    <s v="EUR"/>
    <n v="356"/>
    <s v="3.8"/>
    <s v="39.0"/>
    <m/>
    <m/>
    <s v="Yes"/>
    <d v="2023-01-29T00:00:00"/>
    <s v="https://img01.ztat.net/article/ZL100206.jpg"/>
    <n v="0"/>
    <s v="No Discount"/>
  </r>
  <r>
    <s v="ZL100208"/>
    <s v="https://www.zalando.de/jordan-essential-t-shirt---royal-blue-zl100208/"/>
    <x v="75"/>
    <s v="Essential T-SHIRT - ROYAL BLUE"/>
    <s v="Men's T-Shirts &amp; Polos"/>
    <x v="1"/>
    <x v="5"/>
    <s v="Royal Blue"/>
    <s v="S"/>
    <n v="16.43"/>
    <n v="16.43"/>
    <s v="Regular Price"/>
    <s v="EUR"/>
    <n v="616"/>
    <s v="3.0"/>
    <s v="39.0"/>
    <m/>
    <m/>
    <s v="Yes"/>
    <d v="2023-01-29T00:00:00"/>
    <s v="https://img01.ztat.net/article/ZL100208.jpg"/>
    <n v="0"/>
    <s v="No Discount"/>
  </r>
  <r>
    <s v="ZL100209"/>
    <s v="https://www.zalando.de/pepe-jeans-regular-fit-t-shirt---denim-blue-zl100209/"/>
    <x v="60"/>
    <s v="Regular Fit T-SHIRT - DENIM BLUE"/>
    <s v="Men's T-Shirts &amp; Polos"/>
    <x v="1"/>
    <x v="6"/>
    <s v="Denim Blue"/>
    <s v="S"/>
    <n v="29.7"/>
    <n v="29.7"/>
    <s v="Regular Price"/>
    <s v="EUR"/>
    <n v="828"/>
    <s v="3.5"/>
    <s v="36.0"/>
    <m/>
    <m/>
    <s v="Yes"/>
    <d v="2023-01-29T00:00:00"/>
    <s v="https://img01.ztat.net/article/ZL100209.jpg"/>
    <n v="0"/>
    <s v="No Discount"/>
  </r>
  <r>
    <s v="ZL100210"/>
    <s v="https://www.zalando.de/the-north-face-slim-fit-polo---grey-melange-zl100210/"/>
    <x v="22"/>
    <s v="Slim Fit POLO - GREY MELANGE"/>
    <s v="Men's T-Shirts &amp; Polos"/>
    <x v="0"/>
    <x v="0"/>
    <s v="Grey Melange"/>
    <s v="XS"/>
    <n v="11.61"/>
    <n v="11.61"/>
    <s v="Regular Price"/>
    <s v="EUR"/>
    <n v="460"/>
    <s v="3.2"/>
    <s v="N/A"/>
    <m/>
    <m/>
    <s v="Yes"/>
    <d v="2023-01-29T00:00:00"/>
    <s v="https://img01.ztat.net/article/ZL100210.jpg"/>
    <n v="0"/>
    <s v="No Discount"/>
  </r>
  <r>
    <s v="ZL100212"/>
    <s v="https://www.zalando.de/tommy-hilfiger-print-t-shirt---mint-zl100212/"/>
    <x v="8"/>
    <s v="Print T-SHIRT - MINT"/>
    <s v="Men's T-Shirts &amp; Polos"/>
    <x v="1"/>
    <x v="6"/>
    <s v="Mint"/>
    <s v=""/>
    <n v="20.190000000000001"/>
    <n v="20.190000000000001"/>
    <s v="Regular Price"/>
    <s v="EUR"/>
    <n v="666"/>
    <s v="3.2"/>
    <s v="32.0"/>
    <m/>
    <m/>
    <s v="Yes"/>
    <d v="2023-01-29T00:00:00"/>
    <s v="https://img01.ztat.net/article/ZL100212.jpg"/>
    <n v="0"/>
    <s v="No Discount"/>
  </r>
  <r>
    <s v="ZL100215"/>
    <s v="https://www.zalando.de/nike-regular-fit-polo---red-zl100215/"/>
    <x v="25"/>
    <s v="Regular Fit POLO - RED"/>
    <s v="Men's T-Shirts &amp; Polos"/>
    <x v="0"/>
    <x v="2"/>
    <s v="Red"/>
    <s v="M"/>
    <n v="12.87"/>
    <n v="12.87"/>
    <s v="Regular Price"/>
    <s v="EUR"/>
    <n v="2"/>
    <s v="0"/>
    <s v="32.0"/>
    <m/>
    <m/>
    <s v="Yes"/>
    <d v="2023-01-29T00:00:00"/>
    <s v="https://img01.ztat.net/article/ZL100215.jpg"/>
    <n v="0"/>
    <s v="No Discount"/>
  </r>
  <r>
    <s v="ZL100218"/>
    <s v="https://www.zalando.de/nike-basic-t-shirt---khaki-zl100218/"/>
    <x v="25"/>
    <s v="Basic T-SHIRT - KHAKI"/>
    <s v="Men's T-Shirts &amp; Polos"/>
    <x v="1"/>
    <x v="6"/>
    <s v="Khaki"/>
    <s v="S"/>
    <n v="29.66"/>
    <n v="29.66"/>
    <s v="Regular Price"/>
    <s v="EUR"/>
    <n v="919"/>
    <s v="0"/>
    <s v="37.0"/>
    <m/>
    <m/>
    <s v="Yes"/>
    <d v="2023-01-29T00:00:00"/>
    <s v="https://img01.ztat.net/article/ZL100218.jpg"/>
    <n v="0"/>
    <s v="No Discount"/>
  </r>
  <r>
    <s v="ZL100222"/>
    <s v="https://www.zalando.de/tommy-hilfiger-print-polo---dark-blue-zl100222/"/>
    <x v="8"/>
    <s v="Print POLO - DARK BLUE"/>
    <s v="Men's T-Shirts &amp; Polos"/>
    <x v="0"/>
    <x v="2"/>
    <s v="Dark Blue"/>
    <s v="S"/>
    <n v="19.52"/>
    <n v="19.52"/>
    <s v="Regular Price"/>
    <s v="EUR"/>
    <n v="587"/>
    <s v="4.2"/>
    <s v="29.0"/>
    <m/>
    <m/>
    <s v="Yes"/>
    <d v="2023-01-29T00:00:00"/>
    <s v="https://img01.ztat.net/article/ZL100222.jpg"/>
    <n v="0"/>
    <s v="No Discount"/>
  </r>
  <r>
    <s v="ZL100223"/>
    <s v="https://www.zalando.de/burton-london-regular-fit-t-shirt---dark-green-zl100223/"/>
    <x v="58"/>
    <s v="Regular Fit T-SHIRT - DARK GREEN"/>
    <s v="Men's T-Shirts &amp; Polos"/>
    <x v="1"/>
    <x v="5"/>
    <s v="Dark Green"/>
    <s v="S"/>
    <n v="22.86"/>
    <n v="22.86"/>
    <s v="Regular Price"/>
    <s v="EUR"/>
    <n v="222"/>
    <s v="3.6"/>
    <s v="34.0"/>
    <m/>
    <m/>
    <s v="No"/>
    <d v="2023-01-29T00:00:00"/>
    <s v="https://img01.ztat.net/article/ZL100223.jpg"/>
    <n v="0"/>
    <s v="No Discount"/>
  </r>
  <r>
    <s v="ZL100225"/>
    <s v="https://www.zalando.de/ea7-emporio-armani-regular-fit-polo---light-grey-zl100225/"/>
    <x v="109"/>
    <s v="Regular Fit POLO - LIGHT GREY"/>
    <s v="Men's T-Shirts &amp; Polos"/>
    <x v="0"/>
    <x v="3"/>
    <s v="Light Grey"/>
    <s v="S"/>
    <n v="64.09"/>
    <n v="64.09"/>
    <s v="Regular Price"/>
    <s v="EUR"/>
    <n v="130"/>
    <s v="4.9"/>
    <s v="26.0"/>
    <m/>
    <m/>
    <s v="Yes"/>
    <d v="2023-01-29T00:00:00"/>
    <s v="https://img01.ztat.net/article/ZL100225.jpg"/>
    <n v="0"/>
    <s v="No Discount"/>
  </r>
  <r>
    <s v="ZL100226"/>
    <s v="https://www.zalando.de/guess-essential-t-shirt---olive-zl100226/"/>
    <x v="82"/>
    <s v="Essential T-SHIRT - OLIVE"/>
    <s v="Men's T-Shirts &amp; Polos"/>
    <x v="1"/>
    <x v="6"/>
    <s v="Olive"/>
    <s v="S"/>
    <n v="8.99"/>
    <n v="8.99"/>
    <s v="Regular Price"/>
    <s v="EUR"/>
    <n v="796"/>
    <s v="4.2"/>
    <s v="36.0"/>
    <m/>
    <m/>
    <s v="Yes"/>
    <d v="2023-01-29T00:00:00"/>
    <s v="https://img01.ztat.net/article/ZL100226.jpg"/>
    <n v="0"/>
    <s v="No Discount"/>
  </r>
  <r>
    <s v="ZL100227"/>
    <s v="https://www.zalando.de/esprit-basic-t-shirt---anthracite-zl100227/"/>
    <x v="98"/>
    <s v="Basic T-SHIRT - ANTHRACITE"/>
    <s v="Men's T-Shirts &amp; Polos"/>
    <x v="1"/>
    <x v="1"/>
    <s v="Anthracite"/>
    <s v="M"/>
    <n v="17.03"/>
    <n v="17.03"/>
    <s v="Regular Price"/>
    <s v="EUR"/>
    <n v="911"/>
    <s v="0"/>
    <s v="23.0"/>
    <m/>
    <m/>
    <s v="Yes"/>
    <d v="2023-01-29T00:00:00"/>
    <s v="https://img01.ztat.net/article/ZL100227.jpg"/>
    <n v="0"/>
    <s v="No Discount"/>
  </r>
  <r>
    <s v="ZL100233"/>
    <s v="https://www.zalando.de/vintage-supply-basic-t-shirt---mint-zl100233/"/>
    <x v="121"/>
    <s v="Basic T-SHIRT - MINT"/>
    <s v="Men's T-Shirts &amp; Polos"/>
    <x v="1"/>
    <x v="4"/>
    <s v="Mint"/>
    <s v="M"/>
    <n v="26.19"/>
    <n v="26.19"/>
    <s v="Regular Price"/>
    <s v="EUR"/>
    <n v="572"/>
    <s v="0"/>
    <s v="39.0"/>
    <m/>
    <m/>
    <s v="Yes"/>
    <d v="2023-01-29T00:00:00"/>
    <s v="https://img01.ztat.net/article/ZL100233.jpg"/>
    <n v="0"/>
    <s v="No Discount"/>
  </r>
  <r>
    <s v="ZL100238"/>
    <s v="https://www.zalando.de/produkt-basic-t-shirt---white-zl100238/"/>
    <x v="0"/>
    <s v="Basic T-SHIRT - WHITE"/>
    <s v="Men's T-Shirts &amp; Polos"/>
    <x v="1"/>
    <x v="4"/>
    <s v="White"/>
    <s v="XS"/>
    <n v="8.99"/>
    <n v="8.99"/>
    <s v="Regular Price"/>
    <s v="EUR"/>
    <n v="773"/>
    <s v="4.5"/>
    <s v="39.0"/>
    <m/>
    <m/>
    <s v="Yes"/>
    <d v="2023-01-29T00:00:00"/>
    <s v="https://img01.ztat.net/article/ZL100238.jpg"/>
    <n v="0"/>
    <s v="No Discount"/>
  </r>
  <r>
    <s v="ZL100239"/>
    <s v="https://www.zalando.de/guess-regular-fit-t-shirt---light-grey-zl100239/"/>
    <x v="82"/>
    <s v="Regular Fit T-SHIRT - LIGHT GREY"/>
    <s v="Men's T-Shirts &amp; Polos"/>
    <x v="1"/>
    <x v="1"/>
    <s v="Light Grey"/>
    <s v="S"/>
    <n v="18.62"/>
    <n v="18.62"/>
    <s v="Regular Price"/>
    <s v="EUR"/>
    <n v="909"/>
    <s v="4.4"/>
    <s v="0"/>
    <m/>
    <m/>
    <s v="Yes"/>
    <d v="2023-01-29T00:00:00"/>
    <s v="https://img01.ztat.net/article/ZL100239.jpg"/>
    <n v="0"/>
    <s v="No Discount"/>
  </r>
  <r>
    <s v="ZL100240"/>
    <s v="https://www.zalando.de/patagonia-slim-fit-t-shirt---bordeaux-zl100240/"/>
    <x v="81"/>
    <s v="Slim Fit T-SHIRT - BORDEAUX"/>
    <s v="Men's T-Shirts &amp; Polos"/>
    <x v="1"/>
    <x v="4"/>
    <s v="Bordeaux"/>
    <s v="XS"/>
    <n v="19.98"/>
    <n v="19.98"/>
    <s v="Regular Price"/>
    <s v="EUR"/>
    <n v="534"/>
    <s v="3.8"/>
    <s v="0"/>
    <m/>
    <m/>
    <s v="No"/>
    <d v="2023-01-29T00:00:00"/>
    <s v="https://img01.ztat.net/article/ZL100240.jpg"/>
    <n v="0"/>
    <s v="No Discount"/>
  </r>
  <r>
    <s v="ZL100241"/>
    <s v="https://www.zalando.de/guess-basic-polo---red-zl100241/"/>
    <x v="82"/>
    <s v="Basic POLO - RED"/>
    <s v="Men's T-Shirts &amp; Polos"/>
    <x v="0"/>
    <x v="2"/>
    <s v="Red"/>
    <s v="XS"/>
    <n v="9.0500000000000007"/>
    <n v="9.0500000000000007"/>
    <s v="Regular Price"/>
    <s v="EUR"/>
    <n v="804"/>
    <s v="4.5"/>
    <s v="34.0"/>
    <m/>
    <m/>
    <s v="Yes"/>
    <d v="2023-01-29T00:00:00"/>
    <s v="https://img01.ztat.net/article/ZL100241.jpg"/>
    <n v="0"/>
    <s v="No Discount"/>
  </r>
  <r>
    <s v="ZL100242"/>
    <s v="https://www.zalando.de/burton-essential-t-shirt---royal-blue-zl100242/"/>
    <x v="58"/>
    <s v="Essential T-SHIRT - ROYAL BLUE"/>
    <s v="Men's T-Shirts &amp; Polos"/>
    <x v="1"/>
    <x v="1"/>
    <s v="Royal Blue"/>
    <s v="S"/>
    <n v="25.53"/>
    <n v="25.53"/>
    <s v="Regular Price"/>
    <s v="EUR"/>
    <n v="229"/>
    <s v="4.9"/>
    <s v="30.0"/>
    <m/>
    <m/>
    <s v="Yes"/>
    <d v="2023-01-29T00:00:00"/>
    <s v="https://img01.ztat.net/article/ZL100242.jpg"/>
    <n v="0"/>
    <s v="No Discount"/>
  </r>
  <r>
    <s v="ZL100243"/>
    <s v="https://www.zalando.de/armani-exchange-basic-t-shirt---mint-zl100243/"/>
    <x v="120"/>
    <s v="Basic T-SHIRT - MINT"/>
    <s v="Men's T-Shirts &amp; Polos"/>
    <x v="1"/>
    <x v="4"/>
    <s v="Mint"/>
    <s v="S"/>
    <n v="8.99"/>
    <n v="8.99"/>
    <s v="Regular Price"/>
    <s v="EUR"/>
    <n v="821"/>
    <s v="4.2"/>
    <s v="23.0"/>
    <m/>
    <m/>
    <s v="Yes"/>
    <d v="2023-01-29T00:00:00"/>
    <s v="https://img01.ztat.net/article/ZL100243.jpg"/>
    <n v="0"/>
    <s v="No Discount"/>
  </r>
  <r>
    <s v="ZL100249"/>
    <s v="https://www.zalando.de/only-sons-print-t-shirt---bordeaux-zl100249/"/>
    <x v="61"/>
    <s v="Print T-SHIRT - BORDEAUX"/>
    <s v="Men's T-Shirts &amp; Polos"/>
    <x v="1"/>
    <x v="4"/>
    <s v="Bordeaux"/>
    <s v="XS"/>
    <n v="38.1"/>
    <n v="38.1"/>
    <s v="Regular Price"/>
    <s v="EUR"/>
    <n v="223"/>
    <s v="0"/>
    <s v="28.0"/>
    <m/>
    <m/>
    <s v="Yes"/>
    <d v="2023-01-29T00:00:00"/>
    <s v="https://img01.ztat.net/article/ZL100249.jpg"/>
    <n v="0"/>
    <s v="No Discount"/>
  </r>
  <r>
    <s v="ZL100250"/>
    <s v="https://www.zalando.de/denim-and-supply-regular-fit-polo---dark-green-zl100250/"/>
    <x v="3"/>
    <s v="Regular Fit POLO - DARK GREEN"/>
    <s v="Men's T-Shirts &amp; Polos"/>
    <x v="0"/>
    <x v="2"/>
    <s v="Dark Green"/>
    <s v="XS"/>
    <n v="30.52"/>
    <n v="30.52"/>
    <s v="Regular Price"/>
    <s v="EUR"/>
    <n v="662"/>
    <s v="4.2"/>
    <s v="36.0"/>
    <m/>
    <m/>
    <s v="Yes"/>
    <d v="2023-01-29T00:00:00"/>
    <s v="https://img01.ztat.net/article/ZL100250.jpg"/>
    <n v="0"/>
    <s v="No Discount"/>
  </r>
  <r>
    <s v="ZL100256"/>
    <s v="https://www.zalando.de/anthracite-basic-t-shirt---dark-green-zl100256/"/>
    <x v="59"/>
    <s v="Basic T-SHIRT - DARK GREEN"/>
    <s v="Men's T-Shirts &amp; Polos"/>
    <x v="1"/>
    <x v="4"/>
    <s v="Dark Green"/>
    <s v="M"/>
    <n v="8.99"/>
    <n v="8.99"/>
    <s v="Regular Price"/>
    <s v="EUR"/>
    <n v="298"/>
    <s v="4.1"/>
    <s v="25.0"/>
    <m/>
    <m/>
    <s v="No"/>
    <d v="2023-01-29T00:00:00"/>
    <s v="https://img01.ztat.net/article/ZL100256.jpg"/>
    <n v="0"/>
    <s v="No Discount"/>
  </r>
  <r>
    <s v="ZL100258"/>
    <s v="https://www.zalando.de/levi's-essential-polo---white-zl100258/"/>
    <x v="33"/>
    <s v="Essential POLO - WHITE"/>
    <s v="Men's T-Shirts &amp; Polos"/>
    <x v="0"/>
    <x v="3"/>
    <s v="White"/>
    <s v=""/>
    <n v="29.99"/>
    <n v="29.99"/>
    <s v="Regular Price"/>
    <s v="EUR"/>
    <n v="446"/>
    <s v="3.3"/>
    <s v="28.0"/>
    <m/>
    <m/>
    <s v="No"/>
    <d v="2023-01-29T00:00:00"/>
    <s v="https://img01.ztat.net/article/ZL100258.jpg"/>
    <n v="0"/>
    <s v="No Discount"/>
  </r>
  <r>
    <s v="ZL100261"/>
    <s v="https://www.zalando.de/fila-basic-polo---bordeaux-zl100261/"/>
    <x v="39"/>
    <s v="Basic POLO - BORDEAUX"/>
    <s v="Men's T-Shirts &amp; Polos"/>
    <x v="0"/>
    <x v="2"/>
    <s v="Bordeaux"/>
    <s v="S"/>
    <n v="16.45"/>
    <n v="16.45"/>
    <s v="Regular Price"/>
    <s v="EUR"/>
    <n v="44"/>
    <s v="0"/>
    <s v="37.0"/>
    <m/>
    <m/>
    <s v="Yes"/>
    <d v="2023-01-29T00:00:00"/>
    <s v="https://img01.ztat.net/article/ZL100261.jpg"/>
    <n v="0"/>
    <s v="No Discount"/>
  </r>
  <r>
    <s v="ZL100262"/>
    <s v="https://www.zalando.de/craft-sportswear-regular-fit-t-shirt---off-white-zl100262/"/>
    <x v="31"/>
    <s v="Regular Fit T-SHIRT - OFF WHITE"/>
    <s v="Men's T-Shirts &amp; Polos"/>
    <x v="1"/>
    <x v="1"/>
    <s v="Off White"/>
    <s v="S"/>
    <n v="8.99"/>
    <n v="8.99"/>
    <s v="Regular Price"/>
    <s v="EUR"/>
    <n v="745"/>
    <s v="4.6"/>
    <s v="27.0"/>
    <m/>
    <m/>
    <s v="Yes"/>
    <d v="2023-01-29T00:00:00"/>
    <s v="https://img01.ztat.net/article/ZL100262.jpg"/>
    <n v="0"/>
    <s v="No Discount"/>
  </r>
  <r>
    <s v="ZL100263"/>
    <s v="https://www.zalando.de/billabong-slim-fit-polo---white-zl100263/"/>
    <x v="110"/>
    <s v="Slim Fit POLO - WHITE"/>
    <s v="Men's T-Shirts &amp; Polos"/>
    <x v="0"/>
    <x v="0"/>
    <s v="White"/>
    <s v="XS"/>
    <n v="8.99"/>
    <n v="8.99"/>
    <s v="Regular Price"/>
    <s v="EUR"/>
    <n v="211"/>
    <s v="4.9"/>
    <s v="29.0"/>
    <m/>
    <m/>
    <s v="Yes"/>
    <d v="2023-01-29T00:00:00"/>
    <s v="https://img01.ztat.net/article/ZL100263.jpg"/>
    <n v="0"/>
    <s v="No Discount"/>
  </r>
  <r>
    <s v="ZL100265"/>
    <s v="https://www.zalando.de/adidas-performance-regular-fit-t-shirt---denim-blue-zl100265/"/>
    <x v="6"/>
    <s v="Regular Fit T-SHIRT - DENIM BLUE"/>
    <s v="Men's T-Shirts &amp; Polos"/>
    <x v="1"/>
    <x v="1"/>
    <s v="Denim Blue"/>
    <s v="XS"/>
    <n v="21.2"/>
    <n v="21.2"/>
    <s v="Regular Price"/>
    <s v="EUR"/>
    <n v="250"/>
    <s v="0"/>
    <s v="46.0"/>
    <m/>
    <m/>
    <s v="Yes"/>
    <d v="2023-01-29T00:00:00"/>
    <s v="https://img01.ztat.net/article/ZL100265.jpg"/>
    <n v="0"/>
    <s v="No Discount"/>
  </r>
  <r>
    <s v="ZL100266"/>
    <s v="https://www.zalando.de/levi's-regular-fit-t-shirt---black-zl100266/"/>
    <x v="33"/>
    <s v="Regular Fit T-SHIRT - BLACK"/>
    <s v="Men's T-Shirts &amp; Polos"/>
    <x v="1"/>
    <x v="1"/>
    <s v="Black"/>
    <s v="S"/>
    <n v="16.54"/>
    <n v="16.54"/>
    <s v="Regular Price"/>
    <s v="EUR"/>
    <n v="520"/>
    <s v="4.0"/>
    <s v="25.0"/>
    <m/>
    <m/>
    <s v="Yes"/>
    <d v="2023-01-29T00:00:00"/>
    <s v="https://img01.ztat.net/article/ZL100266.jpg"/>
    <n v="0"/>
    <s v="No Discount"/>
  </r>
  <r>
    <s v="ZL100268"/>
    <s v="https://www.zalando.de/guess-print-polo---royal-blue-zl100268/"/>
    <x v="82"/>
    <s v="Print POLO - ROYAL BLUE"/>
    <s v="Men's T-Shirts &amp; Polos"/>
    <x v="0"/>
    <x v="3"/>
    <s v="Royal Blue"/>
    <s v="S"/>
    <n v="17.559999999999999"/>
    <n v="17.559999999999999"/>
    <s v="Regular Price"/>
    <s v="EUR"/>
    <n v="755"/>
    <s v="4.3"/>
    <s v="33.0"/>
    <m/>
    <m/>
    <s v="Yes"/>
    <d v="2023-01-29T00:00:00"/>
    <s v="https://img01.ztat.net/article/ZL100268.jpg"/>
    <n v="0"/>
    <s v="No Discount"/>
  </r>
  <r>
    <s v="ZL100270"/>
    <s v="https://www.zalando.de/baldessarini-regular-fit-t-shirt---anthracite-zl100270/"/>
    <x v="114"/>
    <s v="Regular Fit T-SHIRT - ANTHRACITE"/>
    <s v="Men's T-Shirts &amp; Polos"/>
    <x v="1"/>
    <x v="5"/>
    <s v="Anthracite"/>
    <s v="S"/>
    <n v="35.22"/>
    <n v="35.22"/>
    <s v="Regular Price"/>
    <s v="EUR"/>
    <n v="943"/>
    <s v="0"/>
    <s v="30.0"/>
    <m/>
    <m/>
    <s v="No"/>
    <d v="2023-01-29T00:00:00"/>
    <s v="https://img01.ztat.net/article/ZL100270.jpg"/>
    <n v="0"/>
    <s v="No Discount"/>
  </r>
  <r>
    <s v="ZL100271"/>
    <s v="https://www.zalando.de/only-and-sons-denim-essential-t-shirt---red-zl100271/"/>
    <x v="61"/>
    <s v="Essential T-SHIRT - RED"/>
    <s v="Men's T-Shirts &amp; Polos"/>
    <x v="1"/>
    <x v="5"/>
    <s v="Red"/>
    <s v="M"/>
    <n v="36.159999999999997"/>
    <n v="36.159999999999997"/>
    <s v="Regular Price"/>
    <s v="EUR"/>
    <n v="159"/>
    <s v="N/A"/>
    <s v="41.0"/>
    <m/>
    <m/>
    <s v="Yes"/>
    <d v="2023-01-29T00:00:00"/>
    <s v="https://img01.ztat.net/article/ZL100271.jpg"/>
    <n v="0"/>
    <s v="No Discount"/>
  </r>
  <r>
    <s v="ZL100274"/>
    <s v="https://www.zalando.de/tommy-hilfiger-print-t-shirt---anthracite-zl100274/"/>
    <x v="8"/>
    <s v="Print T-SHIRT - ANTHRACITE"/>
    <s v="Men's T-Shirts &amp; Polos"/>
    <x v="1"/>
    <x v="4"/>
    <s v="Anthracite"/>
    <s v="S"/>
    <n v="16.95"/>
    <n v="16.95"/>
    <s v="Regular Price"/>
    <s v="EUR"/>
    <n v="540"/>
    <s v="4.2"/>
    <s v="33.0"/>
    <m/>
    <m/>
    <s v="No"/>
    <d v="2023-01-29T00:00:00"/>
    <s v="https://img01.ztat.net/article/ZL100274.jpg"/>
    <n v="0"/>
    <s v="No Discount"/>
  </r>
  <r>
    <s v="ZL100275"/>
    <s v="https://www.zalando.de/tommy-hilfiger-basic-polo---anthracite-zl100275/"/>
    <x v="8"/>
    <s v="Basic POLO - ANTHRACITE"/>
    <s v="Men's T-Shirts &amp; Polos"/>
    <x v="0"/>
    <x v="0"/>
    <s v="Anthracite"/>
    <s v="M"/>
    <n v="20.85"/>
    <n v="20.85"/>
    <s v="Regular Price"/>
    <s v="EUR"/>
    <n v="394"/>
    <s v="4.1"/>
    <s v="37.0"/>
    <m/>
    <m/>
    <s v="Yes"/>
    <d v="2023-01-29T00:00:00"/>
    <s v="https://img01.ztat.net/article/ZL100275.jpg"/>
    <n v="0"/>
    <s v="No Discount"/>
  </r>
  <r>
    <s v="ZL100277"/>
    <s v="https://www.zalando.de/anti-fashion-slim-fit-polo---anthracite-zl100277/"/>
    <x v="106"/>
    <s v="Slim Fit POLO - ANTHRACITE"/>
    <s v="Men's T-Shirts &amp; Polos"/>
    <x v="0"/>
    <x v="3"/>
    <s v="Anthracite"/>
    <s v="M"/>
    <n v="32.119999999999997"/>
    <n v="32.119999999999997"/>
    <s v="Regular Price"/>
    <s v="EUR"/>
    <n v="107"/>
    <s v="3.1"/>
    <s v="37.0"/>
    <m/>
    <m/>
    <s v="Yes"/>
    <d v="2023-01-29T00:00:00"/>
    <s v="https://img01.ztat.net/article/ZL100277.jpg"/>
    <n v="0"/>
    <s v="No Discount"/>
  </r>
  <r>
    <s v="ZL100279"/>
    <s v="https://www.zalando.de/salomon-slim-fit-t-shirt---olive-zl100279/"/>
    <x v="53"/>
    <s v="Slim Fit T-SHIRT - OLIVE"/>
    <s v="Men's T-Shirts &amp; Polos"/>
    <x v="1"/>
    <x v="6"/>
    <s v="Olive"/>
    <s v="M"/>
    <n v="13.97"/>
    <n v="13.97"/>
    <s v="Regular Price"/>
    <s v="EUR"/>
    <n v="60"/>
    <s v="3.2"/>
    <s v="34.0"/>
    <m/>
    <m/>
    <s v="Yes"/>
    <d v="2023-01-29T00:00:00"/>
    <s v="https://img01.ztat.net/article/ZL100279.jpg"/>
    <n v="0"/>
    <s v="No Discount"/>
  </r>
  <r>
    <s v="ZL100280"/>
    <s v="https://www.zalando.de/knowledge-cotton-apparel-basic-polo---light-grey-zl100280/"/>
    <x v="122"/>
    <s v="Basic POLO - LIGHT GREY"/>
    <s v="Men's T-Shirts &amp; Polos"/>
    <x v="0"/>
    <x v="2"/>
    <s v="Light Grey"/>
    <s v="M"/>
    <n v="51.2"/>
    <n v="51.2"/>
    <s v="NEW"/>
    <s v="EUR"/>
    <n v="897"/>
    <s v="3.4"/>
    <s v="29.0"/>
    <m/>
    <m/>
    <s v="Yes"/>
    <d v="2023-01-29T00:00:00"/>
    <s v="https://img01.ztat.net/article/ZL100280.jpg"/>
    <n v="0"/>
    <s v="No Discount"/>
  </r>
  <r>
    <s v="ZL100282"/>
    <s v="https://www.zalando.de/adidas-performance-slim-fit-t-shirt---black-zl100282/"/>
    <x v="6"/>
    <s v="Slim Fit T-SHIRT - BLACK"/>
    <s v="Men's T-Shirts &amp; Polos"/>
    <x v="1"/>
    <x v="4"/>
    <s v="Black"/>
    <s v="S"/>
    <n v="27.72"/>
    <n v="27.72"/>
    <s v="Regular Price"/>
    <s v="EUR"/>
    <n v="951"/>
    <s v="4.0"/>
    <s v="33.0"/>
    <m/>
    <m/>
    <s v="Yes"/>
    <d v="2023-01-29T00:00:00"/>
    <s v="https://img01.ztat.net/article/ZL100282.jpg"/>
    <n v="0"/>
    <s v="No Discount"/>
  </r>
  <r>
    <s v="ZL100283"/>
    <s v="https://www.zalando.de/under-armour-training-print-polo---rust-zl100283/"/>
    <x v="123"/>
    <s v="Print Polo - Rust"/>
    <s v="Men's T-Shirts &amp; Polos"/>
    <x v="0"/>
    <x v="2"/>
    <s v="Rust"/>
    <s v="S"/>
    <n v="35.67"/>
    <n v="35.67"/>
    <s v="Regular Price"/>
    <s v="EUR"/>
    <n v="989"/>
    <s v="0"/>
    <s v="28.0"/>
    <m/>
    <m/>
    <m/>
    <d v="2023-01-29T00:00:00"/>
    <s v="https://img01.ztat.net/article/ZL100283.jpg"/>
    <n v="0"/>
    <s v="No Discount"/>
  </r>
  <r>
    <s v="ZL100284"/>
    <s v="https://www.zalando.de/element-slim-fit-polo---royal-blue-zl100284/"/>
    <x v="52"/>
    <s v="Slim Fit POLO - ROYAL BLUE"/>
    <s v="Men's T-Shirts &amp; Polos"/>
    <x v="0"/>
    <x v="2"/>
    <s v="Royal Blue"/>
    <s v="S"/>
    <n v="39.53"/>
    <n v="39.53"/>
    <s v="Regular Price"/>
    <s v="EUR"/>
    <n v="358"/>
    <s v="3.1"/>
    <s v="24.0"/>
    <m/>
    <m/>
    <s v="Yes"/>
    <d v="2023-01-29T00:00:00"/>
    <s v="https://img01.ztat.net/article/ZL100284.jpg"/>
    <n v="0"/>
    <s v="No Discount"/>
  </r>
  <r>
    <s v="ZL100287"/>
    <s v="https://www.zalando.de/q/s-designed-by-print-polo---navy-zl100287/"/>
    <x v="92"/>
    <s v="Print POLO - NAVY"/>
    <s v="Men's T-Shirts &amp; Polos"/>
    <x v="0"/>
    <x v="2"/>
    <s v="Navy"/>
    <s v="XS"/>
    <n v="28.26"/>
    <n v="28.26"/>
    <s v="Regular Price"/>
    <s v="EUR"/>
    <n v="470"/>
    <s v="3.1"/>
    <s v="29.0"/>
    <m/>
    <m/>
    <s v="Yes"/>
    <d v="2023-01-29T00:00:00"/>
    <s v="https://img01.ztat.net/article/ZL100287.jpg"/>
    <n v="0"/>
    <s v="No Discount"/>
  </r>
  <r>
    <s v="ZL100290"/>
    <s v="https://www.zalando.de/calvin-klein-print-t-shirt---denim-blue-zl100290/"/>
    <x v="14"/>
    <s v="Print T-SHIRT - DENIM BLUE"/>
    <s v="Men's T-Shirts &amp; Polos"/>
    <x v="1"/>
    <x v="1"/>
    <s v="Denim Blue"/>
    <s v="S"/>
    <n v="12.88"/>
    <n v="12.88"/>
    <s v="Regular Price"/>
    <s v="EUR"/>
    <n v="980"/>
    <s v="3.2"/>
    <s v="35.0"/>
    <m/>
    <m/>
    <s v="Yes"/>
    <d v="2023-01-29T00:00:00"/>
    <s v="https://img01.ztat.net/article/ZL100290.jpg"/>
    <n v="0"/>
    <s v="No Discount"/>
  </r>
  <r>
    <s v="ZL100291"/>
    <s v="https://www.zalando.de/alpha-industries-slim-fit-polo---mint-zl100291/"/>
    <x v="124"/>
    <s v="Slim Fit POLO - MINT"/>
    <s v="Men's T-Shirts &amp; Polos"/>
    <x v="0"/>
    <x v="3"/>
    <s v="Mint"/>
    <s v="M"/>
    <n v="8.99"/>
    <n v="8.99"/>
    <s v="Regular Price"/>
    <s v="EUR"/>
    <n v="622"/>
    <s v="3.7"/>
    <s v="48.0"/>
    <m/>
    <m/>
    <s v="Yes"/>
    <d v="2023-01-29T00:00:00"/>
    <s v="https://img01.ztat.net/article/ZL100291.jpg"/>
    <n v="0"/>
    <s v="No Discount"/>
  </r>
  <r>
    <s v="ZL100292"/>
    <s v="https://www.zalando.de/guess-essential-t-shirt---beige-zl100292/"/>
    <x v="82"/>
    <s v="Essential T-SHIRT - BEIGE"/>
    <s v="Men's T-Shirts &amp; Polos"/>
    <x v="1"/>
    <x v="4"/>
    <s v="Beige"/>
    <s v="XS"/>
    <n v="21.42"/>
    <n v="21.42"/>
    <s v="Regular Price"/>
    <s v="EUR"/>
    <n v="408"/>
    <s v="3.8"/>
    <s v="36.0"/>
    <m/>
    <m/>
    <s v="No"/>
    <d v="2023-01-29T00:00:00"/>
    <s v="https://img01.ztat.net/article/ZL100292.jpg"/>
    <n v="0"/>
    <s v="No Discount"/>
  </r>
  <r>
    <s v="ZL100293"/>
    <s v="https://www.zalando.de/anthracite-print-t-shirt---khaki-zl100293/"/>
    <x v="59"/>
    <s v="Print T-SHIRT - KHAKI"/>
    <s v="Men's T-Shirts &amp; Polos"/>
    <x v="1"/>
    <x v="5"/>
    <s v="Khaki"/>
    <s v="M"/>
    <n v="19.23"/>
    <n v="19.23"/>
    <s v="Regular Price"/>
    <s v="EUR"/>
    <n v="642"/>
    <s v="3.0"/>
    <s v="38.0"/>
    <m/>
    <m/>
    <s v="No"/>
    <d v="2023-01-29T00:00:00"/>
    <s v="https://img01.ztat.net/article/ZL100293.jpg"/>
    <n v="0"/>
    <s v="No Discount"/>
  </r>
  <r>
    <s v="ZL100294"/>
    <s v="https://www.zalando.de/nike-basic-polo---light-grey-zl100294/"/>
    <x v="25"/>
    <s v="Basic POLO - LIGHT GREY"/>
    <s v="Men's T-Shirts &amp; Polos"/>
    <x v="0"/>
    <x v="0"/>
    <s v="Light Grey"/>
    <s v="S"/>
    <n v="11.48"/>
    <n v="11.48"/>
    <s v="Regular Price"/>
    <s v="EUR"/>
    <n v="975"/>
    <s v="3.8"/>
    <s v="0"/>
    <m/>
    <m/>
    <s v="Yes"/>
    <d v="2023-01-29T00:00:00"/>
    <s v="https://img01.ztat.net/article/ZL100294.jpg"/>
    <n v="0"/>
    <s v="No Discount"/>
  </r>
  <r>
    <s v="ZL100295"/>
    <s v="https://www.zalando.de/adidas-performance-basic-polo---rust-zl100295/"/>
    <x v="6"/>
    <s v="Basic POLO - RUST"/>
    <s v="Men's T-Shirts &amp; Polos"/>
    <x v="0"/>
    <x v="2"/>
    <s v="Rust"/>
    <s v="S"/>
    <n v="26.14"/>
    <n v="26.14"/>
    <s v="Regular Price"/>
    <s v="EUR"/>
    <n v="49"/>
    <s v="0"/>
    <s v="35.0"/>
    <m/>
    <m/>
    <s v="No"/>
    <d v="2023-01-29T00:00:00"/>
    <s v="https://img01.ztat.net/article/ZL100295.jpg"/>
    <n v="0"/>
    <s v="No Discount"/>
  </r>
  <r>
    <s v="ZL100296"/>
    <s v="https://www.zalando.de/colours-and-sons-essential-polo---mint-zl100296/"/>
    <x v="45"/>
    <s v="Essential POLO - MINT"/>
    <s v="Men's T-Shirts &amp; Polos"/>
    <x v="0"/>
    <x v="2"/>
    <s v="Mint"/>
    <s v="S"/>
    <n v="8.99"/>
    <n v="8.99"/>
    <s v="Regular Price"/>
    <s v="EUR"/>
    <n v="945"/>
    <s v="3.0"/>
    <s v="32.0"/>
    <m/>
    <m/>
    <s v="No"/>
    <d v="2023-01-29T00:00:00"/>
    <s v="https://img01.ztat.net/article/ZL100296.jpg"/>
    <n v="0"/>
    <s v="No Discount"/>
  </r>
  <r>
    <s v="ZL100298"/>
    <s v="https://www.zalando.de/van-laack-slim-fit-t-shirt---bordeaux-zl100298/"/>
    <x v="9"/>
    <s v="Slim Fit T-SHIRT - BORDEAUX"/>
    <s v="Men's T-Shirts &amp; Polos"/>
    <x v="1"/>
    <x v="4"/>
    <s v="Bordeaux"/>
    <s v="S"/>
    <n v="11.95"/>
    <n v="11.95"/>
    <s v="Regular Price"/>
    <s v="EUR"/>
    <n v="292"/>
    <s v="4.9"/>
    <s v="37.0"/>
    <m/>
    <m/>
    <s v="No"/>
    <d v="2023-01-29T00:00:00"/>
    <s v="https://img01.ztat.net/article/ZL100298.jpg"/>
    <n v="0"/>
    <s v="No Discount"/>
  </r>
  <r>
    <s v="ZL100299"/>
    <s v="https://www.zalando.de/adidas-performance-regular-fit-t-shirt---olive-zl100299/"/>
    <x v="6"/>
    <s v="Regular Fit T-SHIRT - OLIVE"/>
    <s v="Men's T-Shirts &amp; Polos"/>
    <x v="1"/>
    <x v="6"/>
    <s v="Olive"/>
    <s v="XS"/>
    <n v="85.77"/>
    <n v="85.77"/>
    <s v="Regular Price"/>
    <s v="EUR"/>
    <n v="506"/>
    <s v="3.6"/>
    <s v="33.0"/>
    <m/>
    <m/>
    <s v="Yes"/>
    <d v="2023-01-29T00:00:00"/>
    <s v="https://img01.ztat.net/article/ZL100299.jpg"/>
    <n v="0"/>
    <s v="No Discount"/>
  </r>
  <r>
    <s v="ZL100300"/>
    <s v="https://www.zalando.de/hummel-print-t-shirt---royal-blue-zl100300/"/>
    <x v="76"/>
    <s v="Print T-SHIRT - ROYAL BLUE"/>
    <s v="Men's T-Shirts &amp; Polos"/>
    <x v="1"/>
    <x v="5"/>
    <s v="Royal Blue"/>
    <s v="S"/>
    <n v="23.66"/>
    <n v="23.66"/>
    <s v="Regular Price"/>
    <s v="EUR"/>
    <n v="731"/>
    <s v="3.2"/>
    <s v="29.0"/>
    <m/>
    <m/>
    <s v="Yes"/>
    <d v="2023-01-29T00:00:00"/>
    <s v="https://img01.ztat.net/article/ZL100300.jpg"/>
    <n v="0"/>
    <s v="No Discount"/>
  </r>
  <r>
    <s v="ZL100304"/>
    <s v="https://www.zalando.de/jack-jones-junior-regular-fit-polo---anthracite-zl100304/"/>
    <x v="34"/>
    <s v="Regular Fit POLO - ANTHRACITE"/>
    <s v="Men's T-Shirts &amp; Polos"/>
    <x v="0"/>
    <x v="2"/>
    <s v="Anthracite"/>
    <s v="S"/>
    <n v="20.39"/>
    <n v="20.39"/>
    <s v="Regular Price"/>
    <s v="EUR"/>
    <n v="136"/>
    <s v="3.7"/>
    <s v="30.0"/>
    <m/>
    <m/>
    <s v="No"/>
    <d v="2023-01-29T00:00:00"/>
    <s v="https://img01.ztat.net/article/ZL100304.jpg"/>
    <n v="0"/>
    <s v="No Discount"/>
  </r>
  <r>
    <s v="ZL100306"/>
    <s v="https://www.zalando.de/salomon-regular-fit-t-shirt---navy-zl100306/"/>
    <x v="53"/>
    <s v="Regular Fit T-SHIRT - NAVY"/>
    <s v="Men's T-Shirts &amp; Polos"/>
    <x v="1"/>
    <x v="1"/>
    <s v="Navy"/>
    <s v="S"/>
    <n v="30.7"/>
    <n v="30.7"/>
    <s v="Regular Price"/>
    <s v="EUR"/>
    <n v="776"/>
    <s v="3.8"/>
    <s v="41.0"/>
    <m/>
    <m/>
    <s v="Yes"/>
    <d v="2023-01-29T00:00:00"/>
    <s v="https://img01.ztat.net/article/ZL100306.jpg"/>
    <n v="0"/>
    <s v="No Discount"/>
  </r>
  <r>
    <s v="ZL100307"/>
    <s v="https://www.zalando.de/river-island-slim-fit-t-shirt---off-white-zl100307/"/>
    <x v="117"/>
    <s v="Slim Fit T-SHIRT - OFF WHITE"/>
    <s v="Men's T-Shirts &amp; Polos"/>
    <x v="1"/>
    <x v="5"/>
    <s v="Off White"/>
    <s v="M"/>
    <n v="13.45"/>
    <n v="13.45"/>
    <s v="Regular Price"/>
    <s v="EUR"/>
    <n v="655"/>
    <s v="4.5"/>
    <s v="34.0"/>
    <m/>
    <m/>
    <s v="Yes"/>
    <d v="2023-01-29T00:00:00"/>
    <s v="https://img01.ztat.net/article/ZL100307.jpg"/>
    <n v="0"/>
    <s v="No Discount"/>
  </r>
  <r>
    <s v="ZL100309"/>
    <s v="https://www.zalando.de/nike-golf-essential-polo---light-grey-zl100309/"/>
    <x v="95"/>
    <s v="Essential POLO - LIGHT GREY"/>
    <s v="Men's T-Shirts &amp; Polos"/>
    <x v="0"/>
    <x v="0"/>
    <s v="Light Grey"/>
    <s v="XS"/>
    <n v="23.73"/>
    <n v="23.73"/>
    <s v="Regular Price"/>
    <s v="EUR"/>
    <n v="232"/>
    <s v="3.3"/>
    <s v="33.0"/>
    <m/>
    <m/>
    <s v="Yes"/>
    <d v="2023-01-29T00:00:00"/>
    <s v="https://img01.ztat.net/article/ZL100309.jpg"/>
    <n v="0"/>
    <s v="No Discount"/>
  </r>
  <r>
    <s v="ZL100310"/>
    <s v="https://www.zalando.de/bruuns-bazaar-basic-t-shirt---beige-zl100310/"/>
    <x v="100"/>
    <s v="Basic T-SHIRT - BEIGE"/>
    <s v="Men's T-Shirts &amp; Polos"/>
    <x v="1"/>
    <x v="5"/>
    <s v="Beige"/>
    <s v="S"/>
    <n v="15.89"/>
    <n v="15.89"/>
    <s v="Regular Price"/>
    <s v="EUR"/>
    <n v="57"/>
    <s v="3.8"/>
    <s v="27.0"/>
    <m/>
    <m/>
    <s v="Yes"/>
    <d v="2023-01-29T00:00:00"/>
    <s v="https://img01.ztat.net/article/ZL100310.jpg"/>
    <n v="0"/>
    <s v="No Discount"/>
  </r>
  <r>
    <s v="ZL100311"/>
    <s v="https://www.zalando.de/anerkjendt-slim-fit-polo---navy-zl100311/"/>
    <x v="26"/>
    <s v="Slim Fit POLO - NAVY"/>
    <s v="Men's T-Shirts &amp; Polos"/>
    <x v="0"/>
    <x v="0"/>
    <s v="Navy"/>
    <s v="S"/>
    <n v="37.31"/>
    <n v="37.31"/>
    <s v="Regular Price"/>
    <s v="EUR"/>
    <n v="30"/>
    <s v="3.8"/>
    <s v="27.0"/>
    <m/>
    <m/>
    <s v="Yes"/>
    <d v="2023-01-29T00:00:00"/>
    <s v="https://img01.ztat.net/article/ZL100311.jpg"/>
    <n v="0"/>
    <s v="No Discount"/>
  </r>
  <r>
    <s v="ZL100312"/>
    <s v="https://www.zalando.de/bershka-print-polo---beige-zl100312/"/>
    <x v="13"/>
    <s v="Print POLO - BEIGE"/>
    <s v="Men's T-Shirts &amp; Polos"/>
    <x v="0"/>
    <x v="0"/>
    <s v="Beige"/>
    <s v="XS"/>
    <n v="26.41"/>
    <n v="26.41"/>
    <s v="Regular Price"/>
    <s v="EUR"/>
    <n v="856"/>
    <s v="0"/>
    <s v="29.0"/>
    <m/>
    <m/>
    <s v="Yes"/>
    <d v="2023-01-29T00:00:00"/>
    <s v="https://img01.ztat.net/article/ZL100312.jpg"/>
    <n v="0"/>
    <s v="No Discount"/>
  </r>
  <r>
    <s v="ZL100315"/>
    <s v="https://www.zalando.de/only-sons-basic-polo---bordeaux-zl100315/"/>
    <x v="61"/>
    <s v="Basic POLO - BORDEAUX"/>
    <s v="Men's T-Shirts &amp; Polos"/>
    <x v="0"/>
    <x v="0"/>
    <s v="Bordeaux"/>
    <s v="S"/>
    <n v="21.56"/>
    <n v="21.56"/>
    <s v="Regular Price"/>
    <s v="EUR"/>
    <n v="564"/>
    <s v="3.3"/>
    <s v="0"/>
    <m/>
    <m/>
    <s v="No"/>
    <d v="2023-01-29T00:00:00"/>
    <s v="https://img01.ztat.net/article/ZL100315.jpg"/>
    <n v="0"/>
    <s v="No Discount"/>
  </r>
  <r>
    <s v="ZL100317"/>
    <s v="https://www.zalando.de/nike-print-t-shirt---mint-zl100317/"/>
    <x v="25"/>
    <s v="Print T-SHIRT - MINT"/>
    <s v="Men's T-Shirts &amp; Polos"/>
    <x v="1"/>
    <x v="1"/>
    <s v="Mint"/>
    <s v="XS"/>
    <n v="8.99"/>
    <n v="8.99"/>
    <s v="Regular Price"/>
    <s v="EUR"/>
    <n v="905"/>
    <s v="3.4"/>
    <s v="0"/>
    <m/>
    <m/>
    <s v="Yes"/>
    <d v="2023-01-29T00:00:00"/>
    <s v="https://img01.ztat.net/article/ZL100317.jpg"/>
    <n v="0"/>
    <s v="No Discount"/>
  </r>
  <r>
    <s v="ZL100318"/>
    <s v="https://www.zalando.de/adidas-performance-essential-polo---red-zl100318/"/>
    <x v="6"/>
    <s v="Essential POLO - RED"/>
    <s v="Men's T-Shirts &amp; Polos"/>
    <x v="0"/>
    <x v="3"/>
    <s v="Red"/>
    <s v="XS"/>
    <n v="32.28"/>
    <n v="32.28"/>
    <s v="Regular Price"/>
    <s v="EUR"/>
    <n v="233"/>
    <s v="4.5"/>
    <s v="40.0"/>
    <m/>
    <m/>
    <s v="Yes"/>
    <d v="2023-01-29T00:00:00"/>
    <s v="https://img01.ztat.net/article/ZL100318.jpg"/>
    <n v="0"/>
    <s v="No Discount"/>
  </r>
  <r>
    <s v="ZL100319"/>
    <s v="https://www.zalando.de/jackandjones-plus-print-polo---grey-melange-zl100319/"/>
    <x v="64"/>
    <s v="Print POLO - GREY MELANGE"/>
    <s v="Men's T-Shirts &amp; Polos"/>
    <x v="0"/>
    <x v="3"/>
    <s v="Grey Melange"/>
    <s v="S"/>
    <n v="19.920000000000002"/>
    <n v="19.920000000000002"/>
    <s v="Regular Price"/>
    <s v="EUR"/>
    <n v="624"/>
    <s v="N/A"/>
    <s v="38.0"/>
    <m/>
    <m/>
    <s v="Yes"/>
    <d v="2023-01-29T00:00:00"/>
    <s v="https://img01.ztat.net/article/ZL100319.jpg"/>
    <n v="0"/>
    <s v="No Discount"/>
  </r>
  <r>
    <s v="ZL100321"/>
    <s v="https://www.zalando.de/under-armour-slim-fit-polo---royal-blue-zl100321/"/>
    <x v="96"/>
    <s v="Slim Fit POLO - ROYAL BLUE"/>
    <s v="Men's T-Shirts &amp; Polos"/>
    <x v="0"/>
    <x v="2"/>
    <s v="Royal Blue"/>
    <s v="XS"/>
    <n v="8.99"/>
    <n v="8.99"/>
    <s v="Regular Price"/>
    <s v="EUR"/>
    <n v="364"/>
    <s v="0"/>
    <s v="35.0"/>
    <m/>
    <m/>
    <s v="Yes"/>
    <d v="2023-01-29T00:00:00"/>
    <s v="https://img01.ztat.net/article/ZL100321.jpg"/>
    <n v="0"/>
    <s v="No Discount"/>
  </r>
  <r>
    <s v="ZL100322"/>
    <s v="https://www.zalando.de/barbour-slim-fit-t-shirt---off-white-zl100322/"/>
    <x v="125"/>
    <s v="Slim Fit T-SHIRT - OFF WHITE"/>
    <s v="Men's T-Shirts &amp; Polos"/>
    <x v="1"/>
    <x v="4"/>
    <s v="Off White"/>
    <s v="XS"/>
    <n v="10.81"/>
    <n v="10.81"/>
    <s v="Regular Price"/>
    <s v="EUR"/>
    <n v="321"/>
    <s v="3.5"/>
    <s v="34.0"/>
    <m/>
    <m/>
    <s v="Yes"/>
    <d v="2023-01-29T00:00:00"/>
    <s v="https://img01.ztat.net/article/ZL100322.jpg"/>
    <n v="0"/>
    <s v="No Discount"/>
  </r>
  <r>
    <s v="ZL100324"/>
    <s v="https://www.zalando.de/puma-slim-fit-polo---dark-blue-zl100324/"/>
    <x v="21"/>
    <s v="Slim Fit POLO - DARK BLUE"/>
    <s v="Men's T-Shirts &amp; Polos"/>
    <x v="0"/>
    <x v="0"/>
    <s v="Dark Blue"/>
    <s v="XS"/>
    <n v="11.95"/>
    <n v="11.95"/>
    <s v="Regular Price"/>
    <s v="EUR"/>
    <n v="120"/>
    <s v="4.0"/>
    <s v="31.0"/>
    <m/>
    <m/>
    <s v="Yes"/>
    <d v="2023-01-29T00:00:00"/>
    <s v="https://img01.ztat.net/article/ZL100324.jpg"/>
    <n v="0"/>
    <s v="No Discount"/>
  </r>
  <r>
    <s v="ZL100327"/>
    <s v="https://www.zalando.de/adidas-performance-essential-polo---white-zl100327/"/>
    <x v="6"/>
    <s v="Essential POLO - WHITE"/>
    <s v="Men's T-Shirts &amp; Polos"/>
    <x v="0"/>
    <x v="3"/>
    <s v="White"/>
    <s v="S"/>
    <n v="33.57"/>
    <n v="33.57"/>
    <s v="Regular Price"/>
    <s v="EUR"/>
    <n v="498"/>
    <s v="4.1"/>
    <s v="33.0"/>
    <m/>
    <m/>
    <s v="Yes"/>
    <d v="2023-01-29T00:00:00"/>
    <s v="https://img01.ztat.net/article/ZL100327.jpg"/>
    <n v="0"/>
    <s v="No Discount"/>
  </r>
  <r>
    <s v="ZL100328"/>
    <s v="https://www.zalando.de/cars-basic-t-shirt---navy-zl100328/"/>
    <x v="30"/>
    <s v="Basic T-SHIRT - NAVY"/>
    <s v="Men's T-Shirts &amp; Polos"/>
    <x v="1"/>
    <x v="4"/>
    <s v="Navy"/>
    <s v="XS"/>
    <n v="38.979999999999997"/>
    <n v="38.979999999999997"/>
    <s v="Regular Price"/>
    <s v="EUR"/>
    <n v="752"/>
    <s v="0"/>
    <s v="0"/>
    <m/>
    <m/>
    <s v="Yes"/>
    <d v="2023-01-29T00:00:00"/>
    <s v="https://img01.ztat.net/article/ZL100328.jpg"/>
    <n v="0"/>
    <s v="No Discount"/>
  </r>
  <r>
    <s v="ZL100329"/>
    <s v="https://www.zalando.de/adidas-performance-print-t-shirt---light-grey-zl100329/"/>
    <x v="6"/>
    <s v="Print T-SHIRT - LIGHT GREY"/>
    <s v="Men's T-Shirts &amp; Polos"/>
    <x v="1"/>
    <x v="6"/>
    <s v="Light Grey"/>
    <s v="S"/>
    <n v="31.55"/>
    <n v="31.55"/>
    <s v="Regular Price"/>
    <s v="EUR"/>
    <n v="144"/>
    <s v="4.8"/>
    <s v="0"/>
    <m/>
    <m/>
    <s v="Yes"/>
    <d v="2023-01-29T00:00:00"/>
    <s v="https://img01.ztat.net/article/ZL100329.jpg"/>
    <n v="0"/>
    <s v="No Discount"/>
  </r>
  <r>
    <s v="ZL100330"/>
    <s v="https://www.zalando.de/matinique-regular-fit-t-shirt---royal-blue-zl100330/"/>
    <x v="118"/>
    <s v="Regular Fit T-SHIRT - ROYAL BLUE"/>
    <s v="Men's T-Shirts &amp; Polos"/>
    <x v="1"/>
    <x v="6"/>
    <s v="Royal Blue"/>
    <s v="XS"/>
    <n v="17.760000000000002"/>
    <n v="17.760000000000002"/>
    <s v="Regular Price"/>
    <s v="EUR"/>
    <n v="979"/>
    <s v="0"/>
    <s v="29.0"/>
    <m/>
    <m/>
    <s v="Yes"/>
    <d v="2023-01-29T00:00:00"/>
    <s v="https://img01.ztat.net/article/ZL100330.jpg"/>
    <n v="0"/>
    <s v="No Discount"/>
  </r>
  <r>
    <s v="ZL100331"/>
    <s v="https://www.zalando.de/gant-regular-fit-t-shirt---bordeaux-zl100331/"/>
    <x v="108"/>
    <s v="Regular Fit T-SHIRT - BORDEAUX"/>
    <s v="Men's T-Shirts &amp; Polos"/>
    <x v="1"/>
    <x v="5"/>
    <s v="Bordeaux"/>
    <s v="XS"/>
    <n v="8.99"/>
    <n v="8.99"/>
    <s v="Regular Price"/>
    <s v="EUR"/>
    <n v="117"/>
    <s v="4.7"/>
    <s v="36.0"/>
    <m/>
    <m/>
    <s v="Yes"/>
    <d v="2023-01-29T00:00:00"/>
    <s v="https://img01.ztat.net/article/ZL100331.jpg"/>
    <n v="0"/>
    <s v="No Discount"/>
  </r>
  <r>
    <s v="ZL100332"/>
    <s v="https://www.zalando.de/björn-borg-basic-polo---bordeaux-zl100332/"/>
    <x v="89"/>
    <s v="Basic POLO - BORDEAUX"/>
    <s v="Men's T-Shirts &amp; Polos"/>
    <x v="0"/>
    <x v="2"/>
    <s v="Bordeaux"/>
    <s v="XS"/>
    <n v="10.62"/>
    <n v="10.62"/>
    <s v="Regular Price"/>
    <s v="EUR"/>
    <n v="657"/>
    <s v="4.2"/>
    <s v="41.0"/>
    <m/>
    <m/>
    <s v="No"/>
    <d v="2023-01-29T00:00:00"/>
    <s v="https://img01.ztat.net/article/ZL100332.jpg"/>
    <n v="0"/>
    <s v="No Discount"/>
  </r>
  <r>
    <s v="ZL100333"/>
    <s v="https://www.zalando.de/mustang-basic-polo---bordeaux-zl100333/"/>
    <x v="56"/>
    <s v="Basic Polo - Bordeaux"/>
    <s v="Men's T-Shirts &amp; Polos"/>
    <x v="0"/>
    <x v="0"/>
    <s v="Bordeaux"/>
    <s v="XS"/>
    <n v="24.79"/>
    <n v="24.79"/>
    <s v="Regular Price"/>
    <s v="EUR"/>
    <n v="539"/>
    <s v="4.5"/>
    <s v="45.0"/>
    <m/>
    <m/>
    <s v="Yes"/>
    <d v="2023-01-29T00:00:00"/>
    <s v="https://img01.ztat.net/article/ZL100333.jpg"/>
    <n v="0"/>
    <s v="No Discount"/>
  </r>
  <r>
    <s v="ZL100334"/>
    <s v="https://www.zalando.de/tommy-hilfiger-essential-polo---rust-zl100334/"/>
    <x v="8"/>
    <s v="Essential POLO - RUST"/>
    <s v="Men's T-Shirts &amp; Polos"/>
    <x v="0"/>
    <x v="0"/>
    <s v="Rust"/>
    <s v="S"/>
    <n v="9.57"/>
    <n v="9.57"/>
    <s v="Regular Price"/>
    <s v="EUR"/>
    <n v="253"/>
    <s v="3.4"/>
    <s v="31.0"/>
    <m/>
    <m/>
    <s v="Yes"/>
    <d v="2023-01-29T00:00:00"/>
    <s v="https://img01.ztat.net/article/ZL100334.jpg"/>
    <n v="0"/>
    <s v="No Discount"/>
  </r>
  <r>
    <s v="ZL100335"/>
    <s v="https://www.zalando.de/tommy-hilfiger-basic-t-shirt---rust-zl100335/"/>
    <x v="8"/>
    <s v="Basic T-SHIRT - RUST"/>
    <s v="Men's T-Shirts &amp; Polos"/>
    <x v="1"/>
    <x v="1"/>
    <s v="Rust"/>
    <s v="XS"/>
    <n v="30.83"/>
    <n v="30.83"/>
    <s v="Regular Price"/>
    <s v="EUR"/>
    <n v="251"/>
    <s v="0"/>
    <s v="30.0"/>
    <m/>
    <m/>
    <s v="Yes"/>
    <d v="2023-01-29T00:00:00"/>
    <s v="https://img01.ztat.net/article/ZL100335.jpg"/>
    <n v="0"/>
    <s v="No Discount"/>
  </r>
  <r>
    <s v="ZL100336"/>
    <s v="https://www.zalando.de/nike-essential-t-shirt---red-zl100336/"/>
    <x v="25"/>
    <s v="Essential T-SHIRT - RED"/>
    <s v="Men's T-Shirts &amp; Polos"/>
    <x v="1"/>
    <x v="5"/>
    <s v="Red"/>
    <s v="M"/>
    <n v="37.92"/>
    <n v="37.92"/>
    <s v="Regular Price"/>
    <s v="EUR"/>
    <n v="589"/>
    <s v="0"/>
    <s v="36.0"/>
    <m/>
    <m/>
    <s v="Yes"/>
    <d v="2023-01-29T00:00:00"/>
    <s v="https://img01.ztat.net/article/ZL100336.jpg"/>
    <n v="0"/>
    <s v="No Discount"/>
  </r>
  <r>
    <s v="ZL100337"/>
    <s v="https://www.zalando.de/element-slim-fit-polo---anthracite-zl100337/"/>
    <x v="52"/>
    <s v="Slim Fit POLO - ANTHRACITE"/>
    <s v="Men's T-Shirts &amp; Polos"/>
    <x v="0"/>
    <x v="2"/>
    <s v="Anthracite"/>
    <s v="M"/>
    <n v="8.99"/>
    <n v="8.99"/>
    <s v="Regular Price"/>
    <s v="EUR"/>
    <n v="994"/>
    <s v="3.9"/>
    <s v="37.0"/>
    <m/>
    <m/>
    <s v="Yes"/>
    <d v="2023-01-29T00:00:00"/>
    <s v="https://img01.ztat.net/article/ZL100337.jpg"/>
    <n v="0"/>
    <s v="No Discount"/>
  </r>
  <r>
    <s v="ZL100338"/>
    <s v="https://www.zalando.de/matinique-slim-fit-t-shirt---rust-zl100338/"/>
    <x v="118"/>
    <s v="Slim Fit T-SHIRT - RUST"/>
    <s v="Men's T-Shirts &amp; Polos"/>
    <x v="1"/>
    <x v="1"/>
    <s v="Rust"/>
    <s v="XS"/>
    <n v="42.37"/>
    <n v="42.37"/>
    <s v="Regular Price"/>
    <s v="EUR"/>
    <n v="353"/>
    <s v="3.2"/>
    <s v="28.0"/>
    <m/>
    <m/>
    <s v="Yes"/>
    <d v="2023-01-29T00:00:00"/>
    <s v="https://img01.ztat.net/article/ZL100338.jpg"/>
    <n v="0"/>
    <s v="No Discount"/>
  </r>
  <r>
    <s v="ZL100339"/>
    <s v="https://www.zalando.de/nike-print-t-shirt---denim-blue-zl100339/"/>
    <x v="25"/>
    <s v="Print T-SHIRT - DENIM BLUE"/>
    <s v="Men's T-Shirts &amp; Polos"/>
    <x v="1"/>
    <x v="5"/>
    <s v="Denim Blue"/>
    <s v="S"/>
    <n v="25.45"/>
    <n v="25.45"/>
    <s v="Regular Price"/>
    <s v="EUR"/>
    <n v="62"/>
    <s v="0"/>
    <s v="29.0"/>
    <m/>
    <m/>
    <s v="No"/>
    <d v="2023-01-29T00:00:00"/>
    <s v="https://img01.ztat.net/article/ZL100339.jpg"/>
    <n v="0"/>
    <s v="No Discount"/>
  </r>
  <r>
    <s v="ZL100340"/>
    <s v="https://www.zalando.de/tommy-hilfiger-regular-fit-t-shirt---dark-green-zl100340/"/>
    <x v="8"/>
    <s v="Regular Fit T-SHIRT - DARK GREEN"/>
    <s v="Men's T-Shirts &amp; Polos"/>
    <x v="1"/>
    <x v="1"/>
    <s v="Dark Green"/>
    <s v="XS"/>
    <n v="18.13"/>
    <n v="18.13"/>
    <s v="Regular Price"/>
    <s v="EUR"/>
    <n v="241"/>
    <s v="3.8"/>
    <s v="0"/>
    <m/>
    <m/>
    <s v="No"/>
    <d v="2023-01-29T00:00:00"/>
    <s v="https://img01.ztat.net/article/ZL100340.jpg"/>
    <n v="0"/>
    <s v="No Discount"/>
  </r>
  <r>
    <s v="ZL100342"/>
    <s v="https://www.zalando.de/burton-regular-fit-t-shirt---red-zl100342/"/>
    <x v="58"/>
    <s v="Regular Fit T-SHIRT - RED"/>
    <s v="Men's T-Shirts &amp; Polos"/>
    <x v="1"/>
    <x v="1"/>
    <s v="Red"/>
    <s v="S"/>
    <n v="9.67"/>
    <n v="9.67"/>
    <s v="Regular Price"/>
    <s v="EUR"/>
    <n v="982"/>
    <s v="4.9"/>
    <s v="43.0"/>
    <m/>
    <m/>
    <s v="No"/>
    <d v="2023-01-29T00:00:00"/>
    <s v="https://img01.ztat.net/article/ZL100342.jpg"/>
    <n v="0"/>
    <s v="No Discount"/>
  </r>
  <r>
    <s v="ZL100343"/>
    <s v="https://www.zalando.de/lacoste-basic-polo---dark-green-zl100343/"/>
    <x v="4"/>
    <s v="Basic POLO - DARK GREEN"/>
    <s v="Men's T-Shirts &amp; Polos"/>
    <x v="0"/>
    <x v="0"/>
    <s v="Dark Green"/>
    <s v="S"/>
    <n v="8.99"/>
    <n v="8.99"/>
    <s v="Regular Price"/>
    <s v="EUR"/>
    <n v="103"/>
    <s v="0"/>
    <s v="36.0"/>
    <m/>
    <m/>
    <s v="Yes"/>
    <d v="2023-01-29T00:00:00"/>
    <s v="https://img01.ztat.net/article/ZL100343.jpg"/>
    <n v="0"/>
    <s v="No Discount"/>
  </r>
  <r>
    <s v="ZL100345"/>
    <s v="https://www.zalando.de/hackett-london-slim-fit-t-shirt---olive-zl100345/"/>
    <x v="104"/>
    <s v="Slim Fit T-SHIRT - OLIVE"/>
    <s v="Men's T-Shirts &amp; Polos"/>
    <x v="1"/>
    <x v="6"/>
    <s v="Olive"/>
    <s v="XS"/>
    <n v="36.44"/>
    <n v="36.44"/>
    <s v="Regular Price"/>
    <s v="EUR"/>
    <n v="440"/>
    <s v="4.8"/>
    <s v="22.0"/>
    <m/>
    <m/>
    <s v="Yes"/>
    <d v="2023-01-29T00:00:00"/>
    <s v="https://img01.ztat.net/article/ZL100345.jpg"/>
    <n v="0"/>
    <s v="No Discount"/>
  </r>
  <r>
    <s v="ZL100346"/>
    <s v="https://www.zalando.de/ellesse-basic-polo---mint-zl100346/"/>
    <x v="79"/>
    <s v="Basic POLO - MINT"/>
    <s v="Men's T-Shirts &amp; Polos"/>
    <x v="0"/>
    <x v="3"/>
    <s v="Mint"/>
    <s v="M"/>
    <n v="8.99"/>
    <n v="8.99"/>
    <s v="Regular Price"/>
    <s v="EUR"/>
    <n v="584"/>
    <s v="0"/>
    <s v="44.0"/>
    <m/>
    <m/>
    <s v="No"/>
    <d v="2023-01-29T00:00:00"/>
    <s v="https://img01.ztat.net/article/ZL100346.jpg"/>
    <n v="0"/>
    <s v="No Discount"/>
  </r>
  <r>
    <s v="ZL100347"/>
    <s v="https://www.zalando.de/j.lindeberg-essential-t-shirt---black-zl100347/"/>
    <x v="10"/>
    <s v="Essential T-SHIRT - BLACK"/>
    <s v="Men's T-Shirts &amp; Polos"/>
    <x v="1"/>
    <x v="1"/>
    <s v="Black"/>
    <s v="M"/>
    <n v="11.54"/>
    <n v="11.54"/>
    <s v="Regular Price"/>
    <s v="EUR"/>
    <n v="305"/>
    <s v="3.4"/>
    <s v="35.0"/>
    <m/>
    <m/>
    <s v="No"/>
    <d v="2023-01-29T00:00:00"/>
    <s v="https://img01.ztat.net/article/ZL100347.jpg"/>
    <n v="0"/>
    <s v="No Discount"/>
  </r>
  <r>
    <s v="ZL100348"/>
    <s v="https://www.zalando.de/tommy-hilfiger-basic-t-shirt---dark-blue-zl100348/"/>
    <x v="8"/>
    <s v="Basic T-SHIRT - DARK BLUE"/>
    <s v="Men's T-Shirts &amp; Polos"/>
    <x v="1"/>
    <x v="5"/>
    <s v="Dark Blue"/>
    <s v=""/>
    <n v="21.05"/>
    <n v="21.05"/>
    <s v="Regular Price"/>
    <s v="EUR"/>
    <n v="849"/>
    <s v="3.5"/>
    <s v="40.0"/>
    <m/>
    <m/>
    <s v="No"/>
    <d v="2023-01-29T00:00:00"/>
    <s v="https://img01.ztat.net/article/ZL100348.jpg"/>
    <n v="0"/>
    <s v="No Discount"/>
  </r>
  <r>
    <s v="ZL100352"/>
    <s v="https://www.zalando.de/olymp-regular-fit-t-shirt---grey-melange-zl100352/"/>
    <x v="80"/>
    <s v="Regular Fit T-SHIRT - GREY MELANGE"/>
    <s v="Men's T-Shirts &amp; Polos"/>
    <x v="1"/>
    <x v="6"/>
    <s v="Grey Melange"/>
    <s v="M"/>
    <n v="45.74"/>
    <n v="45.74"/>
    <s v="Regular Price"/>
    <s v="EUR"/>
    <n v="649"/>
    <s v="4.3"/>
    <s v="39.0"/>
    <m/>
    <m/>
    <s v="No"/>
    <d v="2023-01-29T00:00:00"/>
    <s v="https://img01.ztat.net/article/ZL100352.jpg"/>
    <n v="0"/>
    <s v="No Discount"/>
  </r>
  <r>
    <s v="ZL100356"/>
    <s v="https://www.zalando.de/fred-perry-regular-fit-polo---off-white-zl100356/"/>
    <x v="126"/>
    <s v="Regular Fit POLO - OFF WHITE"/>
    <s v="Men's T-Shirts &amp; Polos"/>
    <x v="0"/>
    <x v="3"/>
    <s v="Off White"/>
    <s v="XS"/>
    <n v="21.61"/>
    <n v="21.61"/>
    <s v="Regular Price"/>
    <s v="EUR"/>
    <n v="627"/>
    <s v="4.5"/>
    <s v="30.0"/>
    <m/>
    <m/>
    <s v="Yes"/>
    <d v="2023-01-29T00:00:00"/>
    <s v="https://img01.ztat.net/article/ZL100356.jpg"/>
    <n v="0"/>
    <s v="No Discount"/>
  </r>
  <r>
    <s v="ZL100357"/>
    <s v="https://www.zalando.de/cars-slim-fit-t-shirt---khaki-zl100357/"/>
    <x v="30"/>
    <s v="Slim Fit T-SHIRT - KHAKI"/>
    <s v="Men's T-Shirts &amp; Polos"/>
    <x v="1"/>
    <x v="4"/>
    <s v="Khaki"/>
    <s v="XS"/>
    <n v="16.670000000000002"/>
    <n v="16.670000000000002"/>
    <s v="Regular Price"/>
    <s v="EUR"/>
    <n v="434"/>
    <s v="3.5"/>
    <s v="29.0"/>
    <m/>
    <m/>
    <s v="Yes"/>
    <d v="2023-01-29T00:00:00"/>
    <s v="https://img01.ztat.net/article/ZL100357.jpg"/>
    <n v="0"/>
    <s v="No Discount"/>
  </r>
  <r>
    <s v="ZL100360"/>
    <s v="https://www.zalando.de/nike-slim-fit-t-shirt---dark-green-zl100360/"/>
    <x v="25"/>
    <s v="Slim Fit T-SHIRT - DARK GREEN"/>
    <s v="Men's T-Shirts &amp; Polos"/>
    <x v="1"/>
    <x v="6"/>
    <s v="Dark Green"/>
    <s v="S"/>
    <n v="33.869999999999997"/>
    <n v="33.869999999999997"/>
    <s v="NEW"/>
    <s v="EUR"/>
    <n v="48"/>
    <s v="4.9"/>
    <s v="33.0"/>
    <m/>
    <m/>
    <s v="Yes"/>
    <d v="2023-01-29T00:00:00"/>
    <s v="https://img01.ztat.net/article/ZL100360.jpg"/>
    <n v="0"/>
    <s v="No Discount"/>
  </r>
  <r>
    <s v="ZL100363"/>
    <s v="https://www.zalando.de/tommy-hilfiger-regular-fit-t-shirt---red-zl100363/"/>
    <x v="8"/>
    <s v="Regular Fit T-SHIRT - RED"/>
    <s v="Men's T-Shirts &amp; Polos"/>
    <x v="1"/>
    <x v="5"/>
    <s v="Red"/>
    <s v="S"/>
    <n v="8.99"/>
    <n v="8.99"/>
    <s v="Regular Price"/>
    <s v="EUR"/>
    <n v="93"/>
    <s v="4.8"/>
    <s v="31.0"/>
    <m/>
    <m/>
    <s v="No"/>
    <d v="2023-01-29T00:00:00"/>
    <s v="https://img01.ztat.net/article/ZL100363.jpg"/>
    <n v="0"/>
    <s v="No Discount"/>
  </r>
  <r>
    <s v="ZL100365"/>
    <s v="https://www.zalando.de/tom-tailor-denim-basic-t-shirt---anthracite-zl100365/"/>
    <x v="72"/>
    <s v="Basic T-SHIRT - ANTHRACITE"/>
    <s v="Men's T-Shirts &amp; Polos"/>
    <x v="1"/>
    <x v="6"/>
    <s v="Anthracite"/>
    <s v="M"/>
    <n v="26.67"/>
    <n v="26.67"/>
    <s v="Regular Price"/>
    <s v="EUR"/>
    <n v="955"/>
    <s v="4.4"/>
    <s v="0"/>
    <m/>
    <m/>
    <s v="Yes"/>
    <d v="2023-01-29T00:00:00"/>
    <s v="https://img01.ztat.net/article/ZL100365.jpg"/>
    <n v="0"/>
    <s v="No Discount"/>
  </r>
  <r>
    <s v="ZL100366"/>
    <s v="https://www.zalando.de/won-hundred-regular-fit-polo---white-zl100366/"/>
    <x v="44"/>
    <s v="Regular Fit POLO - WHITE"/>
    <s v="Men's T-Shirts &amp; Polos"/>
    <x v="0"/>
    <x v="2"/>
    <s v="White"/>
    <s v="S"/>
    <n v="28.56"/>
    <n v="28.56"/>
    <s v="Regular Price"/>
    <s v="EUR"/>
    <n v="832"/>
    <s v="4.9"/>
    <s v="0"/>
    <m/>
    <m/>
    <s v="Yes"/>
    <d v="2023-01-29T00:00:00"/>
    <s v="https://img01.ztat.net/article/ZL100366.jpg"/>
    <n v="0"/>
    <s v="No Discount"/>
  </r>
  <r>
    <s v="ZL100367"/>
    <s v="https://www.zalando.de/salomon-slim-fit-t-shirt---navy-zl100367/"/>
    <x v="53"/>
    <s v="Slim Fit T-SHIRT - NAVY"/>
    <s v="Men's T-Shirts &amp; Polos"/>
    <x v="1"/>
    <x v="4"/>
    <s v="Navy"/>
    <s v="S"/>
    <n v="21.37"/>
    <n v="21.37"/>
    <s v="Regular Price"/>
    <s v="EUR"/>
    <n v="373"/>
    <s v="4.4"/>
    <s v="32.0"/>
    <m/>
    <m/>
    <s v="Yes"/>
    <d v="2023-01-29T00:00:00"/>
    <s v="https://img01.ztat.net/article/ZL100367.jpg"/>
    <n v="0"/>
    <s v="No Discount"/>
  </r>
  <r>
    <s v="ZL100368"/>
    <s v="https://www.zalando.de/calvin-klein-slim-fit-t-shirt---navy-zl100368/"/>
    <x v="14"/>
    <s v="Slim Fit T-SHIRT - NAVY"/>
    <s v="Men's T-Shirts &amp; Polos"/>
    <x v="1"/>
    <x v="1"/>
    <s v="Navy"/>
    <s v="S"/>
    <n v="37.380000000000003"/>
    <n v="37.380000000000003"/>
    <s v="NEW"/>
    <s v="EUR"/>
    <n v="330"/>
    <s v="0"/>
    <s v="0"/>
    <m/>
    <m/>
    <s v="Yes"/>
    <d v="2023-01-29T00:00:00"/>
    <s v="https://img01.ztat.net/article/ZL100368.jpg"/>
    <n v="0"/>
    <s v="No Discount"/>
  </r>
  <r>
    <s v="ZL100373"/>
    <s v="https://www.zalando.de/nike-sportswear-slim-fit-polo---beige-zl100373/"/>
    <x v="101"/>
    <s v="Slim Fit POLO - BEIGE"/>
    <s v="Men's T-Shirts &amp; Polos"/>
    <x v="0"/>
    <x v="0"/>
    <s v="Beige"/>
    <s v="S"/>
    <n v="12.03"/>
    <n v="12.03"/>
    <s v="Regular Price"/>
    <s v="EUR"/>
    <n v="864"/>
    <s v="4.4"/>
    <s v="0"/>
    <m/>
    <m/>
    <s v="Yes"/>
    <d v="2023-01-29T00:00:00"/>
    <s v="https://img01.ztat.net/article/ZL100373.jpg"/>
    <n v="0"/>
    <s v="No Discount"/>
  </r>
  <r>
    <s v="ZL100374"/>
    <s v="https://www.zalando.de/napapijri-essential-t-shirt---black-zl100374/"/>
    <x v="50"/>
    <s v="Essential T-SHIRT - BLACK"/>
    <s v="Men's T-Shirts &amp; Polos"/>
    <x v="1"/>
    <x v="4"/>
    <s v="Black"/>
    <s v="M"/>
    <n v="11.1"/>
    <n v="11.1"/>
    <s v="Regular Price"/>
    <s v="EUR"/>
    <n v="966"/>
    <s v="3.5"/>
    <s v="0"/>
    <m/>
    <m/>
    <s v="Yes"/>
    <d v="2023-01-29T00:00:00"/>
    <s v="https://img01.ztat.net/article/ZL100374.jpg"/>
    <n v="0"/>
    <s v="No Discount"/>
  </r>
  <r>
    <s v="ZL100377"/>
    <s v="https://www.zalando.de/tommy-hilfiger-regular-fit-t-shirt---navy-zl100377/"/>
    <x v="8"/>
    <s v="Regular Fit T-SHIRT - NAVY"/>
    <s v="Men's T-Shirts &amp; Polos"/>
    <x v="1"/>
    <x v="6"/>
    <s v="Navy"/>
    <s v="M"/>
    <n v="23.92"/>
    <n v="23.92"/>
    <s v="Regular Price"/>
    <s v="EUR"/>
    <n v="426"/>
    <s v="3.8"/>
    <s v="36.0"/>
    <m/>
    <m/>
    <s v="Yes"/>
    <d v="2023-01-29T00:00:00"/>
    <s v="https://img01.ztat.net/article/ZL100377.jpg"/>
    <n v="0"/>
    <s v="No Discount"/>
  </r>
  <r>
    <s v="ZL100378"/>
    <s v="https://www.zalando.de/guess-essential-t-shirt---beige-zl100378/"/>
    <x v="82"/>
    <s v="Essential T-SHIRT - BEIGE"/>
    <s v="Men's T-Shirts &amp; Polos"/>
    <x v="1"/>
    <x v="4"/>
    <m/>
    <s v="S"/>
    <n v="12.01"/>
    <n v="12.01"/>
    <s v="Regular Price"/>
    <s v="EUR"/>
    <n v="886"/>
    <s v="4.4"/>
    <s v="35.0"/>
    <m/>
    <m/>
    <s v="Yes"/>
    <d v="2023-01-29T00:00:00"/>
    <s v="https://img01.ztat.net/article/ZL100378.jpg"/>
    <n v="0"/>
    <s v="No Discount"/>
  </r>
  <r>
    <s v="ZL100379"/>
    <s v="https://www.zalando.de/blend-she-print-t-shirt---red-zl100379/"/>
    <x v="38"/>
    <s v="Print T-SHIRT - RED"/>
    <s v="Men's T-Shirts &amp; Polos"/>
    <x v="1"/>
    <x v="6"/>
    <s v="Red"/>
    <s v="S"/>
    <n v="8.99"/>
    <n v="8.99"/>
    <s v="Regular Price"/>
    <s v="EUR"/>
    <n v="568"/>
    <s v="3.9"/>
    <s v="41.0"/>
    <m/>
    <m/>
    <s v="No"/>
    <d v="2023-01-29T00:00:00"/>
    <s v="https://img01.ztat.net/article/ZL100379.jpg"/>
    <n v="0"/>
    <s v="No Discount"/>
  </r>
  <r>
    <s v="ZL100380"/>
    <s v="https://www.zalando.de/strellson-premium-regular-fit-polo---dark-blue-zl100380/"/>
    <x v="17"/>
    <s v="Regular Fit POLO - DARK BLUE"/>
    <s v="Men's T-Shirts &amp; Polos"/>
    <x v="0"/>
    <x v="2"/>
    <s v="Dark Blue"/>
    <s v="XS"/>
    <n v="8.99"/>
    <n v="8.99"/>
    <s v="Regular Price"/>
    <s v="EUR"/>
    <n v="398"/>
    <s v="4.4"/>
    <s v="38.0"/>
    <m/>
    <m/>
    <s v="No"/>
    <d v="2023-01-29T00:00:00"/>
    <s v="https://img01.ztat.net/article/ZL100380.jpg"/>
    <n v="0"/>
    <s v="No Discount"/>
  </r>
  <r>
    <s v="ZL100381"/>
    <s v="https://www.zalando.de/cars-regular-fit-t-shirt---navy-zl100381/"/>
    <x v="30"/>
    <s v="Regular Fit T-SHIRT - NAVY"/>
    <s v="Men's T-Shirts &amp; Polos"/>
    <x v="1"/>
    <x v="5"/>
    <s v="Navy"/>
    <s v="S"/>
    <n v="20.63"/>
    <n v="20.63"/>
    <s v="Regular Price"/>
    <s v="EUR"/>
    <n v="549"/>
    <s v="3.7"/>
    <s v="43.0"/>
    <m/>
    <m/>
    <s v="Yes"/>
    <d v="2023-01-29T00:00:00"/>
    <s v="https://img01.ztat.net/article/ZL100381.jpg"/>
    <n v="0"/>
    <s v="No Discount"/>
  </r>
  <r>
    <s v="ZL100382"/>
    <s v="https://www.zalando.de/quiksilver-basic-t-shirt---off-white-zl100382/"/>
    <x v="70"/>
    <s v="Basic T-SHIRT - OFF WHITE"/>
    <s v="Men's T-Shirts &amp; Polos"/>
    <x v="1"/>
    <x v="4"/>
    <s v="Off White"/>
    <s v="M"/>
    <n v="8.99"/>
    <n v="8.99"/>
    <s v="Regular Price"/>
    <s v="EUR"/>
    <n v="406"/>
    <s v="3.2"/>
    <s v="33.0"/>
    <m/>
    <m/>
    <s v="Yes"/>
    <d v="2023-01-29T00:00:00"/>
    <s v="https://img01.ztat.net/article/ZL100382.jpg"/>
    <n v="0"/>
    <s v="No Discount"/>
  </r>
  <r>
    <s v="ZL100383"/>
    <s v="https://www.zalando.de/salomon-print-polo---denim-blue-zl100383/"/>
    <x v="53"/>
    <s v="Print POLO - DENIM BLUE"/>
    <s v="Men's T-Shirts &amp; Polos"/>
    <x v="0"/>
    <x v="0"/>
    <s v="Denim Blue"/>
    <s v="S"/>
    <n v="18.38"/>
    <n v="18.38"/>
    <s v="Regular Price"/>
    <s v="EUR"/>
    <n v="768"/>
    <s v="3.1"/>
    <s v="37.0"/>
    <m/>
    <m/>
    <s v="Yes"/>
    <d v="2023-01-29T00:00:00"/>
    <s v="https://img01.ztat.net/article/ZL100383.jpg"/>
    <n v="0"/>
    <s v="No Discount"/>
  </r>
  <r>
    <s v="ZL100384"/>
    <s v="https://www.zalando.de/weekday-essential-t-shirt---off-white-zl100384/"/>
    <x v="46"/>
    <s v="Essential T-SHIRT - OFF WHITE"/>
    <s v="Men's T-Shirts &amp; Polos"/>
    <x v="1"/>
    <x v="1"/>
    <s v="Off White"/>
    <s v="S"/>
    <n v="8.99"/>
    <n v="8.99"/>
    <s v="Regular Price"/>
    <s v="EUR"/>
    <n v="914"/>
    <s v="3.5"/>
    <s v="47.0"/>
    <m/>
    <m/>
    <s v="Yes"/>
    <d v="2023-01-29T00:00:00"/>
    <s v="https://img01.ztat.net/article/ZL100384.jpg"/>
    <n v="0"/>
    <s v="No Discount"/>
  </r>
  <r>
    <s v="ZL100386"/>
    <s v="https://www.zalando.de/nike-slim-fit-polo---white-zl100386/"/>
    <x v="25"/>
    <s v="Slim Fit POLO - WHITE"/>
    <s v="Men's T-Shirts &amp; Polos"/>
    <x v="0"/>
    <x v="2"/>
    <s v="White"/>
    <s v="S"/>
    <n v="16.2"/>
    <n v="16.2"/>
    <s v="Regular Price"/>
    <s v="EUR"/>
    <n v="28"/>
    <s v="0"/>
    <s v="32.0"/>
    <m/>
    <m/>
    <s v="Yes"/>
    <d v="2023-01-29T00:00:00"/>
    <s v="https://img01.ztat.net/article/ZL100386.jpg"/>
    <n v="0"/>
    <s v="No Discount"/>
  </r>
  <r>
    <s v="ZL100387"/>
    <s v="https://www.zalando.de/mango-man-print-t-shirt---anthracite-zl100387/"/>
    <x v="5"/>
    <s v="Print T-SHIRT - ANTHRACITE"/>
    <s v="Men's T-Shirts &amp; Polos"/>
    <x v="1"/>
    <x v="6"/>
    <s v="Anthracite"/>
    <s v="XS"/>
    <n v="16.72"/>
    <n v="16.72"/>
    <s v="Regular Price"/>
    <s v="EUR"/>
    <n v="461"/>
    <s v="0"/>
    <s v="35.0"/>
    <m/>
    <m/>
    <s v="Yes"/>
    <d v="2023-01-29T00:00:00"/>
    <s v="https://img01.ztat.net/article/ZL100387.jpg"/>
    <n v="0"/>
    <s v="No Discount"/>
  </r>
  <r>
    <s v="ZL100388"/>
    <s v="https://www.zalando.de/produkt-essential-polo---khaki-zl100388/"/>
    <x v="0"/>
    <s v="Essential POLO - KHAKI"/>
    <s v="Men's T-Shirts &amp; Polos"/>
    <x v="0"/>
    <x v="0"/>
    <s v="Khaki"/>
    <s v="S"/>
    <n v="12.59"/>
    <n v="12.59"/>
    <s v="Regular Price"/>
    <s v="EUR"/>
    <n v="201"/>
    <s v="4.8"/>
    <s v="35.0"/>
    <m/>
    <m/>
    <s v="Yes"/>
    <d v="2023-01-29T00:00:00"/>
    <s v="https://img01.ztat.net/article/ZL100388.jpg"/>
    <n v="0"/>
    <s v="No Discount"/>
  </r>
  <r>
    <s v="ZL100389"/>
    <s v="https://www.zalando.de/tiger-of-sweden-essential-polo---light-grey-zl100389/"/>
    <x v="127"/>
    <s v="Essential POLO - LIGHT GREY"/>
    <s v="Men's T-Shirts &amp; Polos"/>
    <x v="0"/>
    <x v="2"/>
    <s v="Light Grey"/>
    <s v="S"/>
    <n v="12.37"/>
    <n v="12.37"/>
    <s v="Regular Price"/>
    <s v="EUR"/>
    <n v="803"/>
    <s v="3.3"/>
    <s v="24.0"/>
    <m/>
    <m/>
    <s v="Yes"/>
    <d v="2023-01-29T00:00:00"/>
    <s v="https://img01.ztat.net/article/ZL100389.jpg"/>
    <n v="0"/>
    <s v="No Discount"/>
  </r>
  <r>
    <s v="ZL100392"/>
    <s v="https://www.zalando.de/adidas-performance-print-t-shirt---rust-zl100392/"/>
    <x v="6"/>
    <s v="Print T-SHIRT - RUST"/>
    <s v="Men's T-Shirts &amp; Polos"/>
    <x v="1"/>
    <x v="1"/>
    <s v="Rust"/>
    <s v="S"/>
    <n v="24.36"/>
    <n v="24.36"/>
    <s v="Regular Price"/>
    <s v="EUR"/>
    <n v="122"/>
    <s v="4.3"/>
    <s v="34.0"/>
    <m/>
    <m/>
    <s v="Yes"/>
    <d v="2023-01-29T00:00:00"/>
    <s v="https://img01.ztat.net/article/ZL100392.jpg"/>
    <n v="0"/>
    <s v="No Discount"/>
  </r>
  <r>
    <s v="ZL100395"/>
    <s v="https://www.zalando.de/nike-print-polo---olive-zl100395/"/>
    <x v="25"/>
    <s v="Print POLO - OLIVE"/>
    <s v="Men's T-Shirts &amp; Polos"/>
    <x v="0"/>
    <x v="3"/>
    <s v="Olive"/>
    <s v="XS"/>
    <n v="17.43"/>
    <n v="17.43"/>
    <s v="Regular Price"/>
    <s v="EUR"/>
    <n v="209"/>
    <s v="5.0"/>
    <s v="34.0"/>
    <m/>
    <m/>
    <s v="No"/>
    <d v="2023-01-29T00:00:00"/>
    <s v="https://img01.ztat.net/article/ZL100395.jpg"/>
    <n v="0"/>
    <s v="No Discount"/>
  </r>
  <r>
    <s v="ZL100396"/>
    <s v="https://www.zalando.de/redefined-rebel-regular-fit-t-shirt---off-white-zl100396/"/>
    <x v="94"/>
    <s v="Regular Fit T-SHIRT - OFF WHITE"/>
    <s v="Men's T-Shirts &amp; Polos"/>
    <x v="1"/>
    <x v="5"/>
    <s v="Off White"/>
    <s v="S"/>
    <n v="17.309999999999999"/>
    <n v="17.309999999999999"/>
    <s v="Regular Price"/>
    <s v="EUR"/>
    <n v="669"/>
    <s v="3.7"/>
    <s v="22.0"/>
    <m/>
    <m/>
    <s v="Yes"/>
    <d v="2023-01-29T00:00:00"/>
    <s v="https://img01.ztat.net/article/ZL100396.jpg"/>
    <n v="0"/>
    <s v="No Discount"/>
  </r>
  <r>
    <s v="ZL100398"/>
    <s v="https://www.zalando.de/redefined-rebel-print-t-shirt---bordeaux-zl100398/"/>
    <x v="94"/>
    <s v="Print T-SHIRT - BORDEAUX"/>
    <s v="Men's T-Shirts &amp; Polos"/>
    <x v="1"/>
    <x v="4"/>
    <s v="Bordeaux"/>
    <s v="M"/>
    <n v="12.54"/>
    <n v="12.54"/>
    <s v="Regular Price"/>
    <s v="EUR"/>
    <n v="917"/>
    <s v="0"/>
    <s v="42.0"/>
    <m/>
    <m/>
    <s v="Yes"/>
    <d v="2023-01-29T00:00:00"/>
    <s v="https://img01.ztat.net/article/ZL100398.jpg"/>
    <n v="0"/>
    <s v="No Discount"/>
  </r>
  <r>
    <s v="ZL100399"/>
    <s v="https://www.zalando.de/under-armour-training-essential-t-shirt---dark-blue-zl100399/"/>
    <x v="123"/>
    <s v="Essential T-SHIRT - DARK BLUE"/>
    <s v="Men's T-Shirts &amp; Polos"/>
    <x v="1"/>
    <x v="1"/>
    <s v="Dark Blue"/>
    <s v="XS"/>
    <n v="18.239999999999998"/>
    <n v="18.239999999999998"/>
    <s v="Regular Price"/>
    <s v="EUR"/>
    <n v="94"/>
    <s v="3.3"/>
    <s v="27.0"/>
    <m/>
    <m/>
    <s v="No"/>
    <d v="2023-01-29T00:00:00"/>
    <s v="https://img01.ztat.net/article/ZL100399.jpg"/>
    <n v="0"/>
    <s v="No Discount"/>
  </r>
  <r>
    <s v="ZL100401"/>
    <s v="https://www.zalando.de/nike-print-polo---grey-melange-zl100401/"/>
    <x v="25"/>
    <s v="Print POLO - GREY MELANGE"/>
    <s v="Men's T-Shirts &amp; Polos"/>
    <x v="0"/>
    <x v="0"/>
    <m/>
    <s v="XS"/>
    <n v="16.899999999999999"/>
    <n v="16.899999999999999"/>
    <s v="Regular Price"/>
    <s v="EUR"/>
    <n v="619"/>
    <s v="3.2"/>
    <s v="35.0"/>
    <m/>
    <m/>
    <s v="Yes"/>
    <d v="2023-01-29T00:00:00"/>
    <s v="https://img01.ztat.net/article/ZL100401.jpg"/>
    <n v="0"/>
    <s v="No Discount"/>
  </r>
  <r>
    <s v="ZL100402"/>
    <s v="https://www.zalando.de/pier-1-print-polo---denim-blue-zl100402/"/>
    <x v="62"/>
    <s v="Print POLO - DENIM BLUE"/>
    <s v="Men's T-Shirts &amp; Polos"/>
    <x v="0"/>
    <x v="0"/>
    <s v="Denim Blue"/>
    <s v="XS"/>
    <n v="20.66"/>
    <n v="20.66"/>
    <s v="Regular Price"/>
    <s v="EUR"/>
    <n v="612"/>
    <s v="3.7"/>
    <s v="37.0"/>
    <m/>
    <m/>
    <s v="Yes"/>
    <d v="2023-01-29T00:00:00"/>
    <s v="https://img01.ztat.net/article/ZL100402.jpg"/>
    <n v="0"/>
    <s v="No Discount"/>
  </r>
  <r>
    <s v="ZL100405"/>
    <s v="https://www.zalando.de/nike-running-essential-t-shirt---denim-blue-zl100405/"/>
    <x v="87"/>
    <s v="Essential T-SHIRT - DENIM BLUE"/>
    <s v="Men's T-Shirts &amp; Polos"/>
    <x v="1"/>
    <x v="1"/>
    <s v="Denim Blue"/>
    <s v="S"/>
    <n v="26.28"/>
    <n v="26.28"/>
    <s v="Regular Price"/>
    <s v="EUR"/>
    <n v="969"/>
    <s v="3.9"/>
    <s v="38.0"/>
    <m/>
    <m/>
    <s v="Yes"/>
    <d v="2023-01-29T00:00:00"/>
    <s v="https://img01.ztat.net/article/ZL100405.jpg"/>
    <n v="0"/>
    <s v="No Discount"/>
  </r>
  <r>
    <s v="ZL100406"/>
    <s v="https://www.zalando.de/produkt-slim-fit-polo---anthracite-zl100406/"/>
    <x v="0"/>
    <s v="Slim Fit POLO - ANTHRACITE"/>
    <s v="Men's T-Shirts &amp; Polos"/>
    <x v="0"/>
    <x v="0"/>
    <s v="Anthracite"/>
    <s v="XS"/>
    <n v="18.88"/>
    <n v="18.88"/>
    <s v="Regular Price"/>
    <s v="EUR"/>
    <n v="946"/>
    <s v="4.7"/>
    <s v="43.0"/>
    <m/>
    <m/>
    <s v="Yes"/>
    <d v="2023-01-29T00:00:00"/>
    <s v="https://img01.ztat.net/article/ZL100406.jpg"/>
    <n v="0"/>
    <s v="No Discount"/>
  </r>
  <r>
    <s v="ZL100408"/>
    <s v="https://www.zalando.de/selected-homme-basic-t-shirt---black-zl100408/"/>
    <x v="2"/>
    <s v="Basic T-SHIRT - BLACK"/>
    <s v="Men's T-Shirts &amp; Polos"/>
    <x v="1"/>
    <x v="1"/>
    <m/>
    <s v="XS"/>
    <n v="24.32"/>
    <n v="24.32"/>
    <s v="Regular Price"/>
    <s v="EUR"/>
    <n v="770"/>
    <s v="4.1"/>
    <s v="26.0"/>
    <m/>
    <m/>
    <s v="Yes"/>
    <d v="2023-01-29T00:00:00"/>
    <s v="https://img01.ztat.net/article/ZL100408.jpg"/>
    <n v="0"/>
    <s v="No Discount"/>
  </r>
  <r>
    <s v="ZL100409"/>
    <s v="https://www.zalando.de/jack-jones-junior-basic-polo---royal-blue-zl100409/"/>
    <x v="34"/>
    <s v="Basic POLO - ROYAL BLUE"/>
    <s v="Men's T-Shirts &amp; Polos"/>
    <x v="0"/>
    <x v="3"/>
    <s v="Royal Blue"/>
    <s v="XS"/>
    <n v="12.57"/>
    <n v="12.57"/>
    <s v="Regular Price"/>
    <s v="EUR"/>
    <n v="822"/>
    <s v="3.7"/>
    <s v="30.0"/>
    <m/>
    <m/>
    <s v="Yes"/>
    <d v="2023-01-29T00:00:00"/>
    <s v="https://img01.ztat.net/article/ZL100409.jpg"/>
    <n v="0"/>
    <s v="No Discount"/>
  </r>
  <r>
    <s v="ZL100412"/>
    <s v="https://www.zalando.de/lacoste-basic-t-shirt---bordeaux-zl100412/"/>
    <x v="4"/>
    <s v="Basic T-SHIRT - BORDEAUX"/>
    <s v="Men's T-Shirts &amp; Polos"/>
    <x v="1"/>
    <x v="4"/>
    <s v="Bordeaux"/>
    <s v="XS"/>
    <n v="18.47"/>
    <n v="18.47"/>
    <s v="Regular Price"/>
    <s v="EUR"/>
    <n v="160"/>
    <s v="3.1"/>
    <s v="29.0"/>
    <m/>
    <m/>
    <s v="Yes"/>
    <d v="2023-01-29T00:00:00"/>
    <s v="https://img01.ztat.net/article/ZL100412.jpg"/>
    <n v="0"/>
    <s v="No Discount"/>
  </r>
  <r>
    <s v="ZL100416"/>
    <s v="https://www.zalando.de/salomon-essential-t-shirt---denim-blue-zl100416/"/>
    <x v="53"/>
    <s v="Essential T-SHIRT - DENIM BLUE"/>
    <s v="Men's T-Shirts &amp; Polos"/>
    <x v="1"/>
    <x v="6"/>
    <s v="Denim Blue"/>
    <s v="XS"/>
    <n v="12.8"/>
    <n v="12.8"/>
    <s v="Regular Price"/>
    <s v="EUR"/>
    <n v="239"/>
    <s v="3.6"/>
    <s v="32.0"/>
    <m/>
    <m/>
    <s v="Yes"/>
    <d v="2023-01-29T00:00:00"/>
    <s v="https://img01.ztat.net/article/ZL100416.jpg"/>
    <n v="0"/>
    <s v="No Discount"/>
  </r>
  <r>
    <s v="ZL100419"/>
    <s v="https://www.zalando.de/windsor.-print-t-shirt---navy-zl100419/"/>
    <x v="115"/>
    <s v="Print T-SHIRT - NAVY"/>
    <s v="Men's T-Shirts &amp; Polos"/>
    <x v="1"/>
    <x v="6"/>
    <s v="Navy"/>
    <s v="S"/>
    <n v="26.35"/>
    <n v="26.35"/>
    <s v="Regular Price"/>
    <s v="EUR"/>
    <n v="383"/>
    <s v="0"/>
    <s v="29.0"/>
    <m/>
    <m/>
    <s v="No"/>
    <d v="2023-01-29T00:00:00"/>
    <s v="https://img01.ztat.net/article/ZL100419.jpg"/>
    <n v="0"/>
    <s v="No Discount"/>
  </r>
  <r>
    <s v="ZL100423"/>
    <s v="https://www.zalando.de/mango-man-regular-fit-t-shirt---rust-zl100423/"/>
    <x v="5"/>
    <s v="Regular Fit T-SHIRT - RUST"/>
    <s v="Men's T-Shirts &amp; Polos"/>
    <x v="1"/>
    <x v="4"/>
    <s v="Rust"/>
    <s v="XS"/>
    <n v="8.99"/>
    <n v="8.99"/>
    <s v="Regular Price"/>
    <s v="EUR"/>
    <n v="87"/>
    <s v="4.8"/>
    <s v="29.0"/>
    <m/>
    <m/>
    <s v="Yes"/>
    <d v="2023-01-29T00:00:00"/>
    <s v="https://img01.ztat.net/article/ZL100423.jpg"/>
    <n v="0"/>
    <s v="No Discount"/>
  </r>
  <r>
    <s v="ZL100424"/>
    <s v="https://www.zalando.de/only-sons-regular-fit-polo---off-white-zl100424/"/>
    <x v="61"/>
    <s v="Regular Fit POLO - OFF WHITE"/>
    <s v="Men's T-Shirts &amp; Polos"/>
    <x v="0"/>
    <x v="3"/>
    <s v="Off White"/>
    <s v="M"/>
    <n v="29.8"/>
    <n v="29.8"/>
    <s v="Regular Price"/>
    <s v="EUR"/>
    <n v="261"/>
    <s v="0"/>
    <s v="31.0"/>
    <m/>
    <m/>
    <s v="No"/>
    <d v="2023-01-29T00:00:00"/>
    <s v="https://img01.ztat.net/article/ZL100424.jpg"/>
    <n v="0"/>
    <s v="No Discount"/>
  </r>
  <r>
    <s v="ZL100425"/>
    <s v="https://www.zalando.de/threadbare-essential-polo---white-zl100425/"/>
    <x v="40"/>
    <s v="Essential POLO - WHITE"/>
    <s v="Men's T-Shirts &amp; Polos"/>
    <x v="0"/>
    <x v="0"/>
    <s v="White"/>
    <s v="S"/>
    <n v="47.73"/>
    <n v="47.73"/>
    <s v="Regular Price"/>
    <s v="EUR"/>
    <n v="844"/>
    <s v="3.8"/>
    <s v="36.0"/>
    <m/>
    <m/>
    <s v="No"/>
    <d v="2023-01-29T00:00:00"/>
    <s v="https://img01.ztat.net/article/ZL100425.jpg"/>
    <n v="0"/>
    <s v="No Discount"/>
  </r>
  <r>
    <s v="ZL100427"/>
    <s v="https://www.zalando.de/hummel-regular-fit-polo---denim-blue-zl100427/"/>
    <x v="76"/>
    <s v="Regular Fit POLO - DENIM BLUE"/>
    <s v="Men's T-Shirts &amp; Polos"/>
    <x v="0"/>
    <x v="3"/>
    <s v="Denim Blue"/>
    <s v="XS"/>
    <n v="8.99"/>
    <n v="8.99"/>
    <s v="Regular Price"/>
    <s v="EUR"/>
    <n v="721"/>
    <s v="4.0"/>
    <s v="41.0"/>
    <m/>
    <m/>
    <s v="Yes"/>
    <d v="2023-01-29T00:00:00"/>
    <s v="https://img01.ztat.net/article/ZL100427.jpg"/>
    <n v="0"/>
    <s v="No Discount"/>
  </r>
  <r>
    <s v="ZL100430"/>
    <s v="https://www.zalando.de/cross-jeans-print-t-shirt---dark-blue-zl100430/"/>
    <x v="128"/>
    <s v="Print T-SHIRT - DARK BLUE"/>
    <s v="Men's T-Shirts &amp; Polos"/>
    <x v="1"/>
    <x v="5"/>
    <s v="Dark Blue"/>
    <s v="S"/>
    <n v="13.24"/>
    <n v="13.24"/>
    <s v="Regular Price"/>
    <s v="EUR"/>
    <n v="641"/>
    <s v="3.1"/>
    <s v="49.0"/>
    <m/>
    <m/>
    <s v="Yes"/>
    <d v="2023-01-29T00:00:00"/>
    <s v="https://img01.ztat.net/article/ZL100430.jpg"/>
    <n v="0"/>
    <s v="No Discount"/>
  </r>
  <r>
    <s v="ZL100431"/>
    <s v="https://www.zalando.de/hackett-london-essential-polo---khaki-zl100431/"/>
    <x v="104"/>
    <s v="Essential POLO - KHAKI"/>
    <s v="Men's T-Shirts &amp; Polos"/>
    <x v="0"/>
    <x v="2"/>
    <s v="Khaki"/>
    <s v="XS"/>
    <n v="15.35"/>
    <n v="15.35"/>
    <s v="Regular Price"/>
    <s v="EUR"/>
    <n v="6"/>
    <s v="3.1"/>
    <s v="29.0"/>
    <m/>
    <m/>
    <s v="Yes"/>
    <d v="2023-01-29T00:00:00"/>
    <s v="https://img01.ztat.net/article/ZL100431.jpg"/>
    <n v="0"/>
    <s v="No Discount"/>
  </r>
  <r>
    <s v="ZL100432"/>
    <s v="https://www.zalando.de/nike-basic-t-shirt---rust-zl100432/"/>
    <x v="25"/>
    <s v="Basic T-SHIRT - RUST"/>
    <s v="Men's T-Shirts &amp; Polos"/>
    <x v="1"/>
    <x v="6"/>
    <s v="Rust"/>
    <s v="S"/>
    <n v="8.99"/>
    <n v="8.99"/>
    <s v="Regular Price"/>
    <s v="EUR"/>
    <n v="637"/>
    <s v="4.9"/>
    <s v="28.0"/>
    <m/>
    <m/>
    <s v="Yes"/>
    <d v="2023-01-29T00:00:00"/>
    <s v="https://img01.ztat.net/article/ZL100432.jpg"/>
    <n v="0"/>
    <s v="No Discount"/>
  </r>
  <r>
    <s v="ZL100433"/>
    <s v="https://www.zalando.de/pier-one-basic-polo---mint-zl100433/"/>
    <x v="62"/>
    <s v="Basic POLO - MINT"/>
    <s v="Men's T-Shirts &amp; Polos"/>
    <x v="0"/>
    <x v="3"/>
    <s v="Mint"/>
    <s v="M"/>
    <n v="18.57"/>
    <n v="18.57"/>
    <s v="Regular Price"/>
    <s v="EUR"/>
    <n v="840"/>
    <s v="3.2"/>
    <s v="40.0"/>
    <m/>
    <m/>
    <s v="Yes"/>
    <d v="2023-01-29T00:00:00"/>
    <s v="https://img01.ztat.net/article/ZL100433.jpg"/>
    <n v="0"/>
    <s v="No Discount"/>
  </r>
  <r>
    <s v="ZL100434"/>
    <s v="https://www.zalando.de/reebok-essential-polo---red-zl100434/"/>
    <x v="37"/>
    <s v="Essential POLO - RED"/>
    <s v="Men's T-Shirts &amp; Polos"/>
    <x v="0"/>
    <x v="2"/>
    <s v="Red"/>
    <s v="XS"/>
    <n v="31.44"/>
    <n v="31.44"/>
    <s v="Regular Price"/>
    <s v="EUR"/>
    <n v="809"/>
    <s v="4.3"/>
    <s v="29.0"/>
    <m/>
    <m/>
    <s v="Yes"/>
    <d v="2023-01-29T00:00:00"/>
    <s v="https://img01.ztat.net/article/ZL100434.jpg"/>
    <n v="0"/>
    <s v="No Discount"/>
  </r>
  <r>
    <s v="ZL100435"/>
    <s v="https://www.zalando.de/björn-borg-slim-fit-polo---dark-blue-zl100435/"/>
    <x v="89"/>
    <s v="Slim Fit POLO - DARK BLUE"/>
    <s v="Men's T-Shirts &amp; Polos"/>
    <x v="0"/>
    <x v="0"/>
    <s v="Dark Blue"/>
    <s v="S"/>
    <n v="22.96"/>
    <n v="22.96"/>
    <s v="Regular Price"/>
    <s v="EUR"/>
    <n v="522"/>
    <s v="4.9"/>
    <s v="37.0"/>
    <m/>
    <m/>
    <s v="No"/>
    <d v="2023-01-29T00:00:00"/>
    <s v="https://img01.ztat.net/article/ZL100435.jpg"/>
    <n v="0"/>
    <s v="No Discount"/>
  </r>
  <r>
    <s v="ZL100436"/>
    <s v="https://www.zalando.de/puma-regular-fit-t-shirt---bordeaux-zl100436/"/>
    <x v="21"/>
    <s v="Regular Fit T-SHIRT - BORDEAUX"/>
    <s v="Men's T-Shirts &amp; Polos"/>
    <x v="1"/>
    <x v="4"/>
    <s v="Bordeaux"/>
    <s v="S"/>
    <n v="88.07"/>
    <n v="88.07"/>
    <s v="Regular Price"/>
    <s v="EUR"/>
    <n v="684"/>
    <s v="3.1"/>
    <s v="32.0"/>
    <m/>
    <m/>
    <s v="No"/>
    <d v="2023-01-29T00:00:00"/>
    <s v="https://img01.ztat.net/article/ZL100436.jpg"/>
    <n v="0"/>
    <s v="No Discount"/>
  </r>
  <r>
    <s v="ZL100439"/>
    <s v="https://www.zalando.de/nike-sportswear-basic-t-shirt---denim-blue-zl100439/"/>
    <x v="101"/>
    <s v="Basic T-SHIRT - DENIM BLUE"/>
    <s v="Men's T-Shirts &amp; Polos"/>
    <x v="1"/>
    <x v="1"/>
    <s v="Denim Blue"/>
    <s v="XS"/>
    <n v="17.18"/>
    <n v="17.18"/>
    <s v="NEW"/>
    <s v="EUR"/>
    <n v="846"/>
    <s v="3.3"/>
    <s v="29.0"/>
    <m/>
    <m/>
    <s v="Yes"/>
    <d v="2023-01-29T00:00:00"/>
    <s v="https://img01.ztat.net/article/ZL100439.jpg"/>
    <n v="0"/>
    <s v="No Discount"/>
  </r>
  <r>
    <s v="ZL100444"/>
    <s v="https://www.zalando.de/tommy-hilfiger-regular-fit-t-shirt---beige-zl100444/"/>
    <x v="8"/>
    <s v="Regular Fit T-SHIRT - BEIGE"/>
    <s v="Men's T-Shirts &amp; Polos"/>
    <x v="1"/>
    <x v="1"/>
    <s v="Beige"/>
    <s v="S"/>
    <n v="17.260000000000002"/>
    <n v="17.260000000000002"/>
    <s v="Regular Price"/>
    <s v="EUR"/>
    <n v="389"/>
    <s v="3.2"/>
    <s v="0"/>
    <m/>
    <m/>
    <s v="Yes"/>
    <d v="2023-01-29T00:00:00"/>
    <s v="https://img01.ztat.net/article/ZL100444.jpg"/>
    <n v="0"/>
    <s v="No Discount"/>
  </r>
  <r>
    <s v="ZL100448"/>
    <s v="https://www.zalando.de/tommy-hilfiger-basic-polo---khaki-zl100448/"/>
    <x v="8"/>
    <s v="Basic POLO - KHAKI"/>
    <s v="Men's T-Shirts &amp; Polos"/>
    <x v="0"/>
    <x v="3"/>
    <s v="Khaki"/>
    <s v="S"/>
    <n v="16.8"/>
    <n v="16.8"/>
    <s v="Regular Price"/>
    <s v="EUR"/>
    <n v="302"/>
    <s v="4.2"/>
    <s v="30.0"/>
    <m/>
    <m/>
    <s v="Yes"/>
    <d v="2023-01-29T00:00:00"/>
    <s v="https://img01.ztat.net/article/ZL100448.jpg"/>
    <n v="0"/>
    <s v="No Discount"/>
  </r>
  <r>
    <s v="ZL100450"/>
    <s v="https://www.zalando.de/joop!-essential-polo---dark-green-zl100450/"/>
    <x v="129"/>
    <s v="Essential POLO - DARK GREEN"/>
    <s v="Men's T-Shirts &amp; Polos"/>
    <x v="0"/>
    <x v="3"/>
    <s v="Dark Green"/>
    <s v="M"/>
    <n v="8.99"/>
    <n v="8.99"/>
    <s v="Regular Price"/>
    <s v="EUR"/>
    <n v="578"/>
    <s v="3.3"/>
    <s v="31.0"/>
    <m/>
    <m/>
    <s v="Yes"/>
    <d v="2023-01-29T00:00:00"/>
    <s v="https://img01.ztat.net/article/ZL100450.jpg"/>
    <n v="0"/>
    <s v="No Discount"/>
  </r>
  <r>
    <s v="ZL100453"/>
    <s v="https://www.zalando.de/seidensticker-regular-fit-polo---white-zl100453/"/>
    <x v="41"/>
    <s v="Regular Fit Polo - White"/>
    <s v="Men's T-Shirts &amp; Polos"/>
    <x v="0"/>
    <x v="2"/>
    <s v="White"/>
    <s v="S"/>
    <n v="19.48"/>
    <n v="19.48"/>
    <s v="Regular Price"/>
    <s v="EUR"/>
    <n v="52"/>
    <s v="0"/>
    <s v="36.0"/>
    <m/>
    <m/>
    <s v="Yes"/>
    <d v="2023-01-29T00:00:00"/>
    <s v="https://img01.ztat.net/article/ZL100453.jpg"/>
    <n v="0"/>
    <s v="No Discount"/>
  </r>
  <r>
    <s v="ZL100454"/>
    <s v="https://www.zalando.de/petrol-industries-regular-fit-polo---olive-zl100454/"/>
    <x v="7"/>
    <s v="Regular Fit POLO - OLIVE"/>
    <s v="Men's T-Shirts &amp; Polos"/>
    <x v="0"/>
    <x v="3"/>
    <s v="Olive"/>
    <s v="XS"/>
    <n v="19.39"/>
    <n v="19.39"/>
    <s v="Regular Price"/>
    <s v="EUR"/>
    <n v="996"/>
    <s v="0"/>
    <s v="36.0"/>
    <m/>
    <m/>
    <s v="Yes"/>
    <d v="2023-01-29T00:00:00"/>
    <s v="https://img01.ztat.net/article/ZL100454.jpg"/>
    <n v="0"/>
    <s v="No Discount"/>
  </r>
  <r>
    <s v="ZL100455"/>
    <s v="https://www.zalando.de/jordan-basic-polo---light-grey-zl100455/"/>
    <x v="75"/>
    <s v="Basic POLO - LIGHT GREY"/>
    <s v="Men's T-Shirts &amp; Polos"/>
    <x v="0"/>
    <x v="2"/>
    <s v="Light Grey"/>
    <s v="XS"/>
    <n v="8.99"/>
    <n v="8.99"/>
    <s v="Regular Price"/>
    <s v="EUR"/>
    <n v="531"/>
    <s v="3.4"/>
    <s v="32.0"/>
    <m/>
    <m/>
    <s v="No"/>
    <d v="2023-01-29T00:00:00"/>
    <s v="https://img01.ztat.net/article/ZL100455.jpg"/>
    <n v="0"/>
    <s v="No Discount"/>
  </r>
  <r>
    <s v="ZL100458"/>
    <s v="https://www.zalando.de/j.lindeberg-regular-fit-t-shirt---mint-zl100458/"/>
    <x v="10"/>
    <s v="Regular Fit T-SHIRT - MINT"/>
    <s v="Men's T-Shirts &amp; Polos"/>
    <x v="1"/>
    <x v="5"/>
    <s v="Mint"/>
    <s v="S"/>
    <n v="16.149999999999999"/>
    <n v="16.149999999999999"/>
    <s v="NEW"/>
    <s v="EUR"/>
    <n v="786"/>
    <s v="4.2"/>
    <s v="43.0"/>
    <m/>
    <m/>
    <s v="Yes"/>
    <d v="2023-01-29T00:00:00"/>
    <s v="https://img01.ztat.net/article/ZL100458.jpg"/>
    <n v="0"/>
    <s v="No Discount"/>
  </r>
  <r>
    <s v="ZL100459"/>
    <s v="https://www.zalando.de/tommy-hilfiger-essential-t-shirt---rust-zl100459/"/>
    <x v="8"/>
    <s v="Essential T-SHIRT - RUST"/>
    <s v="Men's T-Shirts &amp; Polos"/>
    <x v="1"/>
    <x v="4"/>
    <s v="Rust"/>
    <s v="XS"/>
    <n v="23.89"/>
    <n v="23.89"/>
    <s v="Regular Price"/>
    <s v="EUR"/>
    <n v="23"/>
    <s v="3.5"/>
    <s v="34.0"/>
    <m/>
    <m/>
    <s v="Yes"/>
    <d v="2023-01-29T00:00:00"/>
    <s v="https://img01.ztat.net/article/ZL100459.jpg"/>
    <n v="0"/>
    <s v="No Discount"/>
  </r>
  <r>
    <s v="ZL100460"/>
    <s v="https://www.zalando.de/boss-slim-fit-t-shirt---royal-blue-zl100460/"/>
    <x v="48"/>
    <s v="Slim Fit T-SHIRT - ROYAL BLUE"/>
    <s v="Men's T-Shirts &amp; Polos"/>
    <x v="1"/>
    <x v="4"/>
    <s v="Royal Blue"/>
    <s v="XS"/>
    <n v="9.92"/>
    <n v="9.92"/>
    <s v="Regular Price"/>
    <s v="EUR"/>
    <n v="234"/>
    <s v="0"/>
    <s v="34.0"/>
    <m/>
    <m/>
    <s v="Yes"/>
    <d v="2023-01-29T00:00:00"/>
    <s v="https://img01.ztat.net/article/ZL100460.jpg"/>
    <n v="0"/>
    <s v="No Discount"/>
  </r>
  <r>
    <s v="ZL100461"/>
    <s v="https://www.zalando.de/olymp-basic-polo---olive-zl100461/"/>
    <x v="80"/>
    <s v="Basic POLO - OLIVE"/>
    <s v="Men's T-Shirts &amp; Polos"/>
    <x v="0"/>
    <x v="0"/>
    <s v="Olive"/>
    <s v="S"/>
    <n v="17.11"/>
    <n v="17.11"/>
    <s v="Regular Price"/>
    <s v="EUR"/>
    <n v="312"/>
    <s v="4.9"/>
    <s v="34.0"/>
    <m/>
    <m/>
    <s v="Yes"/>
    <d v="2023-01-29T00:00:00"/>
    <s v="https://img01.ztat.net/article/ZL100461.jpg"/>
    <n v="0"/>
    <s v="No Discount"/>
  </r>
  <r>
    <s v="ZL100462"/>
    <s v="https://www.zalando.de/mango-man-essential-polo---dark-green-zl100462/"/>
    <x v="5"/>
    <s v="Essential POLO - DARK GREEN"/>
    <s v="Men's T-Shirts &amp; Polos"/>
    <x v="0"/>
    <x v="0"/>
    <s v="Dark Green"/>
    <s v="XS"/>
    <n v="10.55"/>
    <n v="10.55"/>
    <s v="Regular Price"/>
    <s v="EUR"/>
    <n v="954"/>
    <s v="3.7"/>
    <s v="44.0"/>
    <m/>
    <m/>
    <s v="Yes"/>
    <d v="2023-01-29T00:00:00"/>
    <s v="https://img01.ztat.net/article/ZL100462.jpg"/>
    <n v="0"/>
    <s v="No Discount"/>
  </r>
  <r>
    <s v="ZL100463"/>
    <s v="https://www.zalando.de/selected-homme-regular-fit-polo---dark-green-zl100463/"/>
    <x v="2"/>
    <s v="Regular Fit Polo - Dark Green"/>
    <s v="Men's T-Shirts &amp; Polos"/>
    <x v="0"/>
    <x v="0"/>
    <s v="Dark Green"/>
    <s v="M"/>
    <n v="36.869999999999997"/>
    <n v="36.869999999999997"/>
    <s v="Regular Price"/>
    <s v="EUR"/>
    <n v="444"/>
    <s v="4.5"/>
    <s v="41.0"/>
    <m/>
    <m/>
    <m/>
    <d v="2023-01-29T00:00:00"/>
    <s v="https://img01.ztat.net/article/ZL100463.jpg"/>
    <n v="0"/>
    <s v="No Discount"/>
  </r>
  <r>
    <s v="ZL100464"/>
    <s v="https://www.zalando.de/boss-orange-regular-fit-t-shirt---beige-zl100464/"/>
    <x v="107"/>
    <s v="Regular Fit T-SHIRT - BEIGE"/>
    <s v="Men's T-Shirts &amp; Polos"/>
    <x v="1"/>
    <x v="1"/>
    <s v="Beige"/>
    <s v="XS"/>
    <n v="8.99"/>
    <n v="8.99"/>
    <s v="Regular Price"/>
    <s v="EUR"/>
    <n v="686"/>
    <s v="0"/>
    <s v="34.0"/>
    <m/>
    <m/>
    <s v="No"/>
    <d v="2023-01-29T00:00:00"/>
    <s v="https://img01.ztat.net/article/ZL100464.jpg"/>
    <n v="0"/>
    <s v="No Discount"/>
  </r>
  <r>
    <s v="ZL100465"/>
    <s v="https://www.zalando.de/guess-essential-t-shirt---royal-blue-zl100465/"/>
    <x v="82"/>
    <s v="Essential T-SHIRT - ROYAL BLUE"/>
    <s v="Men's T-Shirts &amp; Polos"/>
    <x v="1"/>
    <x v="4"/>
    <s v="Royal Blue"/>
    <s v="XS"/>
    <n v="16.2"/>
    <n v="16.2"/>
    <s v="Regular Price"/>
    <s v="EUR"/>
    <n v="196"/>
    <s v="3.7"/>
    <s v="37.0"/>
    <m/>
    <m/>
    <s v="No"/>
    <d v="2023-01-29T00:00:00"/>
    <s v="https://img01.ztat.net/article/ZL100465.jpg"/>
    <n v="0"/>
    <s v="No Discount"/>
  </r>
  <r>
    <s v="ZL100466"/>
    <s v="https://www.zalando.de/cars-jeans-slim-fit-t-shirt---denim-blue-zl100466/"/>
    <x v="30"/>
    <s v="Slim Fit T-SHIRT - DENIM BLUE"/>
    <s v="Men's T-Shirts &amp; Polos"/>
    <x v="1"/>
    <x v="1"/>
    <s v="Denim Blue"/>
    <s v="S"/>
    <n v="18.75"/>
    <n v="18.75"/>
    <s v="Regular Price"/>
    <s v="EUR"/>
    <n v="556"/>
    <s v="4.6"/>
    <s v="42.0"/>
    <m/>
    <m/>
    <s v="Yes"/>
    <d v="2023-01-29T00:00:00"/>
    <s v="https://img01.ztat.net/article/ZL100466.jpg"/>
    <n v="0"/>
    <s v="No Discount"/>
  </r>
  <r>
    <s v="ZL100467"/>
    <s v="https://www.zalando.de/shine-original-slim-fit-t-shirt---dark-blue-zl100467/"/>
    <x v="71"/>
    <s v="Slim Fit T-SHIRT - DARK BLUE"/>
    <s v="Men's T-Shirts &amp; Polos"/>
    <x v="1"/>
    <x v="4"/>
    <m/>
    <s v="S"/>
    <n v="19.440000000000001"/>
    <n v="19.440000000000001"/>
    <s v="Regular Price"/>
    <s v="EUR"/>
    <n v="547"/>
    <s v="0"/>
    <s v="22.0"/>
    <m/>
    <m/>
    <s v="Yes"/>
    <d v="2023-01-29T00:00:00"/>
    <s v="https://img01.ztat.net/article/ZL100467.jpg"/>
    <n v="0"/>
    <s v="No Discount"/>
  </r>
  <r>
    <s v="ZL100468"/>
    <s v="https://www.zalando.de/umbro-essential-polo---rust-zl100468/"/>
    <x v="55"/>
    <s v="Essential POLO - RUST"/>
    <s v="Men's T-Shirts &amp; Polos"/>
    <x v="0"/>
    <x v="0"/>
    <s v="Rust"/>
    <s v="M"/>
    <n v="11.36"/>
    <n v="11.36"/>
    <s v="Regular Price"/>
    <s v="EUR"/>
    <n v="599"/>
    <s v="4.3"/>
    <s v="34.0"/>
    <m/>
    <m/>
    <s v="Yes"/>
    <d v="2023-01-29T00:00:00"/>
    <s v="https://img01.ztat.net/article/ZL100468.jpg"/>
    <n v="0"/>
    <s v="No Discount"/>
  </r>
  <r>
    <s v="ZL100470"/>
    <s v="https://www.zalando.de/calvin-klein-essential-polo---white-zl100470/"/>
    <x v="14"/>
    <s v="Essential POLO - WHITE"/>
    <s v="Men's T-Shirts &amp; Polos"/>
    <x v="0"/>
    <x v="0"/>
    <s v="White"/>
    <s v="XS"/>
    <n v="11.45"/>
    <n v="11.45"/>
    <s v="Regular Price"/>
    <s v="EUR"/>
    <n v="950"/>
    <s v="4.3"/>
    <s v="29.0"/>
    <m/>
    <m/>
    <s v="Yes"/>
    <d v="2023-01-29T00:00:00"/>
    <s v="https://img01.ztat.net/article/ZL100470.jpg"/>
    <n v="0"/>
    <s v="No Discount"/>
  </r>
  <r>
    <s v="ZL100473"/>
    <s v="https://www.zalando.de/won-hundred-essential-t-shirt---bordeaux-zl100473/"/>
    <x v="44"/>
    <s v="Essential T-SHIRT - BORDEAUX"/>
    <s v="Men's T-Shirts &amp; Polos"/>
    <x v="1"/>
    <x v="5"/>
    <s v="Bordeaux"/>
    <s v="S"/>
    <n v="24.24"/>
    <n v="24.24"/>
    <s v="Regular Price"/>
    <s v="EUR"/>
    <n v="747"/>
    <s v="4.9"/>
    <s v="34.0"/>
    <m/>
    <m/>
    <s v="No"/>
    <d v="2023-01-29T00:00:00"/>
    <s v="https://img01.ztat.net/article/ZL100473.jpg"/>
    <n v="0"/>
    <s v="No Discount"/>
  </r>
  <r>
    <s v="ZL100474"/>
    <s v="https://www.zalando.de/nike-regular-fit-polo---denim-blue-zl100474/"/>
    <x v="25"/>
    <s v="Regular Fit POLO - DENIM BLUE"/>
    <s v="Men's T-Shirts &amp; Polos"/>
    <x v="0"/>
    <x v="2"/>
    <s v="Denim Blue"/>
    <s v="XS"/>
    <n v="20.34"/>
    <n v="20.34"/>
    <s v="Regular Price"/>
    <s v="EUR"/>
    <n v="850"/>
    <s v="4.8"/>
    <s v="35.0"/>
    <m/>
    <m/>
    <s v="Yes"/>
    <d v="2023-01-29T00:00:00"/>
    <s v="https://img01.ztat.net/article/ZL100474.jpg"/>
    <n v="0"/>
    <s v="No Discount"/>
  </r>
  <r>
    <s v="ZL100475"/>
    <s v="https://www.zalando.de/the-north-face-essential-t-shirt---anthracite-zl100475/"/>
    <x v="22"/>
    <s v="Essential T-SHIRT - ANTHRACITE"/>
    <s v="Men's T-Shirts &amp; Polos"/>
    <x v="1"/>
    <x v="5"/>
    <s v="Anthracite"/>
    <s v="S"/>
    <n v="8.99"/>
    <n v="8.99"/>
    <s v="Regular Price"/>
    <s v="EUR"/>
    <n v="455"/>
    <s v="3.5"/>
    <s v="34.0"/>
    <m/>
    <m/>
    <s v="No"/>
    <d v="2023-01-29T00:00:00"/>
    <s v="https://img01.ztat.net/article/ZL100475.jpg"/>
    <n v="0"/>
    <s v="No Discount"/>
  </r>
  <r>
    <s v="ZL100476"/>
    <s v="https://www.zalando.de/calvin-klein-essential-t-shirt---beige-zl100476/"/>
    <x v="14"/>
    <s v="Essential T-SHIRT - BEIGE"/>
    <s v="Men's T-Shirts &amp; Polos"/>
    <x v="1"/>
    <x v="4"/>
    <s v="Beige"/>
    <s v="S"/>
    <n v="17.920000000000002"/>
    <n v="17.920000000000002"/>
    <s v="NEW"/>
    <s v="EUR"/>
    <n v="735"/>
    <s v="3.4"/>
    <s v="38.0"/>
    <m/>
    <m/>
    <s v="Yes"/>
    <d v="2023-01-29T00:00:00"/>
    <s v="https://img01.ztat.net/article/ZL100476.jpg"/>
    <n v="0"/>
    <s v="No Discount"/>
  </r>
  <r>
    <s v="ZL100477"/>
    <s v="https://www.zalando.de/cars-basic-t-shirt---red-zl100477/"/>
    <x v="30"/>
    <s v="Basic T-SHIRT - RED"/>
    <s v="Men's T-Shirts &amp; Polos"/>
    <x v="1"/>
    <x v="5"/>
    <s v="Red"/>
    <s v="S"/>
    <n v="53.93"/>
    <n v="53.93"/>
    <s v="Regular Price"/>
    <s v="EUR"/>
    <n v="21"/>
    <s v="N/A"/>
    <s v="28.0"/>
    <m/>
    <m/>
    <s v="Yes"/>
    <d v="2023-01-29T00:00:00"/>
    <s v="https://img01.ztat.net/article/ZL100477.jpg"/>
    <n v="0"/>
    <s v="No Discount"/>
  </r>
  <r>
    <s v="ZL100479"/>
    <s v="https://www.zalando.de/element-basic-t-shirt---beige-zl100479/"/>
    <x v="52"/>
    <s v="Basic T-SHIRT - BEIGE"/>
    <s v="Men's T-Shirts &amp; Polos"/>
    <x v="1"/>
    <x v="6"/>
    <s v="Beige"/>
    <s v="M"/>
    <n v="19.73"/>
    <n v="19.73"/>
    <s v="Regular Price"/>
    <s v="EUR"/>
    <n v="845"/>
    <s v="4.5"/>
    <s v="32.0"/>
    <m/>
    <m/>
    <s v="Yes"/>
    <d v="2023-01-29T00:00:00"/>
    <s v="https://img01.ztat.net/article/ZL100479.jpg"/>
    <n v="0"/>
    <s v="No Discount"/>
  </r>
  <r>
    <s v="ZL100480"/>
    <s v="https://www.zalando.de/only-and-sons-denim-essential-polo---rust-zl100480/"/>
    <x v="61"/>
    <s v="Essential POLO - RUST"/>
    <s v="Men's T-Shirts &amp; Polos"/>
    <x v="0"/>
    <x v="3"/>
    <s v="Rust"/>
    <s v="XS"/>
    <n v="8.99"/>
    <n v="8.99"/>
    <s v="Regular Price"/>
    <s v="EUR"/>
    <n v="133"/>
    <s v="3.1"/>
    <s v="44.0"/>
    <m/>
    <m/>
    <s v="No"/>
    <d v="2023-01-29T00:00:00"/>
    <s v="https://img01.ztat.net/article/ZL100480.jpg"/>
    <n v="0"/>
    <s v="No Discount"/>
  </r>
  <r>
    <s v="ZL100482"/>
    <s v="https://www.zalando.de/french-connection-regular-fit-t-shirt---white-zl100482/"/>
    <x v="116"/>
    <s v="Regular Fit T-SHIRT - WHITE"/>
    <s v="Men's T-Shirts &amp; Polos"/>
    <x v="1"/>
    <x v="1"/>
    <s v="White"/>
    <s v="S"/>
    <n v="23.5"/>
    <n v="23.5"/>
    <s v="Regular Price"/>
    <s v="EUR"/>
    <n v="654"/>
    <s v="3.8"/>
    <s v="34.0"/>
    <m/>
    <m/>
    <s v="Yes"/>
    <d v="2023-01-29T00:00:00"/>
    <s v="https://img01.ztat.net/article/ZL100482.jpg"/>
    <n v="0"/>
    <s v="No Discount"/>
  </r>
  <r>
    <s v="ZL100483"/>
    <s v="https://www.zalando.de/nike-print-t-shirt---anthracite-zl100483/"/>
    <x v="25"/>
    <s v="Print T-SHIRT - ANTHRACITE"/>
    <s v="Men's T-Shirts &amp; Polos"/>
    <x v="1"/>
    <x v="4"/>
    <s v="Anthracite"/>
    <s v="M"/>
    <n v="13.61"/>
    <n v="13.61"/>
    <s v="Regular Price"/>
    <s v="EUR"/>
    <n v="833"/>
    <s v="3.7"/>
    <s v="43.0"/>
    <m/>
    <m/>
    <s v="Yes"/>
    <d v="2023-01-29T00:00:00"/>
    <s v="https://img01.ztat.net/article/ZL100483.jpg"/>
    <n v="0"/>
    <s v="No Discount"/>
  </r>
  <r>
    <s v="ZL100485"/>
    <s v="https://www.zalando.de/puma-essential-polo---anthracite-zl100485/"/>
    <x v="21"/>
    <s v="Essential POLO - ANTHRACITE"/>
    <s v="Men's T-Shirts &amp; Polos"/>
    <x v="0"/>
    <x v="3"/>
    <s v="Anthracite"/>
    <s v=""/>
    <n v="35.880000000000003"/>
    <n v="35.880000000000003"/>
    <s v="Regular Price"/>
    <s v="EUR"/>
    <n v="385"/>
    <s v="3.9"/>
    <s v="28.0"/>
    <m/>
    <m/>
    <s v="Yes"/>
    <d v="2023-01-29T00:00:00"/>
    <s v="https://img01.ztat.net/article/ZL100485.jpg"/>
    <n v="0"/>
    <s v="No Discount"/>
  </r>
  <r>
    <s v="ZL100486"/>
    <s v="https://www.zalando.de/j.lindeberg-essential-polo---olive-zl100486/"/>
    <x v="10"/>
    <s v="Essential POLO - OLIVE"/>
    <s v="Men's T-Shirts &amp; Polos"/>
    <x v="0"/>
    <x v="2"/>
    <s v="Olive"/>
    <s v="M"/>
    <n v="9.76"/>
    <n v="9.76"/>
    <s v="Regular Price"/>
    <s v="EUR"/>
    <n v="121"/>
    <s v="4.1"/>
    <s v="0"/>
    <m/>
    <m/>
    <s v="No"/>
    <d v="2023-01-29T00:00:00"/>
    <s v="https://img01.ztat.net/article/ZL100486.jpg"/>
    <n v="0"/>
    <s v="No Discount"/>
  </r>
  <r>
    <s v="ZL100490"/>
    <s v="https://www.zalando.de/superdry-essential-t-shirt---light-grey-zl100490/"/>
    <x v="77"/>
    <s v="Essential T-SHIRT - LIGHT GREY"/>
    <s v="Men's T-Shirts &amp; Polos"/>
    <x v="1"/>
    <x v="4"/>
    <s v="Light Grey"/>
    <s v="S"/>
    <n v="27.55"/>
    <n v="27.55"/>
    <s v="Regular Price"/>
    <s v="EUR"/>
    <n v="3"/>
    <s v="N/A"/>
    <s v="46.0"/>
    <m/>
    <m/>
    <s v="Yes"/>
    <d v="2023-01-29T00:00:00"/>
    <s v="https://img01.ztat.net/article/ZL100490.jpg"/>
    <n v="0"/>
    <s v="No Discount"/>
  </r>
  <r>
    <s v="ZL100491"/>
    <s v="https://www.zalando.de/cars-jeans-basic-polo---rust-zl100491/"/>
    <x v="30"/>
    <s v="Basic POLO - RUST"/>
    <s v="Men's T-Shirts &amp; Polos"/>
    <x v="0"/>
    <x v="2"/>
    <s v="Rust"/>
    <s v="M"/>
    <n v="21.4"/>
    <n v="21.4"/>
    <s v="Regular Price"/>
    <s v="EUR"/>
    <n v="311"/>
    <s v="N/A"/>
    <s v="27.0"/>
    <m/>
    <m/>
    <s v="Yes"/>
    <d v="2023-01-29T00:00:00"/>
    <s v="https://img01.ztat.net/article/ZL100491.jpg"/>
    <n v="0"/>
    <s v="No Discount"/>
  </r>
  <r>
    <s v="ZL100494"/>
    <s v="https://www.zalando.de/adidas-originals-basic-polo---black-zl100494/"/>
    <x v="19"/>
    <s v="Basic POLO - BLACK"/>
    <s v="Men's T-Shirts &amp; Polos"/>
    <x v="0"/>
    <x v="0"/>
    <s v="Black"/>
    <s v="S"/>
    <n v="8.99"/>
    <n v="8.99"/>
    <s v="Regular Price"/>
    <s v="EUR"/>
    <n v="476"/>
    <s v="4.9"/>
    <s v="40.0"/>
    <m/>
    <m/>
    <s v="Yes"/>
    <d v="2023-01-29T00:00:00"/>
    <s v="https://img01.ztat.net/article/ZL100494.jpg"/>
    <n v="0"/>
    <s v="No Discount"/>
  </r>
  <r>
    <s v="ZL100495"/>
    <s v="https://www.zalando.de/gant-print-t-shirt---beige-zl100495/"/>
    <x v="108"/>
    <s v="Print T-SHIRT - BEIGE"/>
    <s v="Men's T-Shirts &amp; Polos"/>
    <x v="1"/>
    <x v="4"/>
    <s v="Beige"/>
    <s v="XS"/>
    <n v="13.63"/>
    <n v="13.63"/>
    <s v="Regular Price"/>
    <s v="EUR"/>
    <n v="940"/>
    <s v="N/A"/>
    <s v="38.0"/>
    <m/>
    <m/>
    <s v="Yes"/>
    <d v="2023-01-29T00:00:00"/>
    <s v="https://img01.ztat.net/article/ZL100495.jpg"/>
    <n v="0"/>
    <s v="No Discount"/>
  </r>
  <r>
    <s v="ZL100496"/>
    <s v="https://www.zalando.de/cars-basic-polo---denim-blue-zl100496/"/>
    <x v="30"/>
    <s v="Basic POLO - DENIM BLUE"/>
    <s v="Men's T-Shirts &amp; Polos"/>
    <x v="0"/>
    <x v="0"/>
    <s v="Denim Blue"/>
    <s v="M"/>
    <n v="20.63"/>
    <n v="20.63"/>
    <s v="Regular Price"/>
    <s v="EUR"/>
    <n v="777"/>
    <s v="4.2"/>
    <s v="35.0"/>
    <m/>
    <m/>
    <s v="Yes"/>
    <d v="2023-01-29T00:00:00"/>
    <s v="https://img01.ztat.net/article/ZL100496.jpg"/>
    <n v="0"/>
    <s v="No Discount"/>
  </r>
  <r>
    <s v="ZL100497"/>
    <s v="https://www.zalando.de/nike-sb-regular-fit-t-shirt---off-white-zl100497/"/>
    <x v="65"/>
    <s v="Regular Fit T-SHIRT - OFF WHITE"/>
    <s v="Men's T-Shirts &amp; Polos"/>
    <x v="1"/>
    <x v="5"/>
    <s v="Off White"/>
    <s v="XS"/>
    <n v="12.83"/>
    <n v="12.83"/>
    <s v="Regular Price"/>
    <s v="EUR"/>
    <n v="808"/>
    <s v="3.7"/>
    <s v="0"/>
    <m/>
    <m/>
    <s v="Yes"/>
    <d v="2023-01-29T00:00:00"/>
    <s v="https://img01.ztat.net/article/ZL100497.jpg"/>
    <n v="0"/>
    <s v="No Discount"/>
  </r>
  <r>
    <s v="ZL100498"/>
    <s v="https://www.zalando.de/name-it-slim-fit-polo---beige-zl100498/"/>
    <x v="16"/>
    <s v="Slim Fit POLO - BEIGE"/>
    <s v="Men's T-Shirts &amp; Polos"/>
    <x v="0"/>
    <x v="0"/>
    <s v="Beige"/>
    <s v="M"/>
    <n v="60.79"/>
    <n v="60.79"/>
    <s v="Regular Price"/>
    <s v="EUR"/>
    <n v="703"/>
    <s v="4.0"/>
    <s v="0"/>
    <m/>
    <m/>
    <s v="Yes"/>
    <d v="2023-01-29T00:00:00"/>
    <s v="https://img01.ztat.net/article/ZL100498.jpg"/>
    <n v="0"/>
    <s v="No Discount"/>
  </r>
  <r>
    <s v="ZL100499"/>
    <s v="https://www.zalando.de/nike-regular-fit-polo---denim-blue-zl100499/"/>
    <x v="25"/>
    <s v="Regular Fit POLO - DENIM BLUE"/>
    <s v="Men's T-Shirts &amp; Polos"/>
    <x v="0"/>
    <x v="3"/>
    <s v="Denim Blue"/>
    <s v="S"/>
    <n v="8.99"/>
    <n v="8.99"/>
    <s v="Regular Price"/>
    <s v="EUR"/>
    <n v="543"/>
    <s v="N/A"/>
    <s v="41.0"/>
    <m/>
    <m/>
    <s v="Yes"/>
    <d v="2023-01-29T00:00:00"/>
    <s v="https://img01.ztat.net/article/ZL100499.jpg"/>
    <n v="0"/>
    <s v="No Discount"/>
  </r>
  <r>
    <s v="ZL100501"/>
    <s v="https://www.zalando.de/anti-fashion-slim-fit-polo---denim-blue-zl100501/"/>
    <x v="106"/>
    <s v="Slim Fit POLO - DENIM BLUE"/>
    <s v="Men's T-Shirts &amp; Polos"/>
    <x v="0"/>
    <x v="2"/>
    <s v="Denim Blue"/>
    <s v="S"/>
    <n v="9.34"/>
    <n v="9.34"/>
    <s v="Regular Price"/>
    <s v="EUR"/>
    <n v="916"/>
    <s v="3.9"/>
    <s v="31.0"/>
    <m/>
    <m/>
    <s v="Yes"/>
    <d v="2023-01-29T00:00:00"/>
    <s v="https://img01.ztat.net/article/ZL100501.jpg"/>
    <n v="0"/>
    <s v="No Discount"/>
  </r>
  <r>
    <s v="ZL100502"/>
    <s v="https://www.zalando.de/pier-one-slim-fit-t-shirt---off-white-zl100502/"/>
    <x v="62"/>
    <s v="Slim Fit T-SHIRT - OFF WHITE"/>
    <s v="Men's T-Shirts &amp; Polos"/>
    <x v="1"/>
    <x v="6"/>
    <s v="Off White"/>
    <s v="S"/>
    <n v="10.64"/>
    <n v="10.64"/>
    <s v="Regular Price"/>
    <s v="EUR"/>
    <n v="214"/>
    <s v="3.7"/>
    <s v="35.0"/>
    <m/>
    <m/>
    <s v="Yes"/>
    <d v="2023-01-29T00:00:00"/>
    <s v="https://img01.ztat.net/article/ZL100502.jpg"/>
    <n v="0"/>
    <s v="No Discount"/>
  </r>
  <r>
    <s v="ZL100505"/>
    <s v="https://www.zalando.de/adidas-performance-slim-fit-t-shirt---grey-melange-zl100505/"/>
    <x v="6"/>
    <s v="Slim Fit T-SHIRT - GREY MELANGE"/>
    <s v="Men's T-Shirts &amp; Polos"/>
    <x v="1"/>
    <x v="5"/>
    <s v="Grey Melange"/>
    <s v="M"/>
    <n v="23.66"/>
    <n v="23.66"/>
    <s v="Regular Price"/>
    <s v="EUR"/>
    <n v="819"/>
    <s v="4.0"/>
    <s v="35.0"/>
    <m/>
    <m/>
    <s v="Yes"/>
    <d v="2023-01-29T00:00:00"/>
    <s v="https://img01.ztat.net/article/ZL100505.jpg"/>
    <n v="0"/>
    <s v="No Discount"/>
  </r>
  <r>
    <s v="ZL100507"/>
    <s v="https://www.zalando.de/pepe-jeans-print-polo---anthracite-zl100507/"/>
    <x v="60"/>
    <s v="Print POLO - ANTHRACITE"/>
    <s v="Men's T-Shirts &amp; Polos"/>
    <x v="0"/>
    <x v="3"/>
    <s v="Anthracite"/>
    <s v="S"/>
    <n v="17.12"/>
    <n v="17.12"/>
    <s v="Regular Price"/>
    <s v="EUR"/>
    <n v="139"/>
    <s v="3.1"/>
    <s v="0"/>
    <m/>
    <m/>
    <s v="Yes"/>
    <d v="2023-01-29T00:00:00"/>
    <s v="https://img01.ztat.net/article/ZL100507.jpg"/>
    <n v="0"/>
    <s v="No Discount"/>
  </r>
  <r>
    <s v="ZL100508"/>
    <s v="https://www.zalando.de/jack-and-jones-slim-fit-polo---light-grey-zl100508/"/>
    <x v="102"/>
    <s v="Slim Fit POLO - LIGHT GREY"/>
    <s v="Men's T-Shirts &amp; Polos"/>
    <x v="0"/>
    <x v="2"/>
    <s v="Light Grey"/>
    <s v="XS"/>
    <n v="12.32"/>
    <n v="12.32"/>
    <s v="Regular Price"/>
    <s v="EUR"/>
    <n v="150"/>
    <s v="3.2"/>
    <s v="42.0"/>
    <m/>
    <m/>
    <s v="No"/>
    <d v="2023-01-29T00:00:00"/>
    <s v="https://img01.ztat.net/article/ZL100508.jpg"/>
    <n v="0"/>
    <s v="No Discount"/>
  </r>
  <r>
    <s v="ZL100509"/>
    <s v="https://www.zalando.de/topman-print-polo---red-zl100509/"/>
    <x v="73"/>
    <s v="Print POLO - RED"/>
    <s v="Men's T-Shirts &amp; Polos"/>
    <x v="0"/>
    <x v="0"/>
    <s v="Red"/>
    <s v="XS"/>
    <n v="10.7"/>
    <n v="10.7"/>
    <s v="Regular Price"/>
    <s v="EUR"/>
    <n v="63"/>
    <s v="3.4"/>
    <s v="0"/>
    <m/>
    <m/>
    <s v="No"/>
    <d v="2023-01-29T00:00:00"/>
    <s v="https://img01.ztat.net/article/ZL100509.jpg"/>
    <n v="0"/>
    <s v="No Discount"/>
  </r>
  <r>
    <s v="ZL100511"/>
    <s v="https://www.zalando.de/icebreaker-essential-t-shirt---white-zl100511/"/>
    <x v="130"/>
    <s v="Essential T-SHIRT - WHITE"/>
    <s v="Men's T-Shirts &amp; Polos"/>
    <x v="1"/>
    <x v="1"/>
    <s v="White"/>
    <s v="XS"/>
    <n v="25.99"/>
    <n v="25.99"/>
    <s v="Regular Price"/>
    <s v="EUR"/>
    <n v="18"/>
    <s v="4.2"/>
    <s v="27.0"/>
    <m/>
    <m/>
    <s v="Yes"/>
    <d v="2023-01-29T00:00:00"/>
    <s v="https://img01.ztat.net/article/ZL100511.jpg"/>
    <n v="0"/>
    <s v="No Discount"/>
  </r>
  <r>
    <s v="ZL100512"/>
    <s v="https://www.zalando.de/produkt-print-polo---bordeaux-zl100512/"/>
    <x v="0"/>
    <s v="Print POLO - BORDEAUX"/>
    <s v="Men's T-Shirts &amp; Polos"/>
    <x v="0"/>
    <x v="2"/>
    <s v="Bordeaux"/>
    <s v="XS"/>
    <n v="8.99"/>
    <n v="8.99"/>
    <s v="Regular Price"/>
    <s v="EUR"/>
    <n v="92"/>
    <s v="3.1"/>
    <s v="42.0"/>
    <m/>
    <m/>
    <s v="No"/>
    <d v="2023-01-29T00:00:00"/>
    <s v="https://img01.ztat.net/article/ZL100512.jpg"/>
    <n v="0"/>
    <s v="No Discount"/>
  </r>
  <r>
    <s v="ZL100513"/>
    <s v="https://www.zalando.de/craft-sportswear-basic-polo---off-white-zl100513/"/>
    <x v="31"/>
    <s v="Basic POLO - OFF WHITE"/>
    <s v="Men's T-Shirts &amp; Polos"/>
    <x v="0"/>
    <x v="3"/>
    <s v="Off White"/>
    <s v="M"/>
    <n v="8.99"/>
    <n v="8.99"/>
    <s v="Regular Price"/>
    <s v="EUR"/>
    <n v="335"/>
    <s v="3.1"/>
    <s v="34.0"/>
    <m/>
    <m/>
    <s v="Yes"/>
    <d v="2023-01-29T00:00:00"/>
    <s v="https://img01.ztat.net/article/ZL100513.jpg"/>
    <n v="0"/>
    <s v="No Discount"/>
  </r>
  <r>
    <s v="ZL100514"/>
    <s v="https://www.zalando.de/anthracite-print-polo---red-zl100514/"/>
    <x v="59"/>
    <s v="Print POLO - RED"/>
    <s v="Men's T-Shirts &amp; Polos"/>
    <x v="0"/>
    <x v="2"/>
    <s v="Red"/>
    <s v="XS"/>
    <n v="27.76"/>
    <n v="27.76"/>
    <s v="NEW"/>
    <s v="EUR"/>
    <n v="252"/>
    <s v="3.5"/>
    <s v="34.0"/>
    <m/>
    <m/>
    <s v="Yes"/>
    <d v="2023-01-29T00:00:00"/>
    <s v="https://img01.ztat.net/article/ZL100514.jpg"/>
    <n v="0"/>
    <s v="No Discount"/>
  </r>
  <r>
    <s v="ZL100515"/>
    <s v="https://www.zalando.de/colours-and-sons-regular-fit-polo---khaki-zl100515/"/>
    <x v="45"/>
    <s v="Regular Fit POLO - KHAKI"/>
    <s v="Men's T-Shirts &amp; Polos"/>
    <x v="0"/>
    <x v="3"/>
    <s v="Khaki"/>
    <s v="S"/>
    <n v="11.75"/>
    <n v="11.75"/>
    <s v="Regular Price"/>
    <s v="EUR"/>
    <n v="918"/>
    <s v="3.9"/>
    <s v="36.0"/>
    <m/>
    <m/>
    <s v="Yes"/>
    <d v="2023-01-29T00:00:00"/>
    <s v="https://img01.ztat.net/article/ZL100515.jpg"/>
    <n v="0"/>
    <s v="No Discount"/>
  </r>
  <r>
    <s v="ZL100516"/>
    <s v="https://www.zalando.de/anti-fashion-basic-polo---royal-blue-zl100516/"/>
    <x v="106"/>
    <s v="Basic POLO - ROYAL BLUE"/>
    <s v="Men's T-Shirts &amp; Polos"/>
    <x v="0"/>
    <x v="0"/>
    <s v="Royal Blue"/>
    <s v="XS"/>
    <n v="8.99"/>
    <n v="8.99"/>
    <s v="Regular Price"/>
    <s v="EUR"/>
    <n v="188"/>
    <s v="3.7"/>
    <s v="32.0"/>
    <m/>
    <m/>
    <s v="Yes"/>
    <d v="2023-01-29T00:00:00"/>
    <s v="https://img01.ztat.net/article/ZL100516.jpg"/>
    <n v="0"/>
    <s v="No Discount"/>
  </r>
  <r>
    <s v="ZL100519"/>
    <s v="https://www.zalando.de/anti-fashion-basic-polo---bordeaux-zl100519/"/>
    <x v="106"/>
    <s v="Basic Polo - Bordeaux"/>
    <s v="Men's T-Shirts &amp; Polos"/>
    <x v="0"/>
    <x v="0"/>
    <s v="Bordeaux"/>
    <s v="S"/>
    <n v="17.96"/>
    <n v="17.96"/>
    <s v="Regular Price"/>
    <s v="EUR"/>
    <n v="445"/>
    <s v="0"/>
    <s v="31.0"/>
    <m/>
    <m/>
    <s v="Yes"/>
    <d v="2023-01-29T00:00:00"/>
    <s v="https://img01.ztat.net/article/ZL100519.jpg"/>
    <n v="0"/>
    <s v="No Discount"/>
  </r>
  <r>
    <s v="ZL100521"/>
    <s v="https://www.zalando.de/fila-print-polo---mint-zl100521/"/>
    <x v="39"/>
    <s v="Print POLO - MINT"/>
    <s v="Men's T-Shirts &amp; Polos"/>
    <x v="0"/>
    <x v="2"/>
    <s v="Mint"/>
    <s v="M"/>
    <n v="8.99"/>
    <n v="8.99"/>
    <s v="Regular Price"/>
    <s v="EUR"/>
    <n v="554"/>
    <s v="0"/>
    <s v="31.0"/>
    <m/>
    <m/>
    <s v="Yes"/>
    <d v="2023-01-29T00:00:00"/>
    <s v="https://img01.ztat.net/article/ZL100521.jpg"/>
    <n v="0"/>
    <s v="No Discount"/>
  </r>
  <r>
    <s v="ZL100522"/>
    <s v="https://www.zalando.de/new-look-slim-fit-t-shirt---bordeaux-zl100522/"/>
    <x v="11"/>
    <s v="Slim Fit T-SHIRT - BORDEAUX"/>
    <s v="Men's T-Shirts &amp; Polos"/>
    <x v="1"/>
    <x v="4"/>
    <s v="Bordeaux"/>
    <s v="S"/>
    <n v="8.99"/>
    <n v="8.99"/>
    <s v="Regular Price"/>
    <s v="EUR"/>
    <n v="699"/>
    <s v="0"/>
    <s v="45.0"/>
    <m/>
    <m/>
    <s v="Yes"/>
    <d v="2023-01-29T00:00:00"/>
    <s v="https://img01.ztat.net/article/ZL100522.jpg"/>
    <n v="0"/>
    <s v="No Discount"/>
  </r>
  <r>
    <s v="ZL100523"/>
    <s v="https://www.zalando.de/vintage-supply-basic-polo---white-zl100523/"/>
    <x v="121"/>
    <s v="Basic POLO - WHITE"/>
    <s v="Men's T-Shirts &amp; Polos"/>
    <x v="0"/>
    <x v="3"/>
    <s v="White"/>
    <s v="S"/>
    <n v="37.32"/>
    <n v="37.32"/>
    <s v="Regular Price"/>
    <s v="EUR"/>
    <n v="722"/>
    <s v="4.0"/>
    <s v="45.0"/>
    <m/>
    <m/>
    <s v="Yes"/>
    <d v="2023-01-29T00:00:00"/>
    <s v="https://img01.ztat.net/article/ZL100523.jpg"/>
    <n v="0"/>
    <s v="No Discount"/>
  </r>
  <r>
    <s v="ZL100527"/>
    <s v="https://www.zalando.de/adidas-performance-print-t-shirt---beige-zl100527/"/>
    <x v="6"/>
    <s v="Print T-SHIRT - BEIGE"/>
    <s v="Men's T-Shirts &amp; Polos"/>
    <x v="1"/>
    <x v="1"/>
    <m/>
    <s v="S"/>
    <n v="49.11"/>
    <n v="49.11"/>
    <s v="Regular Price"/>
    <s v="EUR"/>
    <n v="882"/>
    <s v="3.2"/>
    <s v="36.0"/>
    <m/>
    <m/>
    <s v="Yes"/>
    <d v="2023-01-29T00:00:00"/>
    <s v="https://img01.ztat.net/article/ZL100527.jpg"/>
    <n v="0"/>
    <s v="No Discount"/>
  </r>
  <r>
    <s v="ZL100528"/>
    <s v="https://www.zalando.de/shine-print-t-shirt---off-white-zl100528/"/>
    <x v="71"/>
    <s v="Print T-SHIRT - OFF WHITE"/>
    <s v="Men's T-Shirts &amp; Polos"/>
    <x v="1"/>
    <x v="1"/>
    <s v="Off White"/>
    <s v="S"/>
    <n v="20.52"/>
    <n v="20.52"/>
    <s v="Regular Price"/>
    <s v="EUR"/>
    <n v="636"/>
    <s v="4.2"/>
    <s v="N/A"/>
    <m/>
    <m/>
    <s v="Yes"/>
    <d v="2023-01-29T00:00:00"/>
    <s v="https://img01.ztat.net/article/ZL100528.jpg"/>
    <n v="0"/>
    <s v="No Discount"/>
  </r>
  <r>
    <s v="ZL100529"/>
    <s v="https://www.zalando.de/yourturn-basic-t-shirt---grey-melange-zl100529/"/>
    <x v="49"/>
    <s v="Basic T-SHIRT - GREY MELANGE"/>
    <s v="Men's T-Shirts &amp; Polos"/>
    <x v="1"/>
    <x v="4"/>
    <s v="Grey Melange"/>
    <s v="XS"/>
    <n v="29.84"/>
    <n v="29.84"/>
    <s v="Regular Price"/>
    <s v="EUR"/>
    <n v="811"/>
    <s v="4.8"/>
    <s v="37.0"/>
    <m/>
    <m/>
    <s v="No"/>
    <d v="2023-01-29T00:00:00"/>
    <s v="https://img01.ztat.net/article/ZL100529.jpg"/>
    <n v="0"/>
    <s v="No Discount"/>
  </r>
  <r>
    <s v="ZL100531"/>
    <s v="https://www.zalando.de/nn07-regular-fit-polo---navy-zl100531/"/>
    <x v="25"/>
    <s v="Regular Fit POLO - NAVY"/>
    <s v="Men's T-Shirts &amp; Polos"/>
    <x v="0"/>
    <x v="2"/>
    <s v="Navy"/>
    <s v="M"/>
    <n v="11.23"/>
    <n v="11.23"/>
    <s v="Regular Price"/>
    <s v="EUR"/>
    <n v="962"/>
    <s v="3.6"/>
    <s v="0"/>
    <m/>
    <m/>
    <s v="Yes"/>
    <d v="2023-01-29T00:00:00"/>
    <s v="https://img01.ztat.net/article/ZL100531.jpg"/>
    <n v="0"/>
    <s v="No Discount"/>
  </r>
  <r>
    <s v="ZL100532"/>
    <s v="https://www.zalando.de/tommy-hilfiger-slim-fit-polo---black-zl100532/"/>
    <x v="8"/>
    <s v="Slim Fit POLO - BLACK"/>
    <s v="Men's T-Shirts &amp; Polos"/>
    <x v="0"/>
    <x v="2"/>
    <s v="Black"/>
    <s v="S"/>
    <n v="22.14"/>
    <n v="22.14"/>
    <s v="Regular Price"/>
    <s v="EUR"/>
    <n v="758"/>
    <s v="3.4"/>
    <s v="40.0"/>
    <m/>
    <m/>
    <s v="No"/>
    <d v="2023-01-29T00:00:00"/>
    <s v="https://img01.ztat.net/article/ZL100532.jpg"/>
    <n v="0"/>
    <s v="No Discount"/>
  </r>
  <r>
    <s v="ZL100533"/>
    <s v="https://www.zalando.de/tommy-hilfiger-slim-fit-t-shirt---rust-zl100533/"/>
    <x v="8"/>
    <s v="Slim Fit T-SHIRT - RUST"/>
    <s v="Men's T-Shirts &amp; Polos"/>
    <x v="1"/>
    <x v="5"/>
    <s v="Rust"/>
    <s v="M"/>
    <n v="8.99"/>
    <n v="8.99"/>
    <s v="Regular Price"/>
    <s v="EUR"/>
    <n v="275"/>
    <s v="3.5"/>
    <s v="37.0"/>
    <m/>
    <m/>
    <s v="No"/>
    <d v="2023-01-29T00:00:00"/>
    <s v="https://img01.ztat.net/article/ZL100533.jpg"/>
    <n v="0"/>
    <s v="No Discount"/>
  </r>
  <r>
    <s v="ZL100534"/>
    <s v="https://www.zalando.de/won-hundred-essential-t-shirt---red-zl100534/"/>
    <x v="44"/>
    <s v="Essential T-SHIRT - RED"/>
    <s v="Men's T-Shirts &amp; Polos"/>
    <x v="1"/>
    <x v="6"/>
    <s v="Red"/>
    <s v="S"/>
    <n v="8.99"/>
    <n v="8.99"/>
    <s v="Regular Price"/>
    <s v="EUR"/>
    <n v="538"/>
    <s v="3.7"/>
    <s v="34.0"/>
    <m/>
    <m/>
    <s v="Yes"/>
    <d v="2023-01-29T00:00:00"/>
    <s v="https://img01.ztat.net/article/ZL100534.jpg"/>
    <n v="0"/>
    <s v="No Discount"/>
  </r>
  <r>
    <s v="ZL100535"/>
    <s v="https://www.zalando.de/levi's-basic-t-shirt---khaki-zl100535/"/>
    <x v="33"/>
    <s v="Basic T-SHIRT - KHAKI"/>
    <s v="Men's T-Shirts &amp; Polos"/>
    <x v="1"/>
    <x v="5"/>
    <s v="Khaki"/>
    <s v="XS"/>
    <n v="23.41"/>
    <n v="23.41"/>
    <s v="Regular Price"/>
    <s v="EUR"/>
    <n v="503"/>
    <s v="5.0"/>
    <s v="29.0"/>
    <m/>
    <m/>
    <s v="No"/>
    <d v="2023-01-29T00:00:00"/>
    <s v="https://img01.ztat.net/article/ZL100535.jpg"/>
    <n v="0"/>
    <s v="No Discount"/>
  </r>
  <r>
    <s v="ZL100536"/>
    <s v="https://www.zalando.de/nike-regular-fit-t-shirt---beige-zl100536/"/>
    <x v="25"/>
    <s v="Regular Fit T-SHIRT - BEIGE"/>
    <s v="Men's T-Shirts &amp; Polos"/>
    <x v="1"/>
    <x v="4"/>
    <s v="Beige"/>
    <s v="S"/>
    <n v="8.99"/>
    <n v="8.99"/>
    <s v="Regular Price"/>
    <s v="EUR"/>
    <n v="304"/>
    <s v="3.4"/>
    <s v="40.0"/>
    <m/>
    <m/>
    <s v="Yes"/>
    <d v="2023-01-29T00:00:00"/>
    <s v="https://img01.ztat.net/article/ZL100536.jpg"/>
    <n v="0"/>
    <s v="No Discount"/>
  </r>
  <r>
    <s v="ZL100542"/>
    <s v="https://www.zalando.de/tommy-hilfiger-regular-fit-t-shirt---olive-zl100542/"/>
    <x v="8"/>
    <s v="Regular Fit T-SHIRT - OLIVE"/>
    <s v="Men's T-Shirts &amp; Polos"/>
    <x v="1"/>
    <x v="6"/>
    <s v="Olive"/>
    <s v="S"/>
    <n v="9.94"/>
    <n v="9.94"/>
    <s v="Regular Price"/>
    <s v="EUR"/>
    <n v="61"/>
    <s v="4.9"/>
    <s v="31.0"/>
    <m/>
    <m/>
    <s v="No"/>
    <d v="2023-01-29T00:00:00"/>
    <s v="https://img01.ztat.net/article/ZL100542.jpg"/>
    <n v="0"/>
    <s v="No Discount"/>
  </r>
  <r>
    <s v="ZL100543"/>
    <s v="https://www.zalando.de/boss-slim-fit-t-shirt---dark-blue-zl100543/"/>
    <x v="48"/>
    <s v="Slim Fit T-SHIRT - DARK BLUE"/>
    <s v="Men's T-Shirts &amp; Polos"/>
    <x v="1"/>
    <x v="6"/>
    <s v="Dark Blue"/>
    <s v="XS"/>
    <n v="17.100000000000001"/>
    <n v="17.100000000000001"/>
    <s v="Regular Price"/>
    <s v="EUR"/>
    <n v="203"/>
    <s v="4.4"/>
    <s v="29.0"/>
    <m/>
    <m/>
    <s v="Yes"/>
    <d v="2023-01-29T00:00:00"/>
    <s v="https://img01.ztat.net/article/ZL100543.jpg"/>
    <n v="0"/>
    <s v="No Discount"/>
  </r>
  <r>
    <s v="ZL100545"/>
    <s v="https://www.zalando.de/burton-menswear-london-regular-fit-t-shirt---navy-zl100545/"/>
    <x v="58"/>
    <s v="Regular Fit T-SHIRT - NAVY"/>
    <s v="Men's T-Shirts &amp; Polos"/>
    <x v="1"/>
    <x v="5"/>
    <s v="Navy"/>
    <s v="S"/>
    <n v="19.260000000000002"/>
    <n v="19.260000000000002"/>
    <s v="Regular Price"/>
    <s v="EUR"/>
    <n v="299"/>
    <s v="3.8"/>
    <s v="0"/>
    <m/>
    <m/>
    <s v="Yes"/>
    <d v="2023-01-29T00:00:00"/>
    <s v="https://img01.ztat.net/article/ZL100545.jpg"/>
    <n v="0"/>
    <s v="No Discount"/>
  </r>
  <r>
    <s v="ZL100546"/>
    <s v="https://www.zalando.de/guess-basic-polo---white-zl100546/"/>
    <x v="82"/>
    <s v="Basic POLO - WHITE"/>
    <s v="Men's T-Shirts &amp; Polos"/>
    <x v="0"/>
    <x v="0"/>
    <s v="White"/>
    <s v="XS"/>
    <n v="10.79"/>
    <n v="10.79"/>
    <s v="Regular Price"/>
    <s v="EUR"/>
    <n v="762"/>
    <s v="3.6"/>
    <s v="37.0"/>
    <m/>
    <m/>
    <m/>
    <d v="2023-01-29T00:00:00"/>
    <s v="https://img01.ztat.net/article/ZL100546.jpg"/>
    <n v="0"/>
    <s v="No Discount"/>
  </r>
  <r>
    <s v="ZL100548"/>
    <s v="https://www.zalando.de/nike-basic-t-shirt---dark-green-zl100548/"/>
    <x v="25"/>
    <s v="Basic T-SHIRT - DARK GREEN"/>
    <s v="Men's T-Shirts &amp; Polos"/>
    <x v="1"/>
    <x v="4"/>
    <s v="Dark Green"/>
    <s v="XS"/>
    <n v="8.99"/>
    <n v="8.99"/>
    <s v="Regular Price"/>
    <s v="EUR"/>
    <n v="834"/>
    <s v="4.7"/>
    <s v="30.0"/>
    <m/>
    <m/>
    <s v="Yes"/>
    <d v="2023-01-29T00:00:00"/>
    <s v="https://img01.ztat.net/article/ZL100548.jpg"/>
    <n v="0"/>
    <s v="No Discount"/>
  </r>
  <r>
    <s v="ZL100551"/>
    <s v="https://www.zalando.de/salomon-essential-polo---dark-blue-zl100551/"/>
    <x v="53"/>
    <s v="Essential POLO - DARK BLUE"/>
    <s v="Men's T-Shirts &amp; Polos"/>
    <x v="0"/>
    <x v="2"/>
    <s v="Dark Blue"/>
    <s v="XS"/>
    <n v="11.89"/>
    <n v="11.89"/>
    <s v="Regular Price"/>
    <s v="EUR"/>
    <n v="787"/>
    <s v="3.1"/>
    <s v="31.0"/>
    <m/>
    <m/>
    <s v="Yes"/>
    <d v="2023-01-29T00:00:00"/>
    <s v="https://img01.ztat.net/article/ZL100551.jpg"/>
    <n v="0"/>
    <s v="No Discount"/>
  </r>
  <r>
    <s v="ZL100553"/>
    <s v="https://www.zalando.de/reebok-slim-fit-polo---red-zl100553/"/>
    <x v="37"/>
    <s v="Slim Fit POLO - RED"/>
    <s v="Men's T-Shirts &amp; Polos"/>
    <x v="0"/>
    <x v="3"/>
    <s v="Red"/>
    <s v="M"/>
    <n v="24.15"/>
    <n v="24.15"/>
    <s v="Regular Price"/>
    <s v="EUR"/>
    <n v="738"/>
    <s v="3.1"/>
    <s v="36.0"/>
    <m/>
    <m/>
    <s v="Yes"/>
    <d v="2023-01-29T00:00:00"/>
    <s v="https://img01.ztat.net/article/ZL100553.jpg"/>
    <n v="0"/>
    <s v="No Discount"/>
  </r>
  <r>
    <s v="ZL100554"/>
    <s v="https://www.zalando.de/mango-man-essential-t-shirt---navy-zl100554/"/>
    <x v="5"/>
    <s v="Essential T-SHIRT - NAVY"/>
    <s v="Men's T-Shirts &amp; Polos"/>
    <x v="1"/>
    <x v="5"/>
    <s v="Navy"/>
    <s v="XS"/>
    <n v="10.95"/>
    <n v="10.95"/>
    <s v="Regular Price"/>
    <s v="EUR"/>
    <n v="39"/>
    <s v="3.3"/>
    <s v="37.0"/>
    <m/>
    <m/>
    <s v="Yes"/>
    <d v="2023-01-29T00:00:00"/>
    <s v="https://img01.ztat.net/article/ZL100554.jpg"/>
    <n v="0"/>
    <s v="No Discount"/>
  </r>
  <r>
    <s v="ZL100555"/>
    <s v="https://www.zalando.de/bruuns-bazaar-print-polo---beige-zl100555/"/>
    <x v="100"/>
    <s v="Print POLO - BEIGE"/>
    <s v="Men's T-Shirts &amp; Polos"/>
    <x v="0"/>
    <x v="3"/>
    <s v="Beige"/>
    <s v="XS"/>
    <n v="18.18"/>
    <n v="18.18"/>
    <s v="Regular Price"/>
    <s v="EUR"/>
    <n v="493"/>
    <s v="3.8"/>
    <s v="39.0"/>
    <m/>
    <m/>
    <s v="No"/>
    <d v="2023-01-29T00:00:00"/>
    <s v="https://img01.ztat.net/article/ZL100555.jpg"/>
    <n v="0"/>
    <s v="No Discount"/>
  </r>
  <r>
    <s v="ZL100556"/>
    <s v="https://www.zalando.de/farah-basic-polo---white-zl100556/"/>
    <x v="78"/>
    <s v="Basic POLO - WHITE"/>
    <s v="Men's T-Shirts &amp; Polos"/>
    <x v="0"/>
    <x v="2"/>
    <s v="White"/>
    <s v="S"/>
    <n v="24.47"/>
    <n v="24.47"/>
    <s v="Regular Price"/>
    <s v="EUR"/>
    <n v="839"/>
    <s v="4.0"/>
    <s v="N/A"/>
    <m/>
    <m/>
    <s v="Yes"/>
    <d v="2023-01-29T00:00:00"/>
    <s v="https://img01.ztat.net/article/ZL100556.jpg"/>
    <n v="0"/>
    <s v="No Discount"/>
  </r>
  <r>
    <s v="ZL100557"/>
    <s v="https://www.zalando.de/nn07-essential-t-shirt---dark-green-zl100557/"/>
    <x v="25"/>
    <s v="Essential T-SHIRT - DARK GREEN"/>
    <s v="Men's T-Shirts &amp; Polos"/>
    <x v="1"/>
    <x v="5"/>
    <s v="Dark Green"/>
    <s v="M"/>
    <n v="10.72"/>
    <n v="10.72"/>
    <s v="Regular Price"/>
    <s v="EUR"/>
    <n v="991"/>
    <s v="3.7"/>
    <s v="35.0"/>
    <m/>
    <m/>
    <s v="Yes"/>
    <d v="2023-01-29T00:00:00"/>
    <s v="https://img01.ztat.net/article/ZL100557.jpg"/>
    <n v="0"/>
    <s v="No Discount"/>
  </r>
  <r>
    <s v="ZL100558"/>
    <s v="https://www.zalando.de/calvin-klein-print-polo---beige-zl100558/"/>
    <x v="14"/>
    <s v="Print POLO - BEIGE"/>
    <s v="Men's T-Shirts &amp; Polos"/>
    <x v="0"/>
    <x v="0"/>
    <s v="Beige"/>
    <s v="S"/>
    <n v="18.43"/>
    <n v="18.43"/>
    <s v="Regular Price"/>
    <s v="EUR"/>
    <n v="928"/>
    <s v="4.4"/>
    <s v="36.0"/>
    <m/>
    <m/>
    <s v="No"/>
    <d v="2023-01-29T00:00:00"/>
    <s v="https://img01.ztat.net/article/ZL100558.jpg"/>
    <n v="0"/>
    <s v="No Discount"/>
  </r>
  <r>
    <s v="ZL100561"/>
    <s v="https://www.zalando.de/urban-classics-print-polo---anthracite-zl100561/"/>
    <x v="36"/>
    <s v="Print POLO - ANTHRACITE"/>
    <s v="Men's T-Shirts &amp; Polos"/>
    <x v="0"/>
    <x v="2"/>
    <s v="Anthracite"/>
    <s v="S"/>
    <n v="15.86"/>
    <n v="15.86"/>
    <s v="Regular Price"/>
    <s v="EUR"/>
    <n v="665"/>
    <s v="4.9"/>
    <s v="39.0"/>
    <m/>
    <m/>
    <s v="No"/>
    <d v="2023-01-29T00:00:00"/>
    <s v="https://img01.ztat.net/article/ZL100561.jpg"/>
    <n v="0"/>
    <s v="No Discount"/>
  </r>
  <r>
    <s v="ZL100563"/>
    <s v="https://www.zalando.de/patagonia-slim-fit-t-shirt---mint-zl100563/"/>
    <x v="81"/>
    <s v="Slim Fit T-SHIRT - MINT"/>
    <s v="Men's T-Shirts &amp; Polos"/>
    <x v="1"/>
    <x v="1"/>
    <s v="Mint"/>
    <s v="XS"/>
    <n v="8.99"/>
    <n v="8.99"/>
    <s v="Regular Price"/>
    <s v="EUR"/>
    <n v="816"/>
    <s v="4.7"/>
    <s v="35.0"/>
    <m/>
    <m/>
    <s v="No"/>
    <d v="2023-01-29T00:00:00"/>
    <s v="https://img01.ztat.net/article/ZL100563.jpg"/>
    <n v="0"/>
    <s v="No Discount"/>
  </r>
  <r>
    <s v="ZL100564"/>
    <s v="https://www.zalando.de/odlo-print-t-shirt---off-white-zl100564/"/>
    <x v="27"/>
    <s v="Print T-SHIRT - OFF WHITE"/>
    <s v="Men's T-Shirts &amp; Polos"/>
    <x v="1"/>
    <x v="1"/>
    <s v="Off White"/>
    <s v="XS"/>
    <n v="8.99"/>
    <n v="8.99"/>
    <s v="Regular Price"/>
    <s v="EUR"/>
    <n v="878"/>
    <s v="4.1"/>
    <s v="33.0"/>
    <m/>
    <m/>
    <s v="No"/>
    <d v="2023-01-29T00:00:00"/>
    <s v="https://img01.ztat.net/article/ZL100564.jpg"/>
    <n v="0"/>
    <s v="No Discount"/>
  </r>
  <r>
    <s v="ZL100565"/>
    <s v="https://www.zalando.de/joop!-essential-t-shirt---light-grey-zl100565/"/>
    <x v="129"/>
    <s v="Essential T-SHIRT - LIGHT GREY"/>
    <s v="Men's T-Shirts &amp; Polos"/>
    <x v="1"/>
    <x v="1"/>
    <s v="Light Grey"/>
    <s v="M"/>
    <n v="8.99"/>
    <n v="8.99"/>
    <s v="Regular Price"/>
    <s v="EUR"/>
    <n v="842"/>
    <s v="3.4"/>
    <s v="0"/>
    <m/>
    <m/>
    <s v="Yes"/>
    <d v="2023-01-29T00:00:00"/>
    <s v="https://img01.ztat.net/article/ZL100565.jpg"/>
    <n v="0"/>
    <s v="No Discount"/>
  </r>
  <r>
    <s v="ZL100566"/>
    <s v="https://www.zalando.de/burton-london-basic-polo---royal-blue-zl100566/"/>
    <x v="58"/>
    <s v="Basic POLO - ROYAL BLUE"/>
    <s v="Men's T-Shirts &amp; Polos"/>
    <x v="0"/>
    <x v="0"/>
    <s v="Royal Blue"/>
    <s v="XS"/>
    <n v="16.170000000000002"/>
    <n v="16.170000000000002"/>
    <s v="Regular Price"/>
    <s v="EUR"/>
    <n v="409"/>
    <s v="0"/>
    <s v="41.0"/>
    <m/>
    <m/>
    <s v="Yes"/>
    <d v="2023-01-29T00:00:00"/>
    <s v="https://img01.ztat.net/article/ZL100566.jpg"/>
    <n v="0"/>
    <s v="No Discount"/>
  </r>
  <r>
    <s v="ZL100567"/>
    <s v="https://www.zalando.de/redefined-rebel-essential-polo---navy-zl100567/"/>
    <x v="94"/>
    <s v="Essential POLO - NAVY"/>
    <s v="Men's T-Shirts &amp; Polos"/>
    <x v="0"/>
    <x v="0"/>
    <s v="Navy"/>
    <s v="XS"/>
    <n v="8.99"/>
    <n v="8.99"/>
    <s v="Regular Price"/>
    <s v="EUR"/>
    <n v="127"/>
    <s v="3.1"/>
    <s v="31.0"/>
    <m/>
    <m/>
    <s v="Yes"/>
    <d v="2023-01-29T00:00:00"/>
    <s v="https://img01.ztat.net/article/ZL100567.jpg"/>
    <n v="0"/>
    <s v="No Discount"/>
  </r>
  <r>
    <s v="ZL100568"/>
    <s v="https://www.zalando.de/odlo-regular-fit-polo---white-zl100568/"/>
    <x v="27"/>
    <s v="Regular Fit POLO - WHITE"/>
    <s v="Men's T-Shirts &amp; Polos"/>
    <x v="0"/>
    <x v="0"/>
    <s v="White"/>
    <s v="XS"/>
    <n v="11.55"/>
    <n v="11.55"/>
    <s v="Regular Price"/>
    <s v="EUR"/>
    <n v="341"/>
    <s v="4.7"/>
    <s v="31.0"/>
    <m/>
    <m/>
    <s v="No"/>
    <d v="2023-01-29T00:00:00"/>
    <s v="https://img01.ztat.net/article/ZL100568.jpg"/>
    <n v="0"/>
    <s v="No Discount"/>
  </r>
  <r>
    <s v="ZL100571"/>
    <s v="https://www.zalando.de/reebok-basic-t-shirt---rust-zl100571/"/>
    <x v="37"/>
    <s v="Basic T-SHIRT - RUST"/>
    <s v="Men's T-Shirts &amp; Polos"/>
    <x v="1"/>
    <x v="6"/>
    <s v="Rust"/>
    <s v="XS"/>
    <n v="11.68"/>
    <n v="11.68"/>
    <s v="Regular Price"/>
    <s v="EUR"/>
    <n v="54"/>
    <s v="3.7"/>
    <s v="47.0"/>
    <m/>
    <m/>
    <s v="Yes"/>
    <d v="2023-01-29T00:00:00"/>
    <s v="https://img01.ztat.net/article/ZL100571.jpg"/>
    <n v="0"/>
    <s v="No Discount"/>
  </r>
  <r>
    <s v="ZL100572"/>
    <s v="https://www.zalando.de/jack-and-jones-basic-polo---khaki-zl100572/"/>
    <x v="102"/>
    <s v="Basic POLO - KHAKI"/>
    <s v="Men's T-Shirts &amp; Polos"/>
    <x v="0"/>
    <x v="2"/>
    <m/>
    <s v="M"/>
    <n v="39.619999999999997"/>
    <n v="39.619999999999997"/>
    <s v="Regular Price"/>
    <s v="EUR"/>
    <n v="370"/>
    <s v="5.0"/>
    <s v="35.0"/>
    <m/>
    <m/>
    <s v="Yes"/>
    <d v="2023-01-29T00:00:00"/>
    <s v="https://img01.ztat.net/article/ZL100572.jpg"/>
    <n v="0"/>
    <s v="No Discount"/>
  </r>
  <r>
    <s v="ZL100574"/>
    <s v="https://www.zalando.de/anerkjendt-essential-polo---dark-blue-zl100574/"/>
    <x v="26"/>
    <s v="Essential POLO - DARK BLUE"/>
    <s v="Men's T-Shirts &amp; Polos"/>
    <x v="0"/>
    <x v="3"/>
    <s v="Dark Blue"/>
    <s v="S"/>
    <n v="15.87"/>
    <n v="15.87"/>
    <s v="Regular Price"/>
    <s v="EUR"/>
    <n v="176"/>
    <s v="5.0"/>
    <s v="22.0"/>
    <m/>
    <m/>
    <s v="No"/>
    <d v="2023-01-29T00:00:00"/>
    <s v="https://img01.ztat.net/article/ZL100574.jpg"/>
    <n v="0"/>
    <s v="No Discount"/>
  </r>
  <r>
    <s v="ZL100575"/>
    <s v="https://www.zalando.de/calvin-klein-slim-fit-polo---dark-green-zl100575/"/>
    <x v="14"/>
    <s v="Slim Fit Polo - Dark Green"/>
    <s v="Men's T-Shirts &amp; Polos"/>
    <x v="0"/>
    <x v="3"/>
    <s v="Dark Green"/>
    <s v="S"/>
    <n v="8.99"/>
    <n v="8.99"/>
    <s v="Regular Price"/>
    <s v="EUR"/>
    <n v="757"/>
    <s v="0"/>
    <s v="39.0"/>
    <m/>
    <m/>
    <s v="Yes"/>
    <d v="2023-01-29T00:00:00"/>
    <s v="https://img01.ztat.net/article/ZL100575.jpg"/>
    <n v="0"/>
    <s v="No Discount"/>
  </r>
  <r>
    <s v="ZL100578"/>
    <s v="https://www.zalando.de/minimum-regular-fit-polo---anthracite-zl100578/"/>
    <x v="111"/>
    <s v="Regular Fit POLO - ANTHRACITE"/>
    <s v="Men's T-Shirts &amp; Polos"/>
    <x v="0"/>
    <x v="2"/>
    <s v="Anthracite"/>
    <s v="XS"/>
    <n v="35.229999999999997"/>
    <n v="35.229999999999997"/>
    <s v="Regular Price"/>
    <s v="EUR"/>
    <n v="610"/>
    <s v="0"/>
    <s v="34.0"/>
    <m/>
    <m/>
    <s v="Yes"/>
    <d v="2023-01-29T00:00:00"/>
    <s v="https://img01.ztat.net/article/ZL100578.jpg"/>
    <n v="0"/>
    <s v="No Discount"/>
  </r>
  <r>
    <s v="ZL100585"/>
    <s v="https://www.zalando.de/anerkjendt-regular-fit-polo---red-zl100585/"/>
    <x v="26"/>
    <s v="Regular Fit POLO - RED"/>
    <s v="Men's T-Shirts &amp; Polos"/>
    <x v="0"/>
    <x v="2"/>
    <s v="Red"/>
    <s v="XS"/>
    <n v="26.83"/>
    <n v="26.83"/>
    <s v="Regular Price"/>
    <s v="EUR"/>
    <n v="301"/>
    <s v="3.8"/>
    <s v="0"/>
    <m/>
    <m/>
    <s v="No"/>
    <d v="2023-01-29T00:00:00"/>
    <s v="https://img01.ztat.net/article/ZL100585.jpg"/>
    <n v="0"/>
    <s v="No Discount"/>
  </r>
  <r>
    <s v="ZL100589"/>
    <s v="https://www.zalando.de/adidas-performance-slim-fit-polo---rust-zl100589/"/>
    <x v="6"/>
    <s v="Slim Fit POLO - RUST"/>
    <s v="Men's T-Shirts &amp; Polos"/>
    <x v="0"/>
    <x v="3"/>
    <s v="Rust"/>
    <s v="XS"/>
    <n v="66.42"/>
    <n v="66.42"/>
    <s v="Regular Price"/>
    <s v="EUR"/>
    <n v="614"/>
    <s v="3.6"/>
    <s v="31.0"/>
    <m/>
    <m/>
    <s v="Yes"/>
    <d v="2023-01-29T00:00:00"/>
    <s v="https://img01.ztat.net/article/ZL100589.jpg"/>
    <n v="0"/>
    <s v="No Discount"/>
  </r>
  <r>
    <s v="ZL100590"/>
    <s v="https://www.zalando.de/cleptomanicx-essential-t-shirt---anthracite-zl100590/"/>
    <x v="83"/>
    <s v="Essential T-SHIRT - ANTHRACITE"/>
    <s v="Men's T-Shirts &amp; Polos"/>
    <x v="1"/>
    <x v="6"/>
    <s v="Anthracite"/>
    <s v="XS"/>
    <n v="25.84"/>
    <n v="25.84"/>
    <s v="NEW"/>
    <s v="EUR"/>
    <n v="985"/>
    <s v="5.0"/>
    <s v="25.0"/>
    <m/>
    <m/>
    <s v="Yes"/>
    <d v="2023-01-29T00:00:00"/>
    <s v="https://img01.ztat.net/article/ZL100590.jpg"/>
    <n v="0"/>
    <s v="No Discount"/>
  </r>
  <r>
    <s v="ZL100592"/>
    <s v="https://www.zalando.de/vans-print-polo---beige-zl100592/"/>
    <x v="18"/>
    <s v="Print POLO - BEIGE"/>
    <s v="Men's T-Shirts &amp; Polos"/>
    <x v="0"/>
    <x v="0"/>
    <s v="Beige"/>
    <s v="XS"/>
    <n v="11.78"/>
    <n v="11.78"/>
    <s v="Regular Price"/>
    <s v="EUR"/>
    <n v="781"/>
    <s v="3.6"/>
    <s v="25.0"/>
    <m/>
    <m/>
    <s v="Yes"/>
    <d v="2023-01-29T00:00:00"/>
    <s v="https://img01.ztat.net/article/ZL100592.jpg"/>
    <n v="0"/>
    <s v="No Discount"/>
  </r>
  <r>
    <s v="ZL100593"/>
    <s v="https://www.zalando.de/ea7-emporio-armani-slim-fit-t-shirt---beige-zl100593/"/>
    <x v="109"/>
    <s v="Slim Fit T-SHIRT - BEIGE"/>
    <s v="Men's T-Shirts &amp; Polos"/>
    <x v="1"/>
    <x v="1"/>
    <s v="Beige"/>
    <s v="XS"/>
    <n v="26.11"/>
    <n v="26.11"/>
    <s v="Regular Price"/>
    <s v="EUR"/>
    <n v="79"/>
    <s v="4.9"/>
    <s v="47.0"/>
    <m/>
    <m/>
    <s v="Yes"/>
    <d v="2023-01-29T00:00:00"/>
    <s v="https://img01.ztat.net/article/ZL100593.jpg"/>
    <n v="0"/>
    <s v="No Discount"/>
  </r>
  <r>
    <s v="ZL100594"/>
    <s v="https://www.zalando.de/napapijri-print-polo---royal-blue-zl100594/"/>
    <x v="50"/>
    <s v="Print POLO - ROYAL BLUE"/>
    <s v="Men's T-Shirts &amp; Polos"/>
    <x v="0"/>
    <x v="3"/>
    <s v="Royal Blue"/>
    <s v="XS"/>
    <n v="10.08"/>
    <n v="10.08"/>
    <s v="Regular Price"/>
    <s v="EUR"/>
    <n v="931"/>
    <s v="4.1"/>
    <s v="44.0"/>
    <m/>
    <m/>
    <s v="Yes"/>
    <d v="2023-01-29T00:00:00"/>
    <s v="https://img01.ztat.net/article/ZL100594.jpg"/>
    <n v="0"/>
    <s v="No Discount"/>
  </r>
  <r>
    <s v="ZL100595"/>
    <s v="https://www.zalando.de/tommy-hilfiger-print-t-shirt---rust-zl100595/"/>
    <x v="8"/>
    <s v="Print T-SHIRT - RUST"/>
    <s v="Men's T-Shirts &amp; Polos"/>
    <x v="1"/>
    <x v="5"/>
    <s v="Rust"/>
    <s v="M"/>
    <n v="18.98"/>
    <n v="18.98"/>
    <s v="Regular Price"/>
    <s v="EUR"/>
    <n v="860"/>
    <s v="4.6"/>
    <s v="48.0"/>
    <m/>
    <m/>
    <s v="No"/>
    <d v="2023-01-29T00:00:00"/>
    <s v="https://img01.ztat.net/article/ZL100595.jpg"/>
    <n v="0"/>
    <s v="No Discount"/>
  </r>
  <r>
    <s v="ZL100598"/>
    <s v="https://www.zalando.de/nike-print-polo---black-zl100598/"/>
    <x v="25"/>
    <s v="Print POLO - BLACK"/>
    <s v="Men's T-Shirts &amp; Polos"/>
    <x v="0"/>
    <x v="0"/>
    <s v="Black"/>
    <s v="M"/>
    <n v="28.87"/>
    <n v="28.87"/>
    <s v="Regular Price"/>
    <s v="EUR"/>
    <n v="670"/>
    <s v="0"/>
    <s v="36.0"/>
    <m/>
    <m/>
    <s v="Yes"/>
    <d v="2023-01-29T00:00:00"/>
    <s v="https://img01.ztat.net/article/ZL100598.jpg"/>
    <n v="0"/>
    <s v="No Discount"/>
  </r>
  <r>
    <s v="ZL100600"/>
    <s v="https://www.zalando.de/shine-essential-t-shirt---rust-zl100600/"/>
    <x v="71"/>
    <s v="Essential T-SHIRT - RUST"/>
    <s v="Men's T-Shirts &amp; Polos"/>
    <x v="1"/>
    <x v="4"/>
    <s v="Rust"/>
    <s v="S"/>
    <n v="12.47"/>
    <n v="12.47"/>
    <s v="Regular Price"/>
    <s v="EUR"/>
    <n v="258"/>
    <s v="0"/>
    <s v="31.0"/>
    <m/>
    <m/>
    <s v="Yes"/>
    <d v="2023-01-29T00:00:00"/>
    <s v="https://img01.ztat.net/article/ZL100600.jpg"/>
    <n v="0"/>
    <s v="No Discount"/>
  </r>
  <r>
    <s v="ZL100603"/>
    <s v="https://www.zalando.de/only-sons-print-polo---bordeaux-zl100603/"/>
    <x v="61"/>
    <s v="Print POLO - BORDEAUX"/>
    <s v="Men's T-Shirts &amp; Polos"/>
    <x v="0"/>
    <x v="0"/>
    <s v="Bordeaux"/>
    <s v="M"/>
    <n v="16.91"/>
    <n v="16.91"/>
    <s v="Regular Price"/>
    <s v="EUR"/>
    <n v="742"/>
    <s v="0"/>
    <s v="0"/>
    <m/>
    <m/>
    <s v="No"/>
    <d v="2023-01-29T00:00:00"/>
    <s v="https://img01.ztat.net/article/ZL100603.jpg"/>
    <n v="0"/>
    <s v="No Discount"/>
  </r>
  <r>
    <s v="ZL100604"/>
    <s v="https://www.zalando.de/lacoste-basic-t-shirt---rust-zl100604/"/>
    <x v="4"/>
    <s v="Basic T-SHIRT - RUST"/>
    <s v="Men's T-Shirts &amp; Polos"/>
    <x v="1"/>
    <x v="4"/>
    <s v="Rust"/>
    <s v="S"/>
    <n v="12.74"/>
    <n v="12.74"/>
    <s v="NEW"/>
    <s v="EUR"/>
    <n v="800"/>
    <s v="3.5"/>
    <s v="36.0"/>
    <m/>
    <m/>
    <s v="Yes"/>
    <d v="2023-01-29T00:00:00"/>
    <s v="https://img01.ztat.net/article/ZL100604.jpg"/>
    <n v="0"/>
    <s v="No Discount"/>
  </r>
  <r>
    <s v="ZL100605"/>
    <s v="https://www.zalando.de/cars-slim-fit-polo---rust-zl100605/"/>
    <x v="30"/>
    <s v="Slim Fit POLO - RUST"/>
    <s v="Men's T-Shirts &amp; Polos"/>
    <x v="0"/>
    <x v="0"/>
    <s v="Rust"/>
    <s v="S"/>
    <n v="23.29"/>
    <n v="23.29"/>
    <s v="Regular Price"/>
    <s v="EUR"/>
    <n v="848"/>
    <s v="4.0"/>
    <s v="33.0"/>
    <m/>
    <m/>
    <s v="Yes"/>
    <d v="2023-01-29T00:00:00"/>
    <s v="https://img01.ztat.net/article/ZL100605.jpg"/>
    <n v="0"/>
    <s v="No Discount"/>
  </r>
  <r>
    <s v="ZL100607"/>
    <s v="https://www.zalando.de/digel-slim-fit-polo---denim-blue-zl100607/"/>
    <x v="84"/>
    <s v="Slim Fit POLO - DENIM BLUE"/>
    <s v="Men's T-Shirts &amp; Polos"/>
    <x v="0"/>
    <x v="3"/>
    <s v="Denim Blue"/>
    <s v="M"/>
    <n v="13.78"/>
    <n v="13.78"/>
    <s v="Regular Price"/>
    <s v="EUR"/>
    <n v="352"/>
    <s v="3.9"/>
    <s v="40.0"/>
    <m/>
    <m/>
    <s v="Yes"/>
    <d v="2023-01-29T00:00:00"/>
    <s v="https://img01.ztat.net/article/ZL100607.jpg"/>
    <n v="0"/>
    <s v="No Discount"/>
  </r>
  <r>
    <s v="ZL100608"/>
    <s v="https://www.zalando.de/indicode-jeans-regular-fit-polo---olive-zl100608/"/>
    <x v="131"/>
    <s v="Regular Fit POLO - OLIVE"/>
    <s v="Men's T-Shirts &amp; Polos"/>
    <x v="0"/>
    <x v="0"/>
    <s v="Olive"/>
    <s v="XS"/>
    <n v="8.99"/>
    <n v="8.99"/>
    <s v="Regular Price"/>
    <s v="EUR"/>
    <n v="481"/>
    <s v="4.6"/>
    <s v="36.0"/>
    <m/>
    <m/>
    <s v="No"/>
    <d v="2023-01-29T00:00:00"/>
    <s v="https://img01.ztat.net/article/ZL100608.jpg"/>
    <n v="0"/>
    <s v="No Discount"/>
  </r>
  <r>
    <s v="ZL100611"/>
    <s v="https://www.zalando.de/cars-essential-t-shirt---rust-zl100611/"/>
    <x v="30"/>
    <s v="Essential T-SHIRT - RUST"/>
    <s v="Men's T-Shirts &amp; Polos"/>
    <x v="1"/>
    <x v="4"/>
    <s v="Rust"/>
    <s v="S"/>
    <n v="18.23"/>
    <n v="18.23"/>
    <s v="Regular Price"/>
    <s v="EUR"/>
    <n v="134"/>
    <s v="4.3"/>
    <s v="35.0"/>
    <m/>
    <m/>
    <s v="Yes"/>
    <d v="2023-01-29T00:00:00"/>
    <s v="https://img01.ztat.net/article/ZL100611.jpg"/>
    <n v="0"/>
    <s v="No Discount"/>
  </r>
  <r>
    <s v="ZL100612"/>
    <s v="https://www.zalando.de/hummel-slim-fit-polo---red-zl100612/"/>
    <x v="76"/>
    <s v="Slim Fit POLO - RED"/>
    <s v="Men's T-Shirts &amp; Polos"/>
    <x v="0"/>
    <x v="3"/>
    <s v="Red"/>
    <s v="S"/>
    <n v="28.89"/>
    <n v="28.89"/>
    <s v="Regular Price"/>
    <s v="EUR"/>
    <n v="309"/>
    <s v="4.9"/>
    <s v="36.0"/>
    <m/>
    <m/>
    <s v="No"/>
    <d v="2023-01-29T00:00:00"/>
    <s v="https://img01.ztat.net/article/ZL100612.jpg"/>
    <n v="0"/>
    <s v="No Discount"/>
  </r>
  <r>
    <s v="ZL100614"/>
    <s v="https://www.zalando.de/name-it-slim-fit-t-shirt---dark-green-zl100614/"/>
    <x v="16"/>
    <s v="Slim Fit T-SHIRT - DARK GREEN"/>
    <s v="Men's T-Shirts &amp; Polos"/>
    <x v="1"/>
    <x v="5"/>
    <s v="Dark Green"/>
    <s v="S"/>
    <n v="22.31"/>
    <n v="22.31"/>
    <s v="Regular Price"/>
    <s v="EUR"/>
    <n v="875"/>
    <s v="4.1"/>
    <s v="43.0"/>
    <m/>
    <m/>
    <s v="Yes"/>
    <d v="2023-01-29T00:00:00"/>
    <s v="https://img01.ztat.net/article/ZL100614.jpg"/>
    <n v="0"/>
    <s v="No Discount"/>
  </r>
  <r>
    <s v="ZL100615"/>
    <s v="https://www.zalando.de/hackett-london-slim-fit-polo---red-zl100615/"/>
    <x v="104"/>
    <s v="Slim Fit POLO - RED"/>
    <s v="Men's T-Shirts &amp; Polos"/>
    <x v="0"/>
    <x v="3"/>
    <s v="Red"/>
    <s v=""/>
    <n v="33.31"/>
    <n v="33.31"/>
    <s v="NEW"/>
    <s v="EUR"/>
    <n v="719"/>
    <s v="0"/>
    <s v="39.0"/>
    <m/>
    <m/>
    <s v="No"/>
    <d v="2023-01-29T00:00:00"/>
    <s v="https://img01.ztat.net/article/ZL100615.jpg"/>
    <n v="0"/>
    <s v="No Discount"/>
  </r>
  <r>
    <s v="ZL100616"/>
    <s v="https://www.zalando.de/salomon-regular-fit-polo---bordeaux-zl100616/"/>
    <x v="53"/>
    <s v="Regular Fit POLO - BORDEAUX"/>
    <s v="Men's T-Shirts &amp; Polos"/>
    <x v="0"/>
    <x v="2"/>
    <s v="Bordeaux"/>
    <s v=""/>
    <n v="11.26"/>
    <n v="11.26"/>
    <s v="Regular Price"/>
    <s v="EUR"/>
    <n v="596"/>
    <s v="3.2"/>
    <s v="34.0"/>
    <m/>
    <m/>
    <s v="Yes"/>
    <d v="2023-01-29T00:00:00"/>
    <s v="https://img01.ztat.net/article/ZL100616.jpg"/>
    <n v="0"/>
    <s v="No Discount"/>
  </r>
  <r>
    <s v="ZL100617"/>
    <s v="https://www.zalando.de/kaporal-essential-t-shirt---mint-zl100617/"/>
    <x v="132"/>
    <s v="Essential T-SHIRT - MINT"/>
    <s v="Men's T-Shirts &amp; Polos"/>
    <x v="1"/>
    <x v="4"/>
    <s v="Mint"/>
    <s v="S"/>
    <n v="8.99"/>
    <n v="8.99"/>
    <s v="Regular Price"/>
    <s v="EUR"/>
    <n v="807"/>
    <s v="4.7"/>
    <s v="50.0"/>
    <m/>
    <m/>
    <s v="Yes"/>
    <d v="2023-01-29T00:00:00"/>
    <s v="https://img01.ztat.net/article/ZL100617.jpg"/>
    <n v="0"/>
    <s v="No Discount"/>
  </r>
  <r>
    <s v="ZL100618"/>
    <s v="https://www.zalando.de/levi's-slim-fit-t-shirt---light-grey-zl100618/"/>
    <x v="33"/>
    <s v="Slim Fit T-SHIRT - LIGHT GREY"/>
    <s v="Men's T-Shirts &amp; Polos"/>
    <x v="1"/>
    <x v="1"/>
    <s v="Light Grey"/>
    <s v="M"/>
    <n v="10.59"/>
    <n v="10.59"/>
    <s v="Regular Price"/>
    <s v="EUR"/>
    <n v="108"/>
    <s v="3.7"/>
    <s v="34.0"/>
    <m/>
    <m/>
    <s v="Yes"/>
    <d v="2023-01-29T00:00:00"/>
    <s v="https://img01.ztat.net/article/ZL100618.jpg"/>
    <n v="0"/>
    <s v="No Discount"/>
  </r>
  <r>
    <s v="ZL100619"/>
    <s v="https://www.zalando.de/nike-basic-t-shirt---white-zl100619/"/>
    <x v="25"/>
    <s v="Basic T-SHIRT - WHITE"/>
    <s v="Men's T-Shirts &amp; Polos"/>
    <x v="1"/>
    <x v="1"/>
    <s v="White"/>
    <s v="M"/>
    <n v="25.03"/>
    <n v="25.03"/>
    <s v="Regular Price"/>
    <s v="EUR"/>
    <n v="148"/>
    <s v="0"/>
    <s v="35.0"/>
    <m/>
    <m/>
    <s v="No"/>
    <d v="2023-01-29T00:00:00"/>
    <s v="https://img01.ztat.net/article/ZL100619.jpg"/>
    <n v="0"/>
    <s v="No Discount"/>
  </r>
  <r>
    <s v="ZL100620"/>
    <s v="https://www.zalando.de/farah-slim-fit-t-shirt---rust-zl100620/"/>
    <x v="78"/>
    <s v="Slim Fit T-SHIRT - RUST"/>
    <s v="Men's T-Shirts &amp; Polos"/>
    <x v="1"/>
    <x v="1"/>
    <s v="Rust"/>
    <s v="XS"/>
    <n v="21.15"/>
    <n v="21.15"/>
    <s v="Regular Price"/>
    <s v="EUR"/>
    <n v="888"/>
    <s v="3.5"/>
    <s v="39.0"/>
    <m/>
    <m/>
    <m/>
    <d v="2023-01-29T00:00:00"/>
    <s v="https://img01.ztat.net/article/ZL100620.jpg"/>
    <n v="0"/>
    <s v="No Discount"/>
  </r>
  <r>
    <s v="ZL100621"/>
    <s v="https://www.zalando.de/hummel-slim-fit-t-shirt---beige-zl100621/"/>
    <x v="76"/>
    <s v="Slim Fit T-SHIRT - BEIGE"/>
    <s v="Men's T-Shirts &amp; Polos"/>
    <x v="1"/>
    <x v="6"/>
    <s v="Beige"/>
    <s v="XS"/>
    <n v="9.42"/>
    <n v="9.42"/>
    <s v="Regular Price"/>
    <s v="EUR"/>
    <n v="20"/>
    <s v="0"/>
    <s v="22.0"/>
    <m/>
    <m/>
    <s v="Yes"/>
    <d v="2023-01-29T00:00:00"/>
    <s v="https://img01.ztat.net/article/ZL100621.jpg"/>
    <n v="0"/>
    <s v="No Discount"/>
  </r>
  <r>
    <s v="ZL100622"/>
    <s v="https://www.zalando.de/anerkjendt-print-polo---black-zl100622/"/>
    <x v="26"/>
    <s v="Print POLO - BLACK"/>
    <s v="Men's T-Shirts &amp; Polos"/>
    <x v="0"/>
    <x v="0"/>
    <s v="Black"/>
    <s v="S"/>
    <n v="36.11"/>
    <n v="36.11"/>
    <s v="Regular Price"/>
    <s v="EUR"/>
    <n v="230"/>
    <s v="3.7"/>
    <s v="32.0"/>
    <m/>
    <m/>
    <s v="Yes"/>
    <d v="2023-01-29T00:00:00"/>
    <s v="https://img01.ztat.net/article/ZL100622.jpg"/>
    <n v="0"/>
    <s v="No Discount"/>
  </r>
  <r>
    <s v="ZL100624"/>
    <s v="https://www.zalando.de/the-north-face-essential-polo---khaki-zl100624/"/>
    <x v="22"/>
    <s v="Essential POLO - KHAKI"/>
    <s v="Men's T-Shirts &amp; Polos"/>
    <x v="0"/>
    <x v="2"/>
    <m/>
    <s v="S"/>
    <n v="10.45"/>
    <n v="10.45"/>
    <s v="Regular Price"/>
    <s v="EUR"/>
    <n v="219"/>
    <s v="4.9"/>
    <s v="0"/>
    <m/>
    <m/>
    <s v="Yes"/>
    <d v="2023-01-29T00:00:00"/>
    <s v="https://img01.ztat.net/article/ZL100624.jpg"/>
    <n v="0"/>
    <s v="No Discount"/>
  </r>
  <r>
    <s v="ZL100625"/>
    <s v="https://www.zalando.de/samsøe-samsøe-basic-t-shirt---white-zl100625/"/>
    <x v="119"/>
    <s v="Basic T-SHIRT - WHITE"/>
    <s v="Men's T-Shirts &amp; Polos"/>
    <x v="1"/>
    <x v="6"/>
    <s v="White"/>
    <s v="XS"/>
    <n v="10.39"/>
    <n v="10.39"/>
    <s v="Regular Price"/>
    <s v="EUR"/>
    <n v="295"/>
    <s v="3.8"/>
    <s v="34.0"/>
    <m/>
    <m/>
    <s v="Yes"/>
    <d v="2023-01-29T00:00:00"/>
    <s v="https://img01.ztat.net/article/ZL100625.jpg"/>
    <n v="0"/>
    <s v="No Discount"/>
  </r>
  <r>
    <s v="ZL100632"/>
    <s v="https://www.zalando.de/tommy-hilfiger-print-polo---mint-zl100632/"/>
    <x v="8"/>
    <s v="Print POLO - MINT"/>
    <s v="Men's T-Shirts &amp; Polos"/>
    <x v="0"/>
    <x v="2"/>
    <m/>
    <s v="XS"/>
    <n v="40.159999999999997"/>
    <n v="40.159999999999997"/>
    <s v="Regular Price"/>
    <s v="EUR"/>
    <n v="208"/>
    <s v="4.1"/>
    <s v="0"/>
    <m/>
    <m/>
    <s v="Yes"/>
    <d v="2023-01-29T00:00:00"/>
    <s v="https://img01.ztat.net/article/ZL100632.jpg"/>
    <n v="0"/>
    <s v="No Discount"/>
  </r>
  <r>
    <s v="ZL100633"/>
    <s v="https://www.zalando.de/puma-regular-fit-polo---red-zl100633/"/>
    <x v="21"/>
    <s v="Regular Fit POLO - RED"/>
    <s v="Men's T-Shirts &amp; Polos"/>
    <x v="0"/>
    <x v="2"/>
    <s v="Red"/>
    <s v="M"/>
    <n v="8.99"/>
    <n v="8.99"/>
    <s v="Regular Price"/>
    <s v="EUR"/>
    <n v="345"/>
    <s v="3.3"/>
    <s v="31.0"/>
    <m/>
    <m/>
    <s v="Yes"/>
    <d v="2023-01-29T00:00:00"/>
    <s v="https://img01.ztat.net/article/ZL100633.jpg"/>
    <n v="0"/>
    <s v="No Discount"/>
  </r>
  <r>
    <s v="ZL100634"/>
    <s v="https://www.zalando.de/reebok-regular-fit-t-shirt---bordeaux-zl100634/"/>
    <x v="37"/>
    <s v="Regular Fit T-SHIRT - BORDEAUX"/>
    <s v="Men's T-Shirts &amp; Polos"/>
    <x v="1"/>
    <x v="6"/>
    <s v="Bordeaux"/>
    <s v="S"/>
    <n v="19.28"/>
    <n v="19.28"/>
    <s v="Regular Price"/>
    <s v="EUR"/>
    <n v="98"/>
    <s v="3.4"/>
    <s v="33.0"/>
    <m/>
    <m/>
    <s v="Yes"/>
    <d v="2023-01-29T00:00:00"/>
    <s v="https://img01.ztat.net/article/ZL100634.jpg"/>
    <n v="0"/>
    <s v="No Discount"/>
  </r>
  <r>
    <s v="ZL100636"/>
    <s v="https://www.zalando.de/esprit-slim-fit-t-shirt---dark-blue-zl100636/"/>
    <x v="98"/>
    <s v="Slim Fit T-SHIRT - DARK BLUE"/>
    <s v="Men's T-Shirts &amp; Polos"/>
    <x v="1"/>
    <x v="5"/>
    <s v="Dark Blue"/>
    <s v="XS"/>
    <n v="8.99"/>
    <n v="8.99"/>
    <s v="Regular Price"/>
    <s v="EUR"/>
    <n v="583"/>
    <s v="5.0"/>
    <s v="30.0"/>
    <m/>
    <m/>
    <s v="No"/>
    <d v="2023-01-29T00:00:00"/>
    <s v="https://img01.ztat.net/article/ZL100636.jpg"/>
    <n v="0"/>
    <s v="No Discount"/>
  </r>
  <r>
    <s v="ZL100638"/>
    <s v="https://www.zalando.de/tommy-hilfiger-essential-t-shirt---dark-green-zl100638/"/>
    <x v="8"/>
    <s v="Essential T-SHIRT - DARK GREEN"/>
    <s v="Men's T-Shirts &amp; Polos"/>
    <x v="1"/>
    <x v="6"/>
    <s v="Dark Green"/>
    <s v="M"/>
    <n v="19.690000000000001"/>
    <n v="19.690000000000001"/>
    <s v="Regular Price"/>
    <s v="EUR"/>
    <n v="425"/>
    <s v="4.6"/>
    <s v="42.0"/>
    <m/>
    <m/>
    <s v="No"/>
    <d v="2023-01-29T00:00:00"/>
    <s v="https://img01.ztat.net/article/ZL100638.jpg"/>
    <n v="0"/>
    <s v="No Discount"/>
  </r>
  <r>
    <s v="ZL100639"/>
    <s v="https://www.zalando.de/selected-homme-regular-fit-polo---dark-green-zl100639/"/>
    <x v="2"/>
    <s v="Regular Fit POLO - DARK GREEN"/>
    <s v="Men's T-Shirts &amp; Polos"/>
    <x v="0"/>
    <x v="3"/>
    <s v="Dark Green"/>
    <s v="M"/>
    <n v="24.49"/>
    <n v="24.49"/>
    <s v="Regular Price"/>
    <s v="EUR"/>
    <n v="468"/>
    <s v="3.7"/>
    <s v="38.0"/>
    <m/>
    <m/>
    <s v="Yes"/>
    <d v="2023-01-29T00:00:00"/>
    <s v="https://img01.ztat.net/article/ZL100639.jpg"/>
    <n v="0"/>
    <s v="No Discount"/>
  </r>
  <r>
    <s v="ZL100640"/>
    <s v="https://www.zalando.de/nike-essential-polo---dark-blue-zl100640/"/>
    <x v="25"/>
    <s v="Essential POLO - DARK BLUE"/>
    <s v="Men's T-Shirts &amp; Polos"/>
    <x v="0"/>
    <x v="2"/>
    <s v="Dark Blue"/>
    <s v="XS"/>
    <n v="11.45"/>
    <n v="11.45"/>
    <s v="Regular Price"/>
    <s v="EUR"/>
    <n v="743"/>
    <s v="3.1"/>
    <s v="39.0"/>
    <m/>
    <m/>
    <s v="No"/>
    <d v="2023-01-29T00:00:00"/>
    <s v="https://img01.ztat.net/article/ZL100640.jpg"/>
    <n v="0"/>
    <s v="No Discount"/>
  </r>
  <r>
    <s v="ZL100641"/>
    <s v="https://www.zalando.de/lacoste-basic-t-shirt---denim-blue-zl100641/"/>
    <x v="4"/>
    <s v="Basic T-SHIRT - DENIM BLUE"/>
    <s v="Men's T-Shirts &amp; Polos"/>
    <x v="1"/>
    <x v="5"/>
    <s v="Denim Blue"/>
    <s v="XS"/>
    <n v="12.63"/>
    <n v="12.63"/>
    <s v="Regular Price"/>
    <s v="EUR"/>
    <n v="941"/>
    <s v="3.8"/>
    <s v="32.0"/>
    <m/>
    <m/>
    <s v="Yes"/>
    <d v="2023-01-29T00:00:00"/>
    <s v="https://img01.ztat.net/article/ZL100641.jpg"/>
    <n v="0"/>
    <s v="No Discount"/>
  </r>
  <r>
    <s v="ZL100642"/>
    <s v="https://www.zalando.de/adidas-performance-essential-t-shirt---white-zl100642/"/>
    <x v="6"/>
    <s v="Essential T-SHIRT - WHITE"/>
    <s v="Men's T-Shirts &amp; Polos"/>
    <x v="1"/>
    <x v="6"/>
    <s v="White"/>
    <s v="M"/>
    <n v="33.22"/>
    <n v="33.22"/>
    <s v="Regular Price"/>
    <s v="EUR"/>
    <n v="677"/>
    <s v="4.5"/>
    <s v="31.0"/>
    <m/>
    <m/>
    <s v="Yes"/>
    <d v="2023-01-29T00:00:00"/>
    <s v="https://img01.ztat.net/article/ZL100642.jpg"/>
    <n v="0"/>
    <s v="No Discount"/>
  </r>
  <r>
    <s v="ZL100645"/>
    <s v="https://www.zalando.de/hummel-regular-fit-polo---mint-zl100645/"/>
    <x v="76"/>
    <s v="Regular Fit POLO - MINT"/>
    <s v="Men's T-Shirts &amp; Polos"/>
    <x v="0"/>
    <x v="3"/>
    <s v="Mint"/>
    <s v="XS"/>
    <n v="31.72"/>
    <n v="31.72"/>
    <s v="Regular Price"/>
    <s v="EUR"/>
    <n v="570"/>
    <s v="5.0"/>
    <s v="30.0"/>
    <m/>
    <m/>
    <s v="No"/>
    <d v="2023-01-29T00:00:00"/>
    <s v="https://img01.ztat.net/article/ZL100645.jpg"/>
    <n v="0"/>
    <s v="No Discount"/>
  </r>
  <r>
    <s v="ZL100647"/>
    <s v="https://www.zalando.de/farah-slim-fit-polo---navy-zl100647/"/>
    <x v="78"/>
    <s v="Slim Fit POLO - NAVY"/>
    <s v="Men's T-Shirts &amp; Polos"/>
    <x v="0"/>
    <x v="3"/>
    <s v="Navy"/>
    <s v="XS"/>
    <n v="8.99"/>
    <n v="8.99"/>
    <s v="Regular Price"/>
    <s v="EUR"/>
    <n v="999"/>
    <s v="4.5"/>
    <s v="36.0"/>
    <m/>
    <m/>
    <s v="Yes"/>
    <d v="2023-01-29T00:00:00"/>
    <s v="https://img01.ztat.net/article/ZL100647.jpg"/>
    <n v="0"/>
    <s v="No Discount"/>
  </r>
  <r>
    <s v="ZL100648"/>
    <s v="https://www.zalando.de/tommy-hilfiger-basic-t-shirt---navy-zl100648/"/>
    <x v="8"/>
    <s v="Basic T-SHIRT - NAVY"/>
    <s v="Men's T-Shirts &amp; Polos"/>
    <x v="1"/>
    <x v="1"/>
    <s v="Navy"/>
    <s v="S"/>
    <n v="26.16"/>
    <n v="26.16"/>
    <s v="Regular Price"/>
    <s v="EUR"/>
    <n v="948"/>
    <s v="3.9"/>
    <s v="32.0"/>
    <m/>
    <m/>
    <s v="Yes"/>
    <d v="2023-01-29T00:00:00"/>
    <s v="https://img01.ztat.net/article/ZL100648.jpg"/>
    <n v="0"/>
    <s v="No Discount"/>
  </r>
  <r>
    <s v="ZL100649"/>
    <s v="https://www.zalando.de/nike-regular-fit-t-shirt---anthracite-zl100649/"/>
    <x v="25"/>
    <s v="Regular Fit T-SHIRT - ANTHRACITE"/>
    <s v="Men's T-Shirts &amp; Polos"/>
    <x v="1"/>
    <x v="5"/>
    <m/>
    <s v=""/>
    <n v="11.92"/>
    <n v="11.92"/>
    <s v="Regular Price"/>
    <s v="EUR"/>
    <n v="802"/>
    <s v="4.8"/>
    <s v="36.0"/>
    <m/>
    <m/>
    <s v="Yes"/>
    <d v="2023-01-29T00:00:00"/>
    <s v="https://img01.ztat.net/article/ZL100649.jpg"/>
    <n v="0"/>
    <s v="No Discount"/>
  </r>
  <r>
    <s v="ZL100650"/>
    <s v="https://www.zalando.de/anerkjendt-slim-fit-polo---dark-green-zl100650/"/>
    <x v="26"/>
    <s v="Slim Fit POLO - DARK GREEN"/>
    <s v="Men's T-Shirts &amp; Polos"/>
    <x v="0"/>
    <x v="0"/>
    <s v="Dark Green"/>
    <s v="XS"/>
    <n v="8.99"/>
    <n v="8.99"/>
    <s v="NEW"/>
    <s v="EUR"/>
    <n v="574"/>
    <s v="4.0"/>
    <s v="22.0"/>
    <m/>
    <m/>
    <s v="No"/>
    <d v="2023-01-29T00:00:00"/>
    <s v="https://img01.ztat.net/article/ZL100650.jpg"/>
    <n v="0"/>
    <s v="No Discount"/>
  </r>
  <r>
    <s v="ZL100651"/>
    <s v="https://www.zalando.de/tommy-hilfiger-slim-fit-t-shirt---mint-zl100651/"/>
    <x v="8"/>
    <s v="Slim Fit T-SHIRT - MINT"/>
    <s v="Men's T-Shirts &amp; Polos"/>
    <x v="1"/>
    <x v="6"/>
    <s v="Mint"/>
    <s v="S"/>
    <n v="20.74"/>
    <n v="20.74"/>
    <s v="Regular Price"/>
    <s v="EUR"/>
    <n v="218"/>
    <s v="0"/>
    <s v="35.0"/>
    <m/>
    <m/>
    <s v="No"/>
    <d v="2023-01-29T00:00:00"/>
    <s v="https://img01.ztat.net/article/ZL100651.jpg"/>
    <n v="0"/>
    <s v="No Discount"/>
  </r>
  <r>
    <s v="ZL100653"/>
    <s v="https://www.zalando.de/denim-and-supply-essential-t-shirt---off-white-zl100653/"/>
    <x v="3"/>
    <s v="Essential T-SHIRT - OFF WHITE"/>
    <s v="Men's T-Shirts &amp; Polos"/>
    <x v="1"/>
    <x v="6"/>
    <s v="Off White"/>
    <s v="S"/>
    <n v="10.29"/>
    <n v="10.29"/>
    <s v="NEW"/>
    <s v="EUR"/>
    <n v="682"/>
    <s v="3.5"/>
    <s v="0"/>
    <m/>
    <m/>
    <s v="Yes"/>
    <d v="2023-01-29T00:00:00"/>
    <s v="https://img01.ztat.net/article/ZL100653.jpg"/>
    <n v="0"/>
    <s v="No Discount"/>
  </r>
  <r>
    <s v="ZL100655"/>
    <s v="https://www.zalando.de/converse-essential-t-shirt---beige-zl100655/"/>
    <x v="54"/>
    <s v="Essential T-SHIRT - BEIGE"/>
    <s v="Men's T-Shirts &amp; Polos"/>
    <x v="1"/>
    <x v="6"/>
    <s v="Beige"/>
    <s v="XS"/>
    <n v="52.99"/>
    <n v="52.99"/>
    <s v="Regular Price"/>
    <s v="EUR"/>
    <n v="338"/>
    <s v="4.9"/>
    <s v="43.0"/>
    <m/>
    <m/>
    <s v="Yes"/>
    <d v="2023-01-29T00:00:00"/>
    <s v="https://img01.ztat.net/article/ZL100655.jpg"/>
    <n v="0"/>
    <s v="No Discount"/>
  </r>
  <r>
    <s v="ZL100656"/>
    <s v="https://www.zalando.de/denim-and-supply-regular-fit-t-shirt---denim-blue-zl100656/"/>
    <x v="3"/>
    <s v="Regular Fit T-SHIRT - DENIM BLUE"/>
    <s v="Men's T-Shirts &amp; Polos"/>
    <x v="1"/>
    <x v="5"/>
    <s v="Denim Blue"/>
    <s v="S"/>
    <n v="10.72"/>
    <n v="10.72"/>
    <s v="Regular Price"/>
    <s v="EUR"/>
    <n v="29"/>
    <s v="3.2"/>
    <s v="40.0"/>
    <m/>
    <m/>
    <s v="Yes"/>
    <d v="2023-01-29T00:00:00"/>
    <s v="https://img01.ztat.net/article/ZL100656.jpg"/>
    <n v="0"/>
    <s v="No Discount"/>
  </r>
  <r>
    <s v="ZL100660"/>
    <s v="https://www.zalando.de/guess-slim-fit-polo---royal-blue-zl100660/"/>
    <x v="82"/>
    <s v="Slim Fit POLO - ROYAL BLUE"/>
    <s v="Men's T-Shirts &amp; Polos"/>
    <x v="0"/>
    <x v="2"/>
    <s v="Royal Blue"/>
    <s v="M"/>
    <n v="19.96"/>
    <n v="19.96"/>
    <s v="Regular Price"/>
    <s v="EUR"/>
    <n v="908"/>
    <s v="4.3"/>
    <s v="25.0"/>
    <m/>
    <m/>
    <s v="Yes"/>
    <d v="2023-01-29T00:00:00"/>
    <s v="https://img01.ztat.net/article/ZL100660.jpg"/>
    <n v="0"/>
    <s v="No Discount"/>
  </r>
  <r>
    <s v="ZL100666"/>
    <s v="https://www.zalando.de/nike-essential-polo---bordeaux-zl100666/"/>
    <x v="25"/>
    <s v="Essential POLO - BORDEAUX"/>
    <s v="Men's T-Shirts &amp; Polos"/>
    <x v="0"/>
    <x v="2"/>
    <s v="Bordeaux"/>
    <s v="M"/>
    <n v="14.03"/>
    <n v="14.03"/>
    <s v="Regular Price"/>
    <s v="EUR"/>
    <n v="894"/>
    <s v="3.9"/>
    <s v="26.0"/>
    <m/>
    <m/>
    <s v="Yes"/>
    <d v="2023-01-29T00:00:00"/>
    <s v="https://img01.ztat.net/article/ZL100666.jpg"/>
    <n v="0"/>
    <s v="No Discount"/>
  </r>
  <r>
    <s v="ZL100668"/>
    <s v="https://www.zalando.de/kappa-essential-t-shirt---royal-blue-zl100668/"/>
    <x v="97"/>
    <s v="Essential T-SHIRT - ROYAL BLUE"/>
    <s v="Men's T-Shirts &amp; Polos"/>
    <x v="1"/>
    <x v="1"/>
    <s v="Royal Blue"/>
    <s v="XS"/>
    <n v="32.36"/>
    <n v="32.36"/>
    <s v="Regular Price"/>
    <s v="EUR"/>
    <n v="289"/>
    <s v="3.2"/>
    <s v="26.0"/>
    <m/>
    <m/>
    <s v="No"/>
    <d v="2023-01-29T00:00:00"/>
    <s v="https://img01.ztat.net/article/ZL100668.jpg"/>
    <n v="0"/>
    <s v="No Discount"/>
  </r>
  <r>
    <s v="ZL100669"/>
    <s v="https://www.zalando.de/adidas-performance-slim-fit-polo---off-white-zl100669/"/>
    <x v="6"/>
    <s v="Slim Fit POLO - OFF WHITE"/>
    <s v="Men's T-Shirts &amp; Polos"/>
    <x v="0"/>
    <x v="3"/>
    <s v="Off White"/>
    <s v="S"/>
    <n v="17.010000000000002"/>
    <n v="17.010000000000002"/>
    <s v="Regular Price"/>
    <s v="EUR"/>
    <n v="710"/>
    <s v="0"/>
    <s v="30.0"/>
    <m/>
    <m/>
    <s v="Yes"/>
    <d v="2023-01-29T00:00:00"/>
    <s v="https://img01.ztat.net/article/ZL100669.jpg"/>
    <n v="0"/>
    <s v="No Discount"/>
  </r>
  <r>
    <s v="ZL100670"/>
    <s v="https://www.zalando.de/ben-sherman-essential-polo---beige-zl100670/"/>
    <x v="133"/>
    <s v="Essential POLO - BEIGE"/>
    <s v="Men's T-Shirts &amp; Polos"/>
    <x v="0"/>
    <x v="2"/>
    <m/>
    <s v="XS"/>
    <n v="21.62"/>
    <n v="21.62"/>
    <s v="Regular Price"/>
    <s v="EUR"/>
    <n v="559"/>
    <s v="3.5"/>
    <s v="33.0"/>
    <m/>
    <m/>
    <s v="Yes"/>
    <d v="2023-01-29T00:00:00"/>
    <s v="https://img01.ztat.net/article/ZL100670.jpg"/>
    <n v="0"/>
    <s v="No Discount"/>
  </r>
  <r>
    <s v="ZL100671"/>
    <s v="https://www.zalando.de/hackett-london-print-polo---beige-zl100671/"/>
    <x v="104"/>
    <s v="Print POLO - BEIGE"/>
    <s v="Men's T-Shirts &amp; Polos"/>
    <x v="0"/>
    <x v="0"/>
    <s v="Beige"/>
    <s v="XS"/>
    <n v="20.69"/>
    <n v="20.69"/>
    <s v="Regular Price"/>
    <s v="EUR"/>
    <n v="450"/>
    <s v="4.2"/>
    <s v="42.0"/>
    <m/>
    <m/>
    <s v="Yes"/>
    <d v="2023-01-29T00:00:00"/>
    <s v="https://img01.ztat.net/article/ZL100671.jpg"/>
    <n v="0"/>
    <s v="No Discount"/>
  </r>
  <r>
    <s v="ZL100673"/>
    <s v="https://www.zalando.de/nike-basic-polo---off-white-zl100673/"/>
    <x v="25"/>
    <s v="Basic POLO - OFF WHITE"/>
    <s v="Men's T-Shirts &amp; Polos"/>
    <x v="0"/>
    <x v="2"/>
    <s v="Off White"/>
    <s v="XS"/>
    <n v="24.52"/>
    <n v="24.52"/>
    <s v="Regular Price"/>
    <s v="EUR"/>
    <n v="19"/>
    <s v="4.3"/>
    <s v="31.0"/>
    <m/>
    <m/>
    <s v="Yes"/>
    <d v="2023-01-29T00:00:00"/>
    <s v="https://img01.ztat.net/article/ZL100673.jpg"/>
    <n v="0"/>
    <s v="No Discount"/>
  </r>
  <r>
    <s v="ZL100674"/>
    <s v="https://www.zalando.de/craft-slim-fit-t-shirt---royal-blue-zl100674/"/>
    <x v="31"/>
    <s v="Slim Fit T-SHIRT - ROYAL BLUE"/>
    <s v="Men's T-Shirts &amp; Polos"/>
    <x v="1"/>
    <x v="4"/>
    <s v="Royal Blue"/>
    <s v="M"/>
    <n v="8.99"/>
    <n v="8.99"/>
    <s v="Regular Price"/>
    <s v="EUR"/>
    <n v="778"/>
    <s v="4.9"/>
    <s v="39.0"/>
    <m/>
    <m/>
    <s v="Yes"/>
    <d v="2023-01-29T00:00:00"/>
    <s v="https://img01.ztat.net/article/ZL100674.jpg"/>
    <n v="0"/>
    <s v="No Discount"/>
  </r>
  <r>
    <s v="ZL100679"/>
    <s v="https://www.zalando.de/seidensticker-basic-polo---grey-melange-zl100679/"/>
    <x v="41"/>
    <s v="Basic POLO - GREY MELANGE"/>
    <s v="Men's T-Shirts &amp; Polos"/>
    <x v="0"/>
    <x v="0"/>
    <s v="Grey Melange"/>
    <s v="M"/>
    <n v="18.04"/>
    <n v="18.04"/>
    <s v="Regular Price"/>
    <s v="EUR"/>
    <n v="118"/>
    <s v="4.4"/>
    <s v="34.0"/>
    <m/>
    <m/>
    <s v="Yes"/>
    <d v="2023-01-29T00:00:00"/>
    <s v="https://img01.ztat.net/article/ZL100679.jpg"/>
    <n v="0"/>
    <s v="No Discount"/>
  </r>
  <r>
    <s v="ZL100681"/>
    <s v="https://www.zalando.de/replay-print-t-shirt---grey-melange-zl100681/"/>
    <x v="43"/>
    <s v="Print T-SHIRT - GREY MELANGE"/>
    <s v="Men's T-Shirts &amp; Polos"/>
    <x v="1"/>
    <x v="1"/>
    <s v="Grey Melange"/>
    <s v="XS"/>
    <n v="30.73"/>
    <n v="30.73"/>
    <s v="Regular Price"/>
    <s v="EUR"/>
    <n v="569"/>
    <s v="4.3"/>
    <s v="0"/>
    <m/>
    <m/>
    <s v="Yes"/>
    <d v="2023-01-29T00:00:00"/>
    <s v="https://img01.ztat.net/article/ZL100681.jpg"/>
    <n v="0"/>
    <s v="No Discount"/>
  </r>
  <r>
    <s v="ZL100682"/>
    <s v="https://www.zalando.de/anti-fashion-print-polo---bordeaux-zl100682/"/>
    <x v="106"/>
    <s v="Print POLO - BORDEAUX"/>
    <s v="Men's T-Shirts &amp; Polos"/>
    <x v="0"/>
    <x v="0"/>
    <s v="Bordeaux"/>
    <s v="S"/>
    <n v="30.25"/>
    <n v="30.25"/>
    <s v="Regular Price"/>
    <s v="EUR"/>
    <n v="517"/>
    <s v="3.6"/>
    <s v="35.0"/>
    <m/>
    <m/>
    <s v="Yes"/>
    <d v="2023-01-29T00:00:00"/>
    <s v="https://img01.ztat.net/article/ZL100682.jpg"/>
    <n v="0"/>
    <s v="No Discount"/>
  </r>
  <r>
    <s v="ZL100684"/>
    <s v="https://www.zalando.de/j.lindeberg-print-t-shirt---khaki-zl100684/"/>
    <x v="10"/>
    <s v="Print T-SHIRT - KHAKI"/>
    <s v="Men's T-Shirts &amp; Polos"/>
    <x v="1"/>
    <x v="1"/>
    <s v="Khaki"/>
    <s v="XS"/>
    <n v="15.73"/>
    <n v="15.73"/>
    <s v="Regular Price"/>
    <s v="EUR"/>
    <n v="923"/>
    <s v="3.7"/>
    <s v="38.0"/>
    <m/>
    <m/>
    <s v="Yes"/>
    <d v="2023-01-29T00:00:00"/>
    <s v="https://img01.ztat.net/article/ZL100684.jpg"/>
    <n v="0"/>
    <s v="No Discount"/>
  </r>
  <r>
    <s v="ZL100685"/>
    <s v="https://www.zalando.de/blend-she-essential-polo---black-zl100685/"/>
    <x v="38"/>
    <s v="Essential POLO - BLACK"/>
    <s v="Men's T-Shirts &amp; Polos"/>
    <x v="0"/>
    <x v="3"/>
    <s v="Black"/>
    <s v="S"/>
    <n v="11.61"/>
    <n v="11.61"/>
    <s v="NEW"/>
    <s v="EUR"/>
    <n v="140"/>
    <s v="4.4"/>
    <s v="31.0"/>
    <m/>
    <m/>
    <s v="Yes"/>
    <d v="2023-01-29T00:00:00"/>
    <s v="https://img01.ztat.net/article/ZL100685.jpg"/>
    <n v="0"/>
    <s v="No Discount"/>
  </r>
  <r>
    <s v="ZL100687"/>
    <s v="https://www.zalando.de/farah-regular-fit-t-shirt---light-grey-zl100687/"/>
    <x v="78"/>
    <s v="Regular Fit T-SHIRT - LIGHT GREY"/>
    <s v="Men's T-Shirts &amp; Polos"/>
    <x v="1"/>
    <x v="5"/>
    <s v="Light Grey"/>
    <s v="XS"/>
    <n v="8.99"/>
    <n v="8.99"/>
    <s v="Regular Price"/>
    <s v="EUR"/>
    <n v="331"/>
    <s v="4.2"/>
    <s v="34.0"/>
    <m/>
    <m/>
    <s v="Yes"/>
    <d v="2023-01-29T00:00:00"/>
    <s v="https://img01.ztat.net/article/ZL100687.jpg"/>
    <n v="0"/>
    <s v="No Discount"/>
  </r>
  <r>
    <s v="ZL100689"/>
    <s v="https://www.zalando.de/nike-regular-fit-t-shirt---black-zl100689/"/>
    <x v="25"/>
    <s v="Regular Fit T-SHIRT - BLACK"/>
    <s v="Men's T-Shirts &amp; Polos"/>
    <x v="1"/>
    <x v="1"/>
    <s v="Black"/>
    <s v="XS"/>
    <n v="8.99"/>
    <n v="8.99"/>
    <s v="Regular Price"/>
    <s v="EUR"/>
    <n v="126"/>
    <s v="3.5"/>
    <s v="0"/>
    <m/>
    <m/>
    <s v="No"/>
    <d v="2023-01-29T00:00:00"/>
    <s v="https://img01.ztat.net/article/ZL100689.jpg"/>
    <n v="0"/>
    <s v="No Discount"/>
  </r>
  <r>
    <s v="ZL100690"/>
    <s v="https://www.zalando.de/van-laack-print-t-shirt---red-zl100690/"/>
    <x v="9"/>
    <s v="Print T-SHIRT - RED"/>
    <s v="Men's T-Shirts &amp; Polos"/>
    <x v="1"/>
    <x v="5"/>
    <s v="Red"/>
    <s v="S"/>
    <n v="31.2"/>
    <n v="31.2"/>
    <s v="Regular Price"/>
    <s v="EUR"/>
    <n v="12"/>
    <s v="3.8"/>
    <s v="30.0"/>
    <m/>
    <m/>
    <s v="No"/>
    <d v="2023-01-29T00:00:00"/>
    <s v="https://img01.ztat.net/article/ZL100690.jpg"/>
    <n v="0"/>
    <s v="No Discount"/>
  </r>
  <r>
    <s v="ZL100693"/>
    <s v="https://www.zalando.de/adidas-performance-basic-polo---royal-blue-zl100693/"/>
    <x v="6"/>
    <s v="Basic POLO - ROYAL BLUE"/>
    <s v="Men's T-Shirts &amp; Polos"/>
    <x v="0"/>
    <x v="3"/>
    <s v="Royal Blue"/>
    <s v="S"/>
    <n v="10.54"/>
    <n v="10.54"/>
    <s v="Regular Price"/>
    <s v="EUR"/>
    <n v="464"/>
    <s v="4.7"/>
    <s v="34.0"/>
    <m/>
    <m/>
    <s v="Yes"/>
    <d v="2023-01-29T00:00:00"/>
    <s v="https://img01.ztat.net/article/ZL100693.jpg"/>
    <n v="0"/>
    <s v="No Discount"/>
  </r>
  <r>
    <s v="ZL100694"/>
    <s v="https://www.zalando.de/nike-regular-fit-t-shirt---anthracite-zl100694/"/>
    <x v="25"/>
    <s v="Regular Fit T-SHIRT - ANTHRACITE"/>
    <s v="Men's T-Shirts &amp; Polos"/>
    <x v="1"/>
    <x v="1"/>
    <s v="Anthracite"/>
    <s v="XS"/>
    <n v="15.9"/>
    <n v="15.9"/>
    <s v="Regular Price"/>
    <s v="EUR"/>
    <n v="500"/>
    <s v="4.1"/>
    <s v="36.0"/>
    <m/>
    <m/>
    <s v="Yes"/>
    <d v="2023-01-29T00:00:00"/>
    <s v="https://img01.ztat.net/article/ZL100694.jpg"/>
    <n v="0"/>
    <s v="No Discount"/>
  </r>
  <r>
    <s v="ZL100699"/>
    <s v="https://www.zalando.de/blend-she-essential-polo---rust-zl100699/"/>
    <x v="38"/>
    <s v="Essential POLO - RUST"/>
    <s v="Men's T-Shirts &amp; Polos"/>
    <x v="0"/>
    <x v="2"/>
    <s v="Rust"/>
    <s v="XS"/>
    <n v="9.64"/>
    <n v="9.64"/>
    <s v="Regular Price"/>
    <s v="EUR"/>
    <n v="978"/>
    <s v="4.2"/>
    <s v="0"/>
    <m/>
    <m/>
    <s v="Yes"/>
    <d v="2023-01-29T00:00:00"/>
    <s v="https://img01.ztat.net/article/ZL100699.jpg"/>
    <n v="0"/>
    <s v="No Discount"/>
  </r>
  <r>
    <s v="ZL100700"/>
    <s v="https://www.zalando.de/tommy-hilfiger-regular-fit-polo---black-zl100700/"/>
    <x v="8"/>
    <s v="Regular Fit POLO - BLACK"/>
    <s v="Men's T-Shirts &amp; Polos"/>
    <x v="0"/>
    <x v="3"/>
    <s v="Black"/>
    <s v="S"/>
    <n v="26.55"/>
    <n v="26.55"/>
    <s v="Regular Price"/>
    <s v="EUR"/>
    <n v="375"/>
    <s v="3.5"/>
    <s v="37.0"/>
    <m/>
    <m/>
    <s v="Yes"/>
    <d v="2023-01-29T00:00:00"/>
    <s v="https://img01.ztat.net/article/ZL100700.jpg"/>
    <n v="0"/>
    <s v="No Discount"/>
  </r>
  <r>
    <s v="ZL100704"/>
    <s v="https://www.zalando.de/van-laack-print-polo---light-grey-zl100704/"/>
    <x v="9"/>
    <s v="Print POLO - LIGHT GREY"/>
    <s v="Men's T-Shirts &amp; Polos"/>
    <x v="0"/>
    <x v="0"/>
    <s v="Light Grey"/>
    <s v="XS"/>
    <n v="8.99"/>
    <n v="8.99"/>
    <s v="Regular Price"/>
    <s v="EUR"/>
    <n v="810"/>
    <s v="4.9"/>
    <s v="37.0"/>
    <m/>
    <m/>
    <s v="No"/>
    <d v="2023-01-29T00:00:00"/>
    <s v="https://img01.ztat.net/article/ZL100704.jpg"/>
    <n v="0"/>
    <s v="No Discount"/>
  </r>
  <r>
    <s v="ZL100706"/>
    <s v="https://www.zalando.de/adidas-performance-regular-fit-polo---light-grey-zl100706/"/>
    <x v="6"/>
    <s v="Regular Fit POLO - LIGHT GREY"/>
    <s v="Men's T-Shirts &amp; Polos"/>
    <x v="0"/>
    <x v="2"/>
    <s v="Light Grey"/>
    <s v="S"/>
    <n v="24.71"/>
    <n v="24.71"/>
    <s v="Regular Price"/>
    <s v="EUR"/>
    <n v="514"/>
    <s v="4.2"/>
    <s v="N/A"/>
    <m/>
    <m/>
    <s v="Yes"/>
    <d v="2023-01-29T00:00:00"/>
    <s v="https://img01.ztat.net/article/ZL100706.jpg"/>
    <n v="0"/>
    <s v="No Discount"/>
  </r>
  <r>
    <s v="ZL100707"/>
    <s v="https://www.zalando.de/ben-sherman-slim-fit-t-shirt---white-zl100707/"/>
    <x v="133"/>
    <s v="Slim Fit T-SHIRT - WHITE"/>
    <s v="Men's T-Shirts &amp; Polos"/>
    <x v="1"/>
    <x v="4"/>
    <m/>
    <s v="XS"/>
    <n v="15.41"/>
    <n v="15.41"/>
    <s v="Regular Price"/>
    <s v="EUR"/>
    <n v="151"/>
    <s v="4.7"/>
    <s v="23.0"/>
    <m/>
    <m/>
    <s v="Yes"/>
    <d v="2023-01-29T00:00:00"/>
    <s v="https://img01.ztat.net/article/ZL100707.jpg"/>
    <n v="0"/>
    <s v="No Discount"/>
  </r>
  <r>
    <s v="ZL100708"/>
    <s v="https://www.zalando.de/adidas-performance-print-t-shirt---dark-green-zl100708/"/>
    <x v="6"/>
    <s v="Print T-SHIRT - DARK GREEN"/>
    <s v="Men's T-Shirts &amp; Polos"/>
    <x v="1"/>
    <x v="5"/>
    <s v="Dark Green"/>
    <s v="XS"/>
    <n v="57.4"/>
    <n v="57.4"/>
    <s v="NEW"/>
    <s v="EUR"/>
    <n v="428"/>
    <s v="4.7"/>
    <s v="N/A"/>
    <m/>
    <m/>
    <s v="Yes"/>
    <d v="2023-01-29T00:00:00"/>
    <s v="https://img01.ztat.net/article/ZL100708.jpg"/>
    <n v="0"/>
    <s v="No Discount"/>
  </r>
  <r>
    <s v="ZL100710"/>
    <s v="https://www.zalando.de/j.lindeberg-print-t-shirt---navy-zl100710/"/>
    <x v="10"/>
    <s v="Print T-SHIRT - NAVY"/>
    <s v="Men's T-Shirts &amp; Polos"/>
    <x v="1"/>
    <x v="6"/>
    <s v="Navy"/>
    <s v="XS"/>
    <n v="17.75"/>
    <n v="17.75"/>
    <s v="Regular Price"/>
    <s v="EUR"/>
    <n v="95"/>
    <s v="4.2"/>
    <s v="28.0"/>
    <m/>
    <m/>
    <s v="No"/>
    <d v="2023-01-29T00:00:00"/>
    <s v="https://img01.ztat.net/article/ZL100710.jpg"/>
    <n v="0"/>
    <s v="No Discount"/>
  </r>
  <r>
    <s v="ZL100711"/>
    <s v="https://www.zalando.de/adidas-performance-essential-t-shirt---khaki-zl100711/"/>
    <x v="6"/>
    <s v="Essential T-SHIRT - KHAKI"/>
    <s v="Men's T-Shirts &amp; Polos"/>
    <x v="1"/>
    <x v="5"/>
    <s v="Khaki"/>
    <s v="XS"/>
    <n v="9.49"/>
    <n v="9.49"/>
    <s v="Regular Price"/>
    <s v="EUR"/>
    <n v="660"/>
    <s v="3.4"/>
    <s v="30.0"/>
    <m/>
    <m/>
    <s v="Yes"/>
    <d v="2023-01-29T00:00:00"/>
    <s v="https://img01.ztat.net/article/ZL100711.jpg"/>
    <n v="0"/>
    <s v="No Discount"/>
  </r>
  <r>
    <s v="ZL100714"/>
    <s v="https://www.zalando.de/calvin-klein-print-t-shirt---red-zl100714/"/>
    <x v="14"/>
    <s v="Print T-SHIRT - RED"/>
    <s v="Men's T-Shirts &amp; Polos"/>
    <x v="1"/>
    <x v="1"/>
    <s v="Red"/>
    <s v="S"/>
    <n v="8.99"/>
    <n v="8.99"/>
    <s v="Regular Price"/>
    <s v="EUR"/>
    <n v="555"/>
    <s v="3.3"/>
    <s v="38.0"/>
    <m/>
    <m/>
    <s v="Yes"/>
    <d v="2023-01-29T00:00:00"/>
    <s v="https://img01.ztat.net/article/ZL100714.jpg"/>
    <n v="0"/>
    <s v="No Discount"/>
  </r>
  <r>
    <s v="ZL100715"/>
    <s v="https://www.zalando.de/björn-borg-print-polo---navy-zl100715/"/>
    <x v="89"/>
    <s v="Print POLO - NAVY"/>
    <s v="Men's T-Shirts &amp; Polos"/>
    <x v="0"/>
    <x v="3"/>
    <s v="Navy"/>
    <s v="XS"/>
    <n v="26.73"/>
    <n v="26.73"/>
    <s v="Regular Price"/>
    <s v="EUR"/>
    <n v="592"/>
    <s v="3.3"/>
    <s v="38.0"/>
    <m/>
    <m/>
    <s v="Yes"/>
    <d v="2023-01-29T00:00:00"/>
    <s v="https://img01.ztat.net/article/ZL100715.jpg"/>
    <n v="0"/>
    <s v="No Discount"/>
  </r>
  <r>
    <s v="ZL100716"/>
    <s v="https://www.zalando.de/joop!-essential-t-shirt---denim-blue-zl100716/"/>
    <x v="129"/>
    <s v="Essential T-SHIRT - DENIM BLUE"/>
    <s v="Men's T-Shirts &amp; Polos"/>
    <x v="1"/>
    <x v="4"/>
    <s v="Denim Blue"/>
    <s v="XS"/>
    <n v="11.81"/>
    <n v="11.81"/>
    <s v="Regular Price"/>
    <s v="EUR"/>
    <n v="716"/>
    <s v="4.5"/>
    <s v="31.0"/>
    <m/>
    <m/>
    <s v="Yes"/>
    <d v="2023-01-29T00:00:00"/>
    <s v="https://img01.ztat.net/article/ZL100716.jpg"/>
    <n v="0"/>
    <s v="No Discount"/>
  </r>
  <r>
    <s v="ZL100719"/>
    <s v="https://www.zalando.de/shine-regular-fit-t-shirt---khaki-zl100719/"/>
    <x v="71"/>
    <s v="Regular Fit T-SHIRT - KHAKI"/>
    <s v="Men's T-Shirts &amp; Polos"/>
    <x v="1"/>
    <x v="5"/>
    <s v="Khaki"/>
    <s v="XS"/>
    <n v="20.74"/>
    <n v="20.74"/>
    <s v="Regular Price"/>
    <s v="EUR"/>
    <n v="240"/>
    <s v="0"/>
    <s v="45.0"/>
    <m/>
    <m/>
    <s v="Yes"/>
    <d v="2023-01-29T00:00:00"/>
    <s v="https://img01.ztat.net/article/ZL100719.jpg"/>
    <n v="0"/>
    <s v="No Discount"/>
  </r>
  <r>
    <s v="ZL100720"/>
    <s v="https://www.zalando.de/samsøe-samsøe-print-polo---olive-zl100720/"/>
    <x v="119"/>
    <s v="Print POLO - OLIVE"/>
    <s v="Men's T-Shirts &amp; Polos"/>
    <x v="0"/>
    <x v="0"/>
    <s v="Olive"/>
    <s v="S"/>
    <n v="13.11"/>
    <n v="13.11"/>
    <s v="Regular Price"/>
    <s v="EUR"/>
    <n v="525"/>
    <s v="0"/>
    <s v="44.0"/>
    <m/>
    <m/>
    <s v="Yes"/>
    <d v="2023-01-29T00:00:00"/>
    <s v="https://img01.ztat.net/article/ZL100720.jpg"/>
    <n v="0"/>
    <s v="No Discount"/>
  </r>
  <r>
    <s v="ZL100722"/>
    <s v="https://www.zalando.de/vans-print-polo---olive-zl100722/"/>
    <x v="18"/>
    <s v="Print POLO - OLIVE"/>
    <s v="Men's T-Shirts &amp; Polos"/>
    <x v="0"/>
    <x v="0"/>
    <s v="Olive"/>
    <s v="M"/>
    <n v="23.58"/>
    <n v="23.58"/>
    <s v="Regular Price"/>
    <s v="EUR"/>
    <n v="336"/>
    <s v="4.4"/>
    <s v="0"/>
    <m/>
    <m/>
    <s v="Yes"/>
    <d v="2023-01-29T00:00:00"/>
    <s v="https://img01.ztat.net/article/ZL100722.jpg"/>
    <n v="0"/>
    <s v="No Discount"/>
  </r>
  <r>
    <s v="ZL100723"/>
    <s v="https://www.zalando.de/nike-running-print-t-shirt---light-grey-zl100723/"/>
    <x v="87"/>
    <s v="Print T-SHIRT - LIGHT GREY"/>
    <s v="Men's T-Shirts &amp; Polos"/>
    <x v="1"/>
    <x v="6"/>
    <s v="Light Grey"/>
    <s v="M"/>
    <n v="12.83"/>
    <n v="12.83"/>
    <s v="Regular Price"/>
    <s v="EUR"/>
    <n v="873"/>
    <s v="3.6"/>
    <s v="29.0"/>
    <m/>
    <m/>
    <s v="Yes"/>
    <d v="2023-01-29T00:00:00"/>
    <s v="https://img01.ztat.net/article/ZL100723.jpg"/>
    <n v="0"/>
    <s v="No Discount"/>
  </r>
  <r>
    <s v="ZL100724"/>
    <s v="https://www.zalando.de/anthracite-essential-t-shirt---off-white-zl100724/"/>
    <x v="59"/>
    <s v="Essential T-SHIRT - OFF WHITE"/>
    <s v="Men's T-Shirts &amp; Polos"/>
    <x v="1"/>
    <x v="6"/>
    <s v="Off White"/>
    <s v="XS"/>
    <n v="28.26"/>
    <n v="28.26"/>
    <s v="Regular Price"/>
    <s v="EUR"/>
    <n v="453"/>
    <s v="3.2"/>
    <s v="28.0"/>
    <m/>
    <m/>
    <s v="Yes"/>
    <d v="2023-01-29T00:00:00"/>
    <s v="https://img01.ztat.net/article/ZL100724.jpg"/>
    <n v="0"/>
    <s v="No Discount"/>
  </r>
  <r>
    <s v="ZL100725"/>
    <s v="https://www.zalando.de/ellesse-essential-t-shirt---bordeaux-zl100725/"/>
    <x v="79"/>
    <s v="Essential T-SHIRT - BORDEAUX"/>
    <s v="Men's T-Shirts &amp; Polos"/>
    <x v="1"/>
    <x v="6"/>
    <s v="Bordeaux"/>
    <s v="S"/>
    <n v="8.99"/>
    <n v="8.99"/>
    <s v="Regular Price"/>
    <s v="EUR"/>
    <n v="924"/>
    <s v="3.8"/>
    <s v="41.0"/>
    <m/>
    <m/>
    <s v="Yes"/>
    <d v="2023-01-29T00:00:00"/>
    <s v="https://img01.ztat.net/article/ZL100725.jpg"/>
    <n v="0"/>
    <s v="No Discount"/>
  </r>
  <r>
    <s v="ZL100727"/>
    <s v="https://www.zalando.de/zalando-essentials-regular-fit-polo---beige-zl100727/"/>
    <x v="99"/>
    <s v="Regular Fit POLO - BEIGE"/>
    <s v="Men's T-Shirts &amp; Polos"/>
    <x v="0"/>
    <x v="2"/>
    <s v="Beige"/>
    <s v="S"/>
    <n v="21.82"/>
    <n v="21.82"/>
    <s v="Regular Price"/>
    <s v="EUR"/>
    <n v="168"/>
    <s v="3.4"/>
    <s v="26.0"/>
    <m/>
    <m/>
    <s v="Yes"/>
    <d v="2023-01-29T00:00:00"/>
    <s v="https://img01.ztat.net/article/ZL100727.jpg"/>
    <n v="0"/>
    <s v="No Discount"/>
  </r>
  <r>
    <s v="ZL100729"/>
    <s v="https://www.zalando.de/mango-man-basic-t-shirt---dark-blue-zl100729/"/>
    <x v="5"/>
    <s v="Basic T-SHIRT - DARK BLUE"/>
    <s v="Men's T-Shirts &amp; Polos"/>
    <x v="1"/>
    <x v="5"/>
    <s v="Dark Blue"/>
    <s v="XS"/>
    <n v="17.79"/>
    <n v="17.79"/>
    <s v="Regular Price"/>
    <s v="EUR"/>
    <n v="992"/>
    <s v="4.3"/>
    <s v="36.0"/>
    <m/>
    <m/>
    <s v="No"/>
    <d v="2023-01-29T00:00:00"/>
    <s v="https://img01.ztat.net/article/ZL100729.jpg"/>
    <n v="0"/>
    <s v="No Discount"/>
  </r>
  <r>
    <s v="ZL100732"/>
    <s v="https://www.zalando.de/icebreaker-regular-fit-t-shirt---off-white-zl100732/"/>
    <x v="130"/>
    <s v="Regular Fit T-SHIRT - OFF WHITE"/>
    <s v="Men's T-Shirts &amp; Polos"/>
    <x v="1"/>
    <x v="5"/>
    <s v="Off White"/>
    <s v="M"/>
    <n v="9.92"/>
    <n v="9.92"/>
    <s v="Regular Price"/>
    <s v="EUR"/>
    <n v="270"/>
    <s v="4.1"/>
    <s v="28.0"/>
    <m/>
    <m/>
    <s v="Yes"/>
    <d v="2023-01-29T00:00:00"/>
    <s v="https://img01.ztat.net/article/ZL100732.jpg"/>
    <n v="0"/>
    <s v="No Discount"/>
  </r>
  <r>
    <s v="ZL100733"/>
    <s v="https://www.zalando.de/fila-slim-fit-t-shirt---navy-zl100733/"/>
    <x v="39"/>
    <s v="Slim Fit T-SHIRT - NAVY"/>
    <s v="Men's T-Shirts &amp; Polos"/>
    <x v="1"/>
    <x v="1"/>
    <s v="Navy"/>
    <s v="XS"/>
    <n v="25.79"/>
    <n v="25.79"/>
    <s v="Regular Price"/>
    <s v="EUR"/>
    <n v="78"/>
    <s v="4.3"/>
    <s v="0"/>
    <m/>
    <m/>
    <s v="Yes"/>
    <d v="2023-01-29T00:00:00"/>
    <s v="https://img01.ztat.net/article/ZL100733.jpg"/>
    <n v="0"/>
    <s v="No Discount"/>
  </r>
  <r>
    <s v="ZL100734"/>
    <s v="https://www.zalando.de/denim-and-supply-regular-fit-polo---grey-melange-zl100734/"/>
    <x v="3"/>
    <s v="Regular Fit POLO - GREY MELANGE"/>
    <s v="Men's T-Shirts &amp; Polos"/>
    <x v="0"/>
    <x v="2"/>
    <s v="Grey Melange"/>
    <s v="XS"/>
    <n v="40.51"/>
    <n v="40.51"/>
    <s v="Regular Price"/>
    <s v="EUR"/>
    <n v="488"/>
    <s v="5.0"/>
    <s v="30.0"/>
    <m/>
    <m/>
    <s v="No"/>
    <d v="2023-01-29T00:00:00"/>
    <s v="https://img01.ztat.net/article/ZL100734.jpg"/>
    <n v="0"/>
    <s v="No Discount"/>
  </r>
  <r>
    <s v="ZL100735"/>
    <s v="https://www.zalando.de/element-essential-polo---khaki-zl100735/"/>
    <x v="52"/>
    <s v="Essential POLO - KHAKI"/>
    <s v="Men's T-Shirts &amp; Polos"/>
    <x v="0"/>
    <x v="0"/>
    <s v="Khaki"/>
    <s v="S"/>
    <n v="18.45"/>
    <n v="18.45"/>
    <s v="Regular Price"/>
    <s v="EUR"/>
    <n v="419"/>
    <s v="3.2"/>
    <s v="33.0"/>
    <m/>
    <m/>
    <s v="No"/>
    <d v="2023-01-29T00:00:00"/>
    <s v="https://img01.ztat.net/article/ZL100735.jpg"/>
    <n v="0"/>
    <s v="No Discount"/>
  </r>
  <r>
    <s v="ZL100736"/>
    <s v="https://www.zalando.de/nike-slim-fit-polo---dark-blue-zl100736/"/>
    <x v="25"/>
    <s v="Slim Fit POLO - DARK BLUE"/>
    <s v="Men's T-Shirts &amp; Polos"/>
    <x v="0"/>
    <x v="0"/>
    <s v="Dark Blue"/>
    <s v="S"/>
    <n v="18.68"/>
    <n v="18.68"/>
    <s v="Regular Price"/>
    <s v="EUR"/>
    <n v="43"/>
    <s v="3.9"/>
    <s v="0"/>
    <m/>
    <m/>
    <s v="Yes"/>
    <d v="2023-01-29T00:00:00"/>
    <s v="https://img01.ztat.net/article/ZL100736.jpg"/>
    <n v="0"/>
    <s v="No Discount"/>
  </r>
  <r>
    <s v="ZL100741"/>
    <s v="https://www.zalando.de/nike-regular-fit-polo---mint-zl100741/"/>
    <x v="25"/>
    <s v="Regular Fit POLO - MINT"/>
    <s v="Men's T-Shirts &amp; Polos"/>
    <x v="0"/>
    <x v="3"/>
    <s v="Mint"/>
    <s v="XS"/>
    <n v="8.99"/>
    <n v="8.99"/>
    <s v="Regular Price"/>
    <s v="EUR"/>
    <n v="100"/>
    <s v="4.3"/>
    <s v="0"/>
    <m/>
    <m/>
    <s v="Yes"/>
    <d v="2023-01-29T00:00:00"/>
    <s v="https://img01.ztat.net/article/ZL100741.jpg"/>
    <n v="0"/>
    <s v="No Discount"/>
  </r>
  <r>
    <s v="ZL100742"/>
    <s v="https://www.zalando.de/nike-slim-fit-polo---light-grey-zl100742/"/>
    <x v="25"/>
    <s v="Slim Fit POLO - LIGHT GREY"/>
    <s v="Men's T-Shirts &amp; Polos"/>
    <x v="0"/>
    <x v="0"/>
    <s v="Light Grey"/>
    <s v="M"/>
    <n v="24.33"/>
    <n v="24.33"/>
    <s v="Regular Price"/>
    <s v="EUR"/>
    <n v="474"/>
    <s v="4.4"/>
    <s v="30.0"/>
    <m/>
    <m/>
    <s v="Yes"/>
    <d v="2023-01-29T00:00:00"/>
    <s v="https://img01.ztat.net/article/ZL100742.jpg"/>
    <n v="0"/>
    <s v="No Discount"/>
  </r>
  <r>
    <s v="ZL100744"/>
    <s v="https://www.zalando.de/tom-tailor-denim-essential-t-shirt---beige-zl100744/"/>
    <x v="72"/>
    <s v="Essential T-SHIRT - BEIGE"/>
    <s v="Men's T-Shirts &amp; Polos"/>
    <x v="1"/>
    <x v="1"/>
    <s v="Beige"/>
    <s v="XS"/>
    <n v="9.75"/>
    <n v="9.75"/>
    <s v="NEW"/>
    <s v="EUR"/>
    <n v="192"/>
    <s v="4.6"/>
    <s v="30.0"/>
    <m/>
    <m/>
    <s v="No"/>
    <d v="2023-01-29T00:00:00"/>
    <s v="https://img01.ztat.net/article/ZL100744.jpg"/>
    <n v="0"/>
    <s v="No Discount"/>
  </r>
  <r>
    <s v="ZL100745"/>
    <s v="https://www.zalando.de/calvin-klein-essential-polo---dark-green-zl100745/"/>
    <x v="14"/>
    <s v="Essential POLO - DARK GREEN"/>
    <s v="Men's T-Shirts &amp; Polos"/>
    <x v="0"/>
    <x v="3"/>
    <s v="Dark Green"/>
    <s v="S"/>
    <n v="17.89"/>
    <n v="17.89"/>
    <s v="Regular Price"/>
    <s v="EUR"/>
    <n v="183"/>
    <s v="3.8"/>
    <s v="0"/>
    <m/>
    <m/>
    <s v="Yes"/>
    <d v="2023-01-29T00:00:00"/>
    <s v="https://img01.ztat.net/article/ZL100745.jpg"/>
    <n v="0"/>
    <s v="No Discount"/>
  </r>
  <r>
    <s v="ZL100746"/>
    <s v="https://www.zalando.de/french-connection-slim-fit-t-shirt---bordeaux-zl100746/"/>
    <x v="116"/>
    <s v="Slim Fit T-SHIRT - BORDEAUX"/>
    <s v="Men's T-Shirts &amp; Polos"/>
    <x v="1"/>
    <x v="1"/>
    <s v="Bordeaux"/>
    <s v="XS"/>
    <n v="27.14"/>
    <n v="27.14"/>
    <s v="Regular Price"/>
    <s v="EUR"/>
    <n v="925"/>
    <s v="0"/>
    <s v="37.0"/>
    <m/>
    <m/>
    <s v="Yes"/>
    <d v="2023-01-29T00:00:00"/>
    <s v="https://img01.ztat.net/article/ZL100746.jpg"/>
    <n v="0"/>
    <s v="No Discount"/>
  </r>
  <r>
    <s v="ZL100747"/>
    <s v="https://www.zalando.de/anthracite-print-polo---dark-green-zl100747/"/>
    <x v="59"/>
    <s v="Print POLO - DARK GREEN"/>
    <s v="Men's T-Shirts &amp; Polos"/>
    <x v="0"/>
    <x v="0"/>
    <s v="Dark Green"/>
    <s v="S"/>
    <n v="17.510000000000002"/>
    <n v="17.510000000000002"/>
    <s v="Regular Price"/>
    <s v="EUR"/>
    <n v="175"/>
    <s v="3.0"/>
    <s v="44.0"/>
    <m/>
    <m/>
    <s v="Yes"/>
    <d v="2023-01-29T00:00:00"/>
    <s v="https://img01.ztat.net/article/ZL100747.jpg"/>
    <n v="0"/>
    <s v="No Discount"/>
  </r>
  <r>
    <s v="ZL100748"/>
    <s v="https://www.zalando.de/adidas-performance-essential-t-shirt---navy-zl100748/"/>
    <x v="6"/>
    <s v="Essential T-SHIRT - NAVY"/>
    <s v="Men's T-Shirts &amp; Polos"/>
    <x v="1"/>
    <x v="5"/>
    <s v="Navy"/>
    <s v="XS"/>
    <n v="8.99"/>
    <n v="8.99"/>
    <s v="Regular Price"/>
    <s v="EUR"/>
    <n v="76"/>
    <s v="4.6"/>
    <s v="0"/>
    <m/>
    <m/>
    <s v="No"/>
    <d v="2023-01-29T00:00:00"/>
    <s v="https://img01.ztat.net/article/ZL100748.jpg"/>
    <n v="0"/>
    <s v="No Discount"/>
  </r>
  <r>
    <s v="ZL100749"/>
    <s v="https://www.zalando.de/anerkjendt-print-t-shirt---bordeaux-zl100749/"/>
    <x v="26"/>
    <s v="Print T-SHIRT - BORDEAUX"/>
    <s v="Men's T-Shirts &amp; Polos"/>
    <x v="1"/>
    <x v="4"/>
    <s v="Bordeaux"/>
    <s v="XS"/>
    <n v="13.76"/>
    <n v="13.76"/>
    <s v="Regular Price"/>
    <s v="EUR"/>
    <n v="561"/>
    <s v="5.0"/>
    <s v="29.0"/>
    <m/>
    <m/>
    <s v="No"/>
    <d v="2023-01-29T00:00:00"/>
    <s v="https://img01.ztat.net/article/ZL100749.jpg"/>
    <n v="0"/>
    <s v="No Discount"/>
  </r>
  <r>
    <s v="ZL100750"/>
    <s v="https://www.zalando.de/only-and-sons-denim-print-polo---royal-blue-zl100750/"/>
    <x v="61"/>
    <s v="Print POLO - ROYAL BLUE"/>
    <s v="Men's T-Shirts &amp; Polos"/>
    <x v="0"/>
    <x v="0"/>
    <s v="Royal Blue"/>
    <s v="XS"/>
    <n v="32.450000000000003"/>
    <n v="32.450000000000003"/>
    <s v="Regular Price"/>
    <s v="EUR"/>
    <n v="575"/>
    <s v="0"/>
    <s v="0"/>
    <m/>
    <m/>
    <s v="Yes"/>
    <d v="2023-01-29T00:00:00"/>
    <s v="https://img01.ztat.net/article/ZL100750.jpg"/>
    <n v="0"/>
    <s v="No Discount"/>
  </r>
  <r>
    <s v="ZL100751"/>
    <s v="https://www.zalando.de/puma-slim-fit-t-shirt---black-zl100751/"/>
    <x v="21"/>
    <s v="Slim Fit T-SHIRT - BLACK"/>
    <s v="Men's T-Shirts &amp; Polos"/>
    <x v="1"/>
    <x v="5"/>
    <s v="Black"/>
    <s v="S"/>
    <n v="17.920000000000002"/>
    <n v="17.920000000000002"/>
    <s v="Regular Price"/>
    <s v="EUR"/>
    <n v="337"/>
    <s v="4.3"/>
    <s v="35.0"/>
    <m/>
    <m/>
    <s v="Yes"/>
    <d v="2023-01-29T00:00:00"/>
    <s v="https://img01.ztat.net/article/ZL100751.jpg"/>
    <n v="0"/>
    <s v="No Discount"/>
  </r>
  <r>
    <s v="ZL100752"/>
    <s v="https://www.zalando.de/yourturn-slim-fit-t-shirt---dark-green-zl100752/"/>
    <x v="49"/>
    <s v="Slim Fit T-SHIRT - DARK GREEN"/>
    <s v="Men's T-Shirts &amp; Polos"/>
    <x v="1"/>
    <x v="6"/>
    <s v="Dark Green"/>
    <s v="XS"/>
    <n v="21.04"/>
    <n v="21.04"/>
    <s v="Regular Price"/>
    <s v="EUR"/>
    <n v="838"/>
    <s v="0"/>
    <s v="51.0"/>
    <m/>
    <m/>
    <s v="No"/>
    <d v="2023-01-29T00:00:00"/>
    <s v="https://img01.ztat.net/article/ZL100752.jpg"/>
    <n v="0"/>
    <s v="No Discount"/>
  </r>
  <r>
    <s v="ZL100753"/>
    <s v="https://www.zalando.de/name-it-print-polo---black-zl100753/"/>
    <x v="16"/>
    <s v="Print POLO - BLACK"/>
    <s v="Men's T-Shirts &amp; Polos"/>
    <x v="0"/>
    <x v="2"/>
    <s v="Black"/>
    <s v="S"/>
    <n v="18.88"/>
    <n v="18.88"/>
    <s v="Regular Price"/>
    <s v="EUR"/>
    <n v="245"/>
    <s v="3.6"/>
    <s v="26.0"/>
    <m/>
    <m/>
    <s v="No"/>
    <d v="2023-01-29T00:00:00"/>
    <s v="https://img01.ztat.net/article/ZL100753.jpg"/>
    <n v="0"/>
    <s v="No Discount"/>
  </r>
  <r>
    <s v="ZL100755"/>
    <s v="https://www.zalando.de/tommy-hilfiger-print-t-shirt---anthracite-zl100755/"/>
    <x v="8"/>
    <s v="Print T-SHIRT - ANTHRACITE"/>
    <s v="Men's T-Shirts &amp; Polos"/>
    <x v="1"/>
    <x v="1"/>
    <s v="Anthracite"/>
    <s v="M"/>
    <n v="11.12"/>
    <n v="11.12"/>
    <s v="Regular Price"/>
    <s v="EUR"/>
    <n v="340"/>
    <s v="3.7"/>
    <s v="33.0"/>
    <m/>
    <m/>
    <s v="No"/>
    <d v="2023-01-29T00:00:00"/>
    <s v="https://img01.ztat.net/article/ZL100755.jpg"/>
    <n v="0"/>
    <s v="No Discount"/>
  </r>
  <r>
    <s v="ZL100757"/>
    <s v="https://www.zalando.de/vintage-supply-print-polo---grey-melange-zl100757/"/>
    <x v="121"/>
    <s v="Print POLO - GREY MELANGE"/>
    <s v="Men's T-Shirts &amp; Polos"/>
    <x v="0"/>
    <x v="2"/>
    <m/>
    <s v="S"/>
    <n v="24.51"/>
    <n v="24.51"/>
    <s v="Regular Price"/>
    <s v="EUR"/>
    <n v="582"/>
    <s v="3.1"/>
    <s v="23.0"/>
    <m/>
    <m/>
    <s v="Yes"/>
    <d v="2023-01-29T00:00:00"/>
    <s v="https://img01.ztat.net/article/ZL100757.jpg"/>
    <n v="0"/>
    <s v="No Discount"/>
  </r>
  <r>
    <s v="ZL100759"/>
    <s v="https://www.zalando.de/gant-print-polo---beige-zl100759/"/>
    <x v="108"/>
    <s v="Print POLO - BEIGE"/>
    <s v="Men's T-Shirts &amp; Polos"/>
    <x v="0"/>
    <x v="3"/>
    <s v="Beige"/>
    <s v="S"/>
    <n v="9.76"/>
    <n v="9.76"/>
    <s v="Regular Price"/>
    <s v="EUR"/>
    <n v="73"/>
    <s v="4.7"/>
    <s v="34.0"/>
    <m/>
    <m/>
    <s v="Yes"/>
    <d v="2023-01-29T00:00:00"/>
    <s v="https://img01.ztat.net/article/ZL100759.jpg"/>
    <n v="0"/>
    <s v="No Discount"/>
  </r>
  <r>
    <s v="ZL100764"/>
    <s v="https://www.zalando.de/converse-basic-polo---royal-blue-zl100764/"/>
    <x v="54"/>
    <s v="Basic POLO - ROYAL BLUE"/>
    <s v="Men's T-Shirts &amp; Polos"/>
    <x v="0"/>
    <x v="2"/>
    <s v="Royal Blue"/>
    <s v="M"/>
    <n v="38.53"/>
    <n v="38.53"/>
    <s v="Regular Price"/>
    <s v="EUR"/>
    <n v="313"/>
    <s v="3.9"/>
    <s v="41.0"/>
    <m/>
    <m/>
    <s v="Yes"/>
    <d v="2023-01-29T00:00:00"/>
    <s v="https://img01.ztat.net/article/ZL100764.jpg"/>
    <n v="0"/>
    <s v="No Discount"/>
  </r>
  <r>
    <s v="ZL100765"/>
    <s v="https://www.zalando.de/nike-basic-t-shirt---dark-green-zl100765/"/>
    <x v="25"/>
    <s v="Basic T-SHIRT - DARK GREEN"/>
    <s v="Men's T-Shirts &amp; Polos"/>
    <x v="1"/>
    <x v="1"/>
    <s v="Dark Green"/>
    <s v="M"/>
    <n v="66.27"/>
    <n v="66.27"/>
    <s v="Regular Price"/>
    <s v="EUR"/>
    <n v="638"/>
    <s v="4.8"/>
    <s v="33.0"/>
    <m/>
    <m/>
    <s v="Yes"/>
    <d v="2023-01-29T00:00:00"/>
    <s v="https://img01.ztat.net/article/ZL100765.jpg"/>
    <n v="0"/>
    <s v="No Discount"/>
  </r>
  <r>
    <s v="ZL100766"/>
    <s v="https://www.zalando.de/cars-basic-t-shirt---bordeaux-zl100766/"/>
    <x v="30"/>
    <s v="Basic T-SHIRT - BORDEAUX"/>
    <s v="Men's T-Shirts &amp; Polos"/>
    <x v="1"/>
    <x v="4"/>
    <s v="Bordeaux"/>
    <s v="S"/>
    <n v="17.760000000000002"/>
    <n v="17.760000000000002"/>
    <s v="Regular Price"/>
    <s v="EUR"/>
    <n v="852"/>
    <s v="4.3"/>
    <s v="33.0"/>
    <m/>
    <m/>
    <s v="No"/>
    <d v="2023-01-29T00:00:00"/>
    <s v="https://img01.ztat.net/article/ZL100766.jpg"/>
    <n v="0"/>
    <s v="No Discount"/>
  </r>
  <r>
    <s v="ZL100767"/>
    <s v="https://www.zalando.de/hackett-london-slim-fit-polo---grey-melange-zl100767/"/>
    <x v="104"/>
    <s v="Slim Fit POLO - GREY MELANGE"/>
    <s v="Men's T-Shirts &amp; Polos"/>
    <x v="0"/>
    <x v="0"/>
    <s v="Grey Melange"/>
    <s v="S"/>
    <n v="17.809999999999999"/>
    <n v="17.809999999999999"/>
    <s v="Regular Price"/>
    <s v="EUR"/>
    <n v="167"/>
    <s v="N/A"/>
    <s v="30.0"/>
    <m/>
    <m/>
    <s v="Yes"/>
    <d v="2023-01-29T00:00:00"/>
    <s v="https://img01.ztat.net/article/ZL100767.jpg"/>
    <n v="0"/>
    <s v="No Discount"/>
  </r>
  <r>
    <s v="ZL100768"/>
    <s v="https://www.zalando.de/q/s-designed-by-slim-fit-polo---black-zl100768/"/>
    <x v="92"/>
    <s v="Slim Fit POLO - BLACK"/>
    <s v="Men's T-Shirts &amp; Polos"/>
    <x v="0"/>
    <x v="2"/>
    <s v="Black"/>
    <s v="XS"/>
    <n v="24.65"/>
    <n v="24.65"/>
    <s v="Regular Price"/>
    <s v="EUR"/>
    <n v="378"/>
    <s v="4.5"/>
    <s v="32.0"/>
    <m/>
    <m/>
    <s v="Yes"/>
    <d v="2023-01-29T00:00:00"/>
    <s v="https://img01.ztat.net/article/ZL100768.jpg"/>
    <n v="0"/>
    <s v="No Discount"/>
  </r>
  <r>
    <s v="ZL100771"/>
    <s v="https://www.zalando.de/anerkjendt-basic-t-shirt---dark-blue-zl100771/"/>
    <x v="26"/>
    <s v="Basic T-SHIRT - DARK BLUE"/>
    <s v="Men's T-Shirts &amp; Polos"/>
    <x v="1"/>
    <x v="1"/>
    <s v="Dark Blue"/>
    <s v="M"/>
    <n v="24.08"/>
    <n v="24.08"/>
    <s v="Regular Price"/>
    <s v="EUR"/>
    <n v="198"/>
    <s v="3.0"/>
    <s v="0"/>
    <m/>
    <m/>
    <s v="Yes"/>
    <d v="2023-01-29T00:00:00"/>
    <s v="https://img01.ztat.net/article/ZL100771.jpg"/>
    <n v="0"/>
    <s v="No Discount"/>
  </r>
  <r>
    <s v="ZL100772"/>
    <s v="https://www.zalando.de/puma-basic-polo---mint-zl100772/"/>
    <x v="21"/>
    <s v="Basic POLO - MINT"/>
    <s v="Men's T-Shirts &amp; Polos"/>
    <x v="0"/>
    <x v="3"/>
    <s v="Mint"/>
    <s v="XS"/>
    <n v="22.27"/>
    <n v="22.27"/>
    <s v="Regular Price"/>
    <s v="EUR"/>
    <n v="423"/>
    <s v="4.2"/>
    <s v="34.0"/>
    <m/>
    <m/>
    <s v="Yes"/>
    <d v="2023-01-29T00:00:00"/>
    <s v="https://img01.ztat.net/article/ZL100772.jpg"/>
    <n v="0"/>
    <s v="No Discount"/>
  </r>
  <r>
    <s v="ZL100774"/>
    <s v="https://www.zalando.de/pullandbear-essential-t-shirt---off-white-zl100774/"/>
    <x v="88"/>
    <s v="Essential T-SHIRT - OFF WHITE"/>
    <s v="Men's T-Shirts &amp; Polos"/>
    <x v="1"/>
    <x v="6"/>
    <s v="Off White"/>
    <s v="XS"/>
    <n v="8.99"/>
    <n v="8.99"/>
    <s v="Regular Price"/>
    <s v="EUR"/>
    <n v="104"/>
    <s v="3.9"/>
    <s v="39.0"/>
    <m/>
    <m/>
    <s v="No"/>
    <d v="2023-01-29T00:00:00"/>
    <s v="https://img01.ztat.net/article/ZL100774.jpg"/>
    <n v="0"/>
    <s v="No Discount"/>
  </r>
  <r>
    <s v="ZL100777"/>
    <s v="https://www.zalando.de/tommy-hilfiger-essential-t-shirt---denim-blue-zl100777/"/>
    <x v="8"/>
    <s v="Essential T-SHIRT - DENIM BLUE"/>
    <s v="Men's T-Shirts &amp; Polos"/>
    <x v="1"/>
    <x v="4"/>
    <s v="Denim Blue"/>
    <s v="S"/>
    <n v="8.99"/>
    <n v="8.99"/>
    <s v="Regular Price"/>
    <s v="EUR"/>
    <n v="489"/>
    <s v="4.7"/>
    <s v="33.0"/>
    <m/>
    <m/>
    <s v="Yes"/>
    <d v="2023-01-29T00:00:00"/>
    <s v="https://img01.ztat.net/article/ZL100777.jpg"/>
    <n v="0"/>
    <s v="No Discount"/>
  </r>
  <r>
    <s v="ZL100778"/>
    <s v="https://www.zalando.de/nike-essential-t-shirt---khaki-zl100778/"/>
    <x v="25"/>
    <s v="Essential T-Shirt - Khaki"/>
    <s v="Men's T-Shirts &amp; Polos"/>
    <x v="1"/>
    <x v="6"/>
    <s v="Khaki"/>
    <s v="XS"/>
    <n v="10.78"/>
    <n v="10.78"/>
    <s v="Regular Price"/>
    <s v="EUR"/>
    <n v="81"/>
    <s v="4.7"/>
    <s v="38.0"/>
    <m/>
    <m/>
    <s v="No"/>
    <d v="2023-01-29T00:00:00"/>
    <s v="https://img01.ztat.net/article/ZL100778.jpg"/>
    <n v="0"/>
    <s v="No Discount"/>
  </r>
  <r>
    <s v="ZL100779"/>
    <s v="https://www.zalando.de/fila-print-polo---black-zl100779/"/>
    <x v="39"/>
    <s v="Print POLO - BLACK"/>
    <s v="Men's T-Shirts &amp; Polos"/>
    <x v="0"/>
    <x v="0"/>
    <s v="Black"/>
    <s v="S"/>
    <n v="22.63"/>
    <n v="22.63"/>
    <s v="Regular Price"/>
    <s v="EUR"/>
    <n v="563"/>
    <s v="4.0"/>
    <s v="29.0"/>
    <m/>
    <m/>
    <s v="Yes"/>
    <d v="2023-01-29T00:00:00"/>
    <s v="https://img01.ztat.net/article/ZL100779.jpg"/>
    <n v="0"/>
    <s v="No Discount"/>
  </r>
  <r>
    <s v="ZL100780"/>
    <s v="https://www.zalando.de/jack-jones-junior-essential-polo---beige-zl100780/"/>
    <x v="34"/>
    <s v="Essential POLO - BEIGE"/>
    <s v="Men's T-Shirts &amp; Polos"/>
    <x v="0"/>
    <x v="2"/>
    <s v="Beige"/>
    <s v="XS"/>
    <n v="19.43"/>
    <n v="19.43"/>
    <s v="Regular Price"/>
    <s v="EUR"/>
    <n v="729"/>
    <s v="3.7"/>
    <s v="35.0"/>
    <m/>
    <m/>
    <s v="Yes"/>
    <d v="2023-01-29T00:00:00"/>
    <s v="https://img01.ztat.net/article/ZL100780.jpg"/>
    <n v="0"/>
    <s v="No Discount"/>
  </r>
  <r>
    <s v="ZL100783"/>
    <s v="https://www.zalando.de/fila-print-polo---rust-zl100783/"/>
    <x v="39"/>
    <s v="Print POLO - RUST"/>
    <s v="Men's T-Shirts &amp; Polos"/>
    <x v="0"/>
    <x v="2"/>
    <s v="Rust"/>
    <s v="XS"/>
    <n v="8.99"/>
    <n v="8.99"/>
    <s v="Regular Price"/>
    <s v="EUR"/>
    <n v="102"/>
    <s v="4.2"/>
    <s v="35.0"/>
    <m/>
    <m/>
    <s v="Yes"/>
    <d v="2023-01-29T00:00:00"/>
    <s v="https://img01.ztat.net/article/ZL100783.jpg"/>
    <n v="0"/>
    <s v="No Discount"/>
  </r>
  <r>
    <s v="ZL100784"/>
    <s v="https://www.zalando.de/produkt-print-t-shirt---rust-zl100784/"/>
    <x v="0"/>
    <s v="Print T-SHIRT - RUST"/>
    <s v="Men's T-Shirts &amp; Polos"/>
    <x v="1"/>
    <x v="5"/>
    <s v="Rust"/>
    <s v="M"/>
    <n v="26.82"/>
    <n v="26.82"/>
    <s v="Regular Price"/>
    <s v="EUR"/>
    <n v="635"/>
    <s v="3.9"/>
    <s v="32.0"/>
    <m/>
    <m/>
    <s v="Yes"/>
    <d v="2023-01-29T00:00:00"/>
    <s v="https://img01.ztat.net/article/ZL100784.jpg"/>
    <n v="0"/>
    <s v="No Discount"/>
  </r>
  <r>
    <s v="ZL100788"/>
    <s v="https://www.zalando.de/mazine-slim-fit-t-shirt---beige-zl100788/"/>
    <x v="51"/>
    <s v="Slim Fit T-SHIRT - BEIGE"/>
    <s v="Men's T-Shirts &amp; Polos"/>
    <x v="1"/>
    <x v="6"/>
    <s v="Beige"/>
    <s v="XS"/>
    <n v="13.86"/>
    <n v="13.86"/>
    <s v="Regular Price"/>
    <s v="EUR"/>
    <n v="560"/>
    <s v="0"/>
    <s v="34.0"/>
    <m/>
    <m/>
    <s v="Yes"/>
    <d v="2023-01-29T00:00:00"/>
    <s v="https://img01.ztat.net/article/ZL100788.jpg"/>
    <n v="0"/>
    <s v="No Discount"/>
  </r>
  <r>
    <s v="ZL100790"/>
    <s v="https://www.zalando.de/knowledge-cotton-apparel-slim-fit-polo---dark-blue-zl100790/"/>
    <x v="122"/>
    <s v="Slim Fit Polo - Dark Blue"/>
    <s v="Men's T-Shirts &amp; Polos"/>
    <x v="0"/>
    <x v="0"/>
    <s v="Dark Blue"/>
    <s v="XS"/>
    <n v="13.68"/>
    <n v="13.68"/>
    <s v="Regular Price"/>
    <s v="EUR"/>
    <n v="881"/>
    <s v="4.9"/>
    <s v="39.0"/>
    <m/>
    <m/>
    <s v="Yes"/>
    <d v="2023-01-29T00:00:00"/>
    <s v="https://img01.ztat.net/article/ZL100790.jpg"/>
    <n v="0"/>
    <s v="No Discount"/>
  </r>
  <r>
    <s v="ZL100792"/>
    <s v="https://www.zalando.de/river-island-basic-polo---khaki-zl100792/"/>
    <x v="117"/>
    <s v="Basic POLO - KHAKI"/>
    <s v="Men's T-Shirts &amp; Polos"/>
    <x v="0"/>
    <x v="0"/>
    <s v="Khaki"/>
    <s v="XS"/>
    <n v="62.29"/>
    <n v="62.29"/>
    <s v="Regular Price"/>
    <s v="EUR"/>
    <n v="974"/>
    <s v="4.2"/>
    <s v="29.0"/>
    <m/>
    <m/>
    <s v="Yes"/>
    <d v="2023-01-29T00:00:00"/>
    <s v="https://img01.ztat.net/article/ZL100792.jpg"/>
    <n v="0"/>
    <s v="No Discount"/>
  </r>
  <r>
    <s v="ZL100793"/>
    <s v="https://www.zalando.de/hackett-london-essential-t-shirt---olive-zl100793/"/>
    <x v="104"/>
    <s v="Essential T-SHIRT - OLIVE"/>
    <s v="Men's T-Shirts &amp; Polos"/>
    <x v="1"/>
    <x v="4"/>
    <s v="Olive"/>
    <s v="XS"/>
    <n v="12.98"/>
    <n v="12.98"/>
    <s v="Regular Price"/>
    <s v="EUR"/>
    <n v="480"/>
    <s v="3.5"/>
    <s v="39.0"/>
    <m/>
    <m/>
    <s v="No"/>
    <d v="2023-01-29T00:00:00"/>
    <s v="https://img01.ztat.net/article/ZL100793.jpg"/>
    <n v="0"/>
    <s v="No Discount"/>
  </r>
  <r>
    <s v="ZL100795"/>
    <s v="https://www.zalando.de/tommy-hilfiger-essential-t-shirt---anthracite-zl100795/"/>
    <x v="8"/>
    <s v="Essential T-SHIRT - ANTHRACITE"/>
    <s v="Men's T-Shirts &amp; Polos"/>
    <x v="1"/>
    <x v="6"/>
    <s v="Anthracite"/>
    <s v="XS"/>
    <n v="16.22"/>
    <n v="16.22"/>
    <s v="NEW"/>
    <s v="EUR"/>
    <n v="521"/>
    <s v="3.2"/>
    <s v="32.0"/>
    <m/>
    <m/>
    <s v="Yes"/>
    <d v="2023-01-29T00:00:00"/>
    <s v="https://img01.ztat.net/article/ZL100795.jpg"/>
    <n v="0"/>
    <s v="No Discount"/>
  </r>
  <r>
    <s v="ZL100796"/>
    <s v="https://www.zalando.de/calvin-klein-basic-polo---khaki-zl100796/"/>
    <x v="14"/>
    <s v="Basic POLO - KHAKI"/>
    <s v="Men's T-Shirts &amp; Polos"/>
    <x v="0"/>
    <x v="2"/>
    <s v="Khaki"/>
    <s v="XS"/>
    <n v="28.49"/>
    <n v="28.49"/>
    <s v="Regular Price"/>
    <s v="EUR"/>
    <n v="857"/>
    <s v="5.0"/>
    <s v="33.0"/>
    <m/>
    <m/>
    <s v="Yes"/>
    <d v="2023-01-29T00:00:00"/>
    <s v="https://img01.ztat.net/article/ZL100796.jpg"/>
    <n v="0"/>
    <s v="No Discount"/>
  </r>
  <r>
    <s v="ZL100797"/>
    <s v="https://www.zalando.de/hummel-regular-fit-polo---dark-blue-zl100797/"/>
    <x v="76"/>
    <s v="Regular Fit POLO - DARK BLUE"/>
    <s v="Men's T-Shirts &amp; Polos"/>
    <x v="0"/>
    <x v="3"/>
    <s v="Dark Blue"/>
    <s v="S"/>
    <n v="8.99"/>
    <n v="8.99"/>
    <s v="Regular Price"/>
    <s v="EUR"/>
    <n v="767"/>
    <s v="0"/>
    <s v="38.0"/>
    <m/>
    <m/>
    <s v="Yes"/>
    <d v="2023-01-29T00:00:00"/>
    <s v="https://img01.ztat.net/article/ZL100797.jpg"/>
    <n v="0"/>
    <s v="No Discount"/>
  </r>
  <r>
    <s v="ZL100798"/>
    <s v="https://www.zalando.de/adidas-performance-print-t-shirt---beige-zl100798/"/>
    <x v="6"/>
    <s v="Print T-SHIRT - BEIGE"/>
    <s v="Men's T-Shirts &amp; Polos"/>
    <x v="1"/>
    <x v="4"/>
    <m/>
    <s v="S"/>
    <n v="20.09"/>
    <n v="20.09"/>
    <s v="Regular Price"/>
    <s v="EUR"/>
    <n v="162"/>
    <s v="3.5"/>
    <s v="31.0"/>
    <m/>
    <m/>
    <s v="No"/>
    <d v="2023-01-29T00:00:00"/>
    <s v="https://img01.ztat.net/article/ZL100798.jpg"/>
    <n v="0"/>
    <s v="No Discount"/>
  </r>
  <r>
    <s v="ZL100800"/>
    <s v="https://www.zalando.de/patagonia-regular-fit-t-shirt---white-zl100800/"/>
    <x v="81"/>
    <s v="Regular Fit T-SHIRT - WHITE"/>
    <s v="Men's T-Shirts &amp; Polos"/>
    <x v="1"/>
    <x v="6"/>
    <s v="White"/>
    <s v="XS"/>
    <n v="21.21"/>
    <n v="21.21"/>
    <s v="Regular Price"/>
    <s v="EUR"/>
    <n v="32"/>
    <s v="0"/>
    <s v="0"/>
    <m/>
    <m/>
    <s v="Yes"/>
    <d v="2023-01-29T00:00:00"/>
    <s v="https://img01.ztat.net/article/ZL100800.jpg"/>
    <n v="0"/>
    <s v="No Discount"/>
  </r>
  <r>
    <s v="ZL100802"/>
    <s v="https://www.zalando.de/seidensticker-print-polo---mint-zl100802/"/>
    <x v="41"/>
    <s v="Print POLO - MINT"/>
    <s v="Men's T-Shirts &amp; Polos"/>
    <x v="0"/>
    <x v="0"/>
    <s v="Mint"/>
    <s v="M"/>
    <n v="8.99"/>
    <n v="8.99"/>
    <s v="Regular Price"/>
    <s v="EUR"/>
    <n v="799"/>
    <s v="3.3"/>
    <s v="40.0"/>
    <m/>
    <m/>
    <s v="Yes"/>
    <d v="2023-01-29T00:00:00"/>
    <s v="https://img01.ztat.net/article/ZL100802.jpg"/>
    <n v="0"/>
    <s v="No Discount"/>
  </r>
  <r>
    <s v="ZL100803"/>
    <s v="https://www.zalando.de/only-and-sons-denim-print-t-shirt---denim-blue-zl100803/"/>
    <x v="61"/>
    <s v="Print T-SHIRT - DENIM BLUE"/>
    <s v="Men's T-Shirts &amp; Polos"/>
    <x v="1"/>
    <x v="5"/>
    <s v="Denim Blue"/>
    <s v="M"/>
    <n v="25.63"/>
    <n v="25.63"/>
    <s v="Regular Price"/>
    <s v="EUR"/>
    <n v="571"/>
    <s v="3.1"/>
    <s v="0"/>
    <m/>
    <m/>
    <s v="No"/>
    <d v="2023-01-29T00:00:00"/>
    <s v="https://img01.ztat.net/article/ZL100803.jpg"/>
    <n v="0"/>
    <s v="No Discount"/>
  </r>
  <r>
    <s v="ZL100804"/>
    <s v="https://www.zalando.de/solid-homme-basic-polo---bordeaux-zl100804/"/>
    <x v="134"/>
    <s v="Basic POLO - BORDEAUX"/>
    <s v="Men's T-Shirts &amp; Polos"/>
    <x v="0"/>
    <x v="0"/>
    <s v="Bordeaux"/>
    <s v="XS"/>
    <n v="19.079999999999998"/>
    <n v="19.079999999999998"/>
    <s v="Regular Price"/>
    <s v="EUR"/>
    <n v="272"/>
    <s v="4.2"/>
    <s v="31.0"/>
    <m/>
    <m/>
    <s v="No"/>
    <d v="2023-01-29T00:00:00"/>
    <s v="https://img01.ztat.net/article/ZL100804.jpg"/>
    <n v="0"/>
    <s v="No Discount"/>
  </r>
  <r>
    <s v="ZL100806"/>
    <s v="https://www.zalando.de/ea7-emporio-armani-basic-polo---anthracite-zl100806/"/>
    <x v="109"/>
    <s v="Basic POLO - ANTHRACITE"/>
    <s v="Men's T-Shirts &amp; Polos"/>
    <x v="0"/>
    <x v="3"/>
    <s v="Anthracite"/>
    <s v="M"/>
    <n v="11.01"/>
    <n v="11.01"/>
    <s v="Regular Price"/>
    <s v="EUR"/>
    <n v="913"/>
    <s v="4.9"/>
    <s v="33.0"/>
    <m/>
    <m/>
    <s v="Yes"/>
    <d v="2023-01-29T00:00:00"/>
    <s v="https://img01.ztat.net/article/ZL100806.jpg"/>
    <n v="0"/>
    <s v="No Discount"/>
  </r>
  <r>
    <s v="ZL100808"/>
    <s v="https://www.zalando.de/tom-tailor-denim-essential-polo---dark-green-zl100808/"/>
    <x v="72"/>
    <s v="Essential POLO - DARK GREEN"/>
    <s v="Men's T-Shirts &amp; Polos"/>
    <x v="0"/>
    <x v="3"/>
    <s v="Dark Green"/>
    <s v="S"/>
    <n v="23.93"/>
    <n v="23.93"/>
    <s v="Regular Price"/>
    <s v="EUR"/>
    <n v="213"/>
    <s v="3.4"/>
    <s v="0"/>
    <m/>
    <m/>
    <s v="No"/>
    <d v="2023-01-29T00:00:00"/>
    <s v="https://img01.ztat.net/article/ZL100808.jpg"/>
    <n v="0"/>
    <s v="No Discount"/>
  </r>
  <r>
    <s v="ZL100809"/>
    <s v="https://www.zalando.de/urban-classics-print-t-shirt---bordeaux-zl100809/"/>
    <x v="36"/>
    <s v="Print T-SHIRT - BORDEAUX"/>
    <s v="Men's T-Shirts &amp; Polos"/>
    <x v="1"/>
    <x v="4"/>
    <s v="Bordeaux"/>
    <s v="XS"/>
    <n v="25.41"/>
    <n v="25.41"/>
    <s v="Regular Price"/>
    <s v="EUR"/>
    <n v="22"/>
    <s v="4.6"/>
    <s v="42.0"/>
    <m/>
    <m/>
    <s v="Yes"/>
    <d v="2023-01-29T00:00:00"/>
    <s v="https://img01.ztat.net/article/ZL100809.jpg"/>
    <n v="0"/>
    <s v="No Discount"/>
  </r>
  <r>
    <s v="ZL100810"/>
    <s v="https://www.zalando.de/under-armour-training-regular-fit-t-shirt---grey-melange-zl100810/"/>
    <x v="123"/>
    <s v="Regular Fit T-SHIRT - GREY MELANGE"/>
    <s v="Men's T-Shirts &amp; Polos"/>
    <x v="1"/>
    <x v="1"/>
    <s v="Grey Melange"/>
    <s v="XS"/>
    <n v="9.65"/>
    <n v="9.65"/>
    <s v="Regular Price"/>
    <s v="EUR"/>
    <n v="504"/>
    <s v="4.9"/>
    <s v="22.0"/>
    <m/>
    <m/>
    <s v="Yes"/>
    <d v="2023-01-29T00:00:00"/>
    <s v="https://img01.ztat.net/article/ZL100810.jpg"/>
    <n v="0"/>
    <s v="No Discount"/>
  </r>
  <r>
    <s v="ZL100811"/>
    <s v="https://www.zalando.de/polo-ralph-lauren-regular-fit-t-shirt---dark-green-zl100811/"/>
    <x v="20"/>
    <s v="Regular Fit T-SHIRT - DARK GREEN"/>
    <s v="Men's T-Shirts &amp; Polos"/>
    <x v="1"/>
    <x v="4"/>
    <s v="Dark Green"/>
    <s v="XS"/>
    <n v="11.62"/>
    <n v="11.62"/>
    <s v="Regular Price"/>
    <s v="EUR"/>
    <n v="528"/>
    <s v="0"/>
    <s v="36.0"/>
    <m/>
    <m/>
    <s v="Yes"/>
    <d v="2023-01-29T00:00:00"/>
    <s v="https://img01.ztat.net/article/ZL100811.jpg"/>
    <n v="0"/>
    <s v="No Discount"/>
  </r>
  <r>
    <s v="ZL100812"/>
    <s v="https://www.zalando.de/lacoste-essential-polo---navy-zl100812/"/>
    <x v="4"/>
    <s v="Essential POLO - NAVY"/>
    <s v="Men's T-Shirts &amp; Polos"/>
    <x v="0"/>
    <x v="3"/>
    <s v="Navy"/>
    <s v="S"/>
    <n v="15.11"/>
    <n v="15.11"/>
    <s v="Regular Price"/>
    <s v="EUR"/>
    <n v="551"/>
    <s v="4.3"/>
    <s v="21.0"/>
    <m/>
    <m/>
    <s v="Yes"/>
    <d v="2023-01-29T00:00:00"/>
    <s v="https://img01.ztat.net/article/ZL100812.jpg"/>
    <n v="0"/>
    <s v="No Discount"/>
  </r>
  <r>
    <s v="ZL100815"/>
    <s v="https://www.zalando.de/tommy-hilfiger-slim-fit-t-shirt---navy-zl100815/"/>
    <x v="8"/>
    <s v="Slim Fit T-SHIRT - NAVY"/>
    <s v="Men's T-Shirts &amp; Polos"/>
    <x v="1"/>
    <x v="5"/>
    <s v="Navy"/>
    <s v="M"/>
    <n v="9.31"/>
    <n v="9.31"/>
    <s v="Regular Price"/>
    <s v="EUR"/>
    <n v="379"/>
    <s v="3.1"/>
    <s v="38.0"/>
    <m/>
    <m/>
    <s v="Yes"/>
    <d v="2023-01-29T00:00:00"/>
    <s v="https://img01.ztat.net/article/ZL100815.jpg"/>
    <n v="0"/>
    <s v="No Discount"/>
  </r>
  <r>
    <s v="ZL100817"/>
    <s v="https://www.zalando.de/anerkjendt-regular-fit-polo---white-zl100817/"/>
    <x v="26"/>
    <s v="Regular Fit POLO - WHITE"/>
    <s v="Men's T-Shirts &amp; Polos"/>
    <x v="0"/>
    <x v="0"/>
    <m/>
    <s v="XS"/>
    <n v="8.99"/>
    <n v="8.99"/>
    <s v="Regular Price"/>
    <s v="EUR"/>
    <n v="382"/>
    <s v="4.3"/>
    <s v="37.0"/>
    <m/>
    <m/>
    <s v="No"/>
    <d v="2023-01-29T00:00:00"/>
    <s v="https://img01.ztat.net/article/ZL100817.jpg"/>
    <n v="0"/>
    <s v="No Discount"/>
  </r>
  <r>
    <s v="ZL100818"/>
    <s v="https://www.zalando.de/tommy-hilfiger-basic-polo---off-white-zl100818/"/>
    <x v="8"/>
    <s v="Basic POLO - OFF WHITE"/>
    <s v="Men's T-Shirts &amp; Polos"/>
    <x v="0"/>
    <x v="2"/>
    <s v="Off White"/>
    <s v="S"/>
    <n v="23.22"/>
    <n v="23.22"/>
    <s v="Regular Price"/>
    <s v="EUR"/>
    <n v="185"/>
    <s v="0"/>
    <s v="24.0"/>
    <m/>
    <m/>
    <s v="No"/>
    <d v="2023-01-29T00:00:00"/>
    <s v="https://img01.ztat.net/article/ZL100818.jpg"/>
    <n v="0"/>
    <s v="No Discount"/>
  </r>
  <r>
    <s v="ZL100819"/>
    <s v="https://www.zalando.de/produkt-slim-fit-polo---anthracite-zl100819/"/>
    <x v="0"/>
    <s v="Slim Fit POLO - ANTHRACITE"/>
    <s v="Men's T-Shirts &amp; Polos"/>
    <x v="0"/>
    <x v="3"/>
    <s v="Anthracite"/>
    <s v="M"/>
    <n v="39.31"/>
    <n v="39.31"/>
    <s v="Regular Price"/>
    <s v="EUR"/>
    <n v="206"/>
    <s v="3.5"/>
    <s v="34.0"/>
    <m/>
    <m/>
    <s v="Yes"/>
    <d v="2023-01-29T00:00:00"/>
    <s v="https://img01.ztat.net/article/ZL100819.jpg"/>
    <n v="0"/>
    <s v="No Discount"/>
  </r>
  <r>
    <s v="ZL100822"/>
    <s v="https://www.zalando.de/tommy-hilfiger-slim-fit-t-shirt---rust-zl100822/"/>
    <x v="8"/>
    <s v="Slim Fit T-SHIRT - RUST"/>
    <s v="Men's T-Shirts &amp; Polos"/>
    <x v="1"/>
    <x v="4"/>
    <s v="Rust"/>
    <s v="XS"/>
    <n v="11.35"/>
    <n v="11.35"/>
    <s v="Regular Price"/>
    <s v="EUR"/>
    <n v="537"/>
    <s v="3.8"/>
    <s v="26.0"/>
    <m/>
    <m/>
    <s v="Yes"/>
    <d v="2023-01-29T00:00:00"/>
    <s v="https://img01.ztat.net/article/ZL100822.jpg"/>
    <n v="0"/>
    <s v="No Discount"/>
  </r>
  <r>
    <s v="ZL100825"/>
    <s v="https://www.zalando.de/adidas-performance-basic-polo---grey-melange-zl100825/"/>
    <x v="6"/>
    <s v="Basic POLO - GREY MELANGE"/>
    <s v="Men's T-Shirts &amp; Polos"/>
    <x v="0"/>
    <x v="3"/>
    <s v="Grey Melange"/>
    <s v="S"/>
    <n v="8.99"/>
    <n v="8.99"/>
    <s v="Regular Price"/>
    <s v="EUR"/>
    <n v="306"/>
    <s v="4.2"/>
    <s v="32.0"/>
    <m/>
    <m/>
    <s v="No"/>
    <d v="2023-01-29T00:00:00"/>
    <s v="https://img01.ztat.net/article/ZL100825.jpg"/>
    <n v="0"/>
    <s v="No Discount"/>
  </r>
  <r>
    <s v="ZL100826"/>
    <s v="https://www.zalando.de/nike-print-t-shirt---dark-green-zl100826/"/>
    <x v="25"/>
    <s v="Print T-SHIRT - DARK GREEN"/>
    <s v="Men's T-Shirts &amp; Polos"/>
    <x v="1"/>
    <x v="4"/>
    <s v="Dark Green"/>
    <s v="XS"/>
    <n v="22.91"/>
    <n v="22.91"/>
    <s v="Regular Price"/>
    <s v="EUR"/>
    <n v="826"/>
    <s v="3.5"/>
    <s v="37.0"/>
    <m/>
    <m/>
    <s v="Yes"/>
    <d v="2023-01-29T00:00:00"/>
    <s v="https://img01.ztat.net/article/ZL100826.jpg"/>
    <n v="0"/>
    <s v="No Discount"/>
  </r>
  <r>
    <s v="ZL100828"/>
    <s v="https://www.zalando.de/odlo-regular-fit-t-shirt---off-white-zl100828/"/>
    <x v="27"/>
    <s v="Regular Fit T-SHIRT - OFF WHITE"/>
    <s v="Men's T-Shirts &amp; Polos"/>
    <x v="1"/>
    <x v="5"/>
    <s v="Off White"/>
    <s v="XS"/>
    <n v="25.79"/>
    <n v="25.79"/>
    <s v="Regular Price"/>
    <s v="EUR"/>
    <n v="169"/>
    <s v="4.7"/>
    <s v="37.0"/>
    <m/>
    <m/>
    <s v="Yes"/>
    <d v="2023-01-29T00:00:00"/>
    <s v="https://img01.ztat.net/article/ZL100828.jpg"/>
    <n v="0"/>
    <s v="No Discount"/>
  </r>
  <r>
    <s v="ZL100829"/>
    <s v="https://www.zalando.de/nike-slim-fit-t-shirt---white-zl100829/"/>
    <x v="25"/>
    <s v="Slim Fit T-SHIRT - WHITE"/>
    <s v="Men's T-Shirts &amp; Polos"/>
    <x v="1"/>
    <x v="4"/>
    <s v="White"/>
    <s v="XS"/>
    <n v="34.31"/>
    <n v="34.31"/>
    <s v="Regular Price"/>
    <s v="EUR"/>
    <n v="751"/>
    <s v="3.9"/>
    <s v="28.0"/>
    <m/>
    <m/>
    <s v="Yes"/>
    <d v="2023-01-29T00:00:00"/>
    <s v="https://img01.ztat.net/article/ZL100829.jpg"/>
    <n v="0"/>
    <s v="No Discount"/>
  </r>
  <r>
    <s v="ZL100831"/>
    <s v="https://www.zalando.de/replay-essential-polo---off-white-zl100831/"/>
    <x v="43"/>
    <s v="Essential POLO - OFF WHITE"/>
    <s v="Men's T-Shirts &amp; Polos"/>
    <x v="0"/>
    <x v="3"/>
    <s v="Off White"/>
    <s v="S"/>
    <n v="29.67"/>
    <n v="29.67"/>
    <s v="Regular Price"/>
    <s v="EUR"/>
    <n v="511"/>
    <s v="0"/>
    <s v="35.0"/>
    <m/>
    <m/>
    <s v="Yes"/>
    <d v="2023-01-29T00:00:00"/>
    <s v="https://img01.ztat.net/article/ZL100831.jpg"/>
    <n v="0"/>
    <s v="No Discount"/>
  </r>
  <r>
    <s v="ZL100832"/>
    <s v="https://www.zalando.de/bruuns-bazaar-slim-fit-polo---olive-zl100832/"/>
    <x v="100"/>
    <s v="Slim Fit POLO - OLIVE"/>
    <s v="Men's T-Shirts &amp; Polos"/>
    <x v="0"/>
    <x v="2"/>
    <s v="Olive"/>
    <s v="S"/>
    <n v="12.12"/>
    <n v="12.12"/>
    <s v="Regular Price"/>
    <s v="EUR"/>
    <n v="38"/>
    <s v="4.1"/>
    <s v="33.0"/>
    <m/>
    <m/>
    <s v="No"/>
    <d v="2023-01-29T00:00:00"/>
    <s v="https://img01.ztat.net/article/ZL100832.jpg"/>
    <n v="0"/>
    <s v="No Discount"/>
  </r>
  <r>
    <s v="ZL100833"/>
    <s v="https://www.zalando.de/anti-fashion-essential-polo---red-zl100833/"/>
    <x v="106"/>
    <s v="Essential POLO - RED"/>
    <s v="Men's T-Shirts &amp; Polos"/>
    <x v="0"/>
    <x v="0"/>
    <s v="Red"/>
    <s v="S"/>
    <n v="12.93"/>
    <n v="12.93"/>
    <s v="Regular Price"/>
    <s v="EUR"/>
    <n v="815"/>
    <s v="4.0"/>
    <s v="34.0"/>
    <m/>
    <m/>
    <s v="Yes"/>
    <d v="2023-01-29T00:00:00"/>
    <s v="https://img01.ztat.net/article/ZL100833.jpg"/>
    <n v="0"/>
    <s v="No Discount"/>
  </r>
  <r>
    <s v="ZL100835"/>
    <s v="https://www.zalando.de/burton-slim-fit-polo---olive-zl100835/"/>
    <x v="58"/>
    <s v="Slim Fit POLO - OLIVE"/>
    <s v="Men's T-Shirts &amp; Polos"/>
    <x v="0"/>
    <x v="0"/>
    <s v="Olive"/>
    <s v="S"/>
    <n v="30.75"/>
    <n v="30.75"/>
    <s v="Regular Price"/>
    <s v="EUR"/>
    <n v="691"/>
    <s v="3.7"/>
    <s v="35.0"/>
    <m/>
    <m/>
    <s v="No"/>
    <d v="2023-01-29T00:00:00"/>
    <s v="https://img01.ztat.net/article/ZL100835.jpg"/>
    <n v="0"/>
    <s v="No Discount"/>
  </r>
  <r>
    <s v="ZL100839"/>
    <s v="https://www.zalando.de/minimum-regular-fit-t-shirt---bordeaux-zl100839/"/>
    <x v="111"/>
    <s v="Regular Fit T-SHIRT - BORDEAUX"/>
    <s v="Men's T-Shirts &amp; Polos"/>
    <x v="1"/>
    <x v="4"/>
    <s v="Bordeaux"/>
    <s v="XS"/>
    <n v="10.69"/>
    <n v="10.69"/>
    <s v="Regular Price"/>
    <s v="EUR"/>
    <n v="317"/>
    <s v="4.9"/>
    <s v="31.0"/>
    <m/>
    <m/>
    <s v="Yes"/>
    <d v="2023-01-29T00:00:00"/>
    <s v="https://img01.ztat.net/article/ZL100839.jpg"/>
    <n v="0"/>
    <s v="No Discount"/>
  </r>
  <r>
    <s v="ZL100841"/>
    <s v="https://www.zalando.de/anti-fashion-basic-polo---navy-zl100841/"/>
    <x v="106"/>
    <s v="Basic POLO - NAVY"/>
    <s v="Men's T-Shirts &amp; Polos"/>
    <x v="0"/>
    <x v="0"/>
    <s v="Navy"/>
    <s v="S"/>
    <n v="17.899999999999999"/>
    <n v="17.899999999999999"/>
    <s v="Regular Price"/>
    <s v="EUR"/>
    <n v="884"/>
    <s v="3.6"/>
    <s v="36.0"/>
    <m/>
    <m/>
    <s v="No"/>
    <d v="2023-01-29T00:00:00"/>
    <s v="https://img01.ztat.net/article/ZL100841.jpg"/>
    <n v="0"/>
    <s v="No Discount"/>
  </r>
  <r>
    <s v="ZL100842"/>
    <s v="https://www.zalando.de/jack-jones-junior-slim-fit-polo---mint-zl100842/"/>
    <x v="34"/>
    <s v="Slim Fit POLO - MINT"/>
    <s v="Men's T-Shirts &amp; Polos"/>
    <x v="0"/>
    <x v="2"/>
    <s v="Mint"/>
    <s v="M"/>
    <n v="29.61"/>
    <n v="29.61"/>
    <s v="Regular Price"/>
    <s v="EUR"/>
    <n v="391"/>
    <s v="3.7"/>
    <s v="34.0"/>
    <m/>
    <m/>
    <s v="Yes"/>
    <d v="2023-01-29T00:00:00"/>
    <s v="https://img01.ztat.net/article/ZL100842.jpg"/>
    <n v="0"/>
    <s v="No Discount"/>
  </r>
  <r>
    <s v="ZL100846"/>
    <s v="https://www.zalando.de/adidas-performance-essential-polo---khaki-zl100846/"/>
    <x v="6"/>
    <s v="Essential POLO - KHAKI"/>
    <s v="Men's T-Shirts &amp; Polos"/>
    <x v="0"/>
    <x v="2"/>
    <s v="Khaki"/>
    <s v="M"/>
    <n v="27.92"/>
    <n v="27.92"/>
    <s v="Regular Price"/>
    <s v="EUR"/>
    <n v="357"/>
    <s v="4.1"/>
    <s v="29.0"/>
    <m/>
    <m/>
    <s v="Yes"/>
    <d v="2023-01-29T00:00:00"/>
    <s v="https://img01.ztat.net/article/ZL100846.jpg"/>
    <n v="0"/>
    <s v="No Discount"/>
  </r>
  <r>
    <s v="ZL100847"/>
    <s v="https://www.zalando.de/denim-and-supply-slim-fit-polo---anthracite-zl100847/"/>
    <x v="3"/>
    <s v="Slim Fit POLO - ANTHRACITE"/>
    <s v="Men's T-Shirts &amp; Polos"/>
    <x v="0"/>
    <x v="3"/>
    <s v="Anthracite"/>
    <s v="XS"/>
    <n v="47.86"/>
    <n v="47.86"/>
    <s v="Regular Price"/>
    <s v="EUR"/>
    <n v="326"/>
    <s v="3.1"/>
    <s v="42.0"/>
    <m/>
    <m/>
    <s v="Yes"/>
    <d v="2023-01-29T00:00:00"/>
    <s v="https://img01.ztat.net/article/ZL100847.jpg"/>
    <n v="0"/>
    <s v="No Discount"/>
  </r>
  <r>
    <s v="ZL100848"/>
    <s v="https://www.zalando.de/only-and-sons-slim-fit-polo---navy-zl100848/"/>
    <x v="61"/>
    <s v="Slim Fit POLO - NAVY"/>
    <s v="Men's T-Shirts &amp; Polos"/>
    <x v="0"/>
    <x v="0"/>
    <s v="Navy"/>
    <s v="S"/>
    <n v="8.99"/>
    <n v="8.99"/>
    <s v="Regular Price"/>
    <s v="EUR"/>
    <n v="566"/>
    <s v="4.7"/>
    <s v="N/A"/>
    <m/>
    <m/>
    <s v="Yes"/>
    <d v="2023-01-29T00:00:00"/>
    <s v="https://img01.ztat.net/article/ZL100848.jpg"/>
    <n v="0"/>
    <s v="No Discount"/>
  </r>
  <r>
    <s v="ZL100849"/>
    <s v="https://www.zalando.de/solid-homme-print-polo---red-zl100849/"/>
    <x v="134"/>
    <s v="Print POLO - RED"/>
    <s v="Men's T-Shirts &amp; Polos"/>
    <x v="0"/>
    <x v="0"/>
    <s v="Red"/>
    <s v="XS"/>
    <n v="8.99"/>
    <n v="8.99"/>
    <s v="Regular Price"/>
    <s v="EUR"/>
    <n v="906"/>
    <s v="3.6"/>
    <s v="44.0"/>
    <m/>
    <m/>
    <s v="Yes"/>
    <d v="2023-01-29T00:00:00"/>
    <s v="https://img01.ztat.net/article/ZL100849.jpg"/>
    <n v="0"/>
    <s v="No Discount"/>
  </r>
  <r>
    <s v="ZL100851"/>
    <s v="https://www.zalando.de/nike-essential-t-shirt---off-white-zl100851/"/>
    <x v="25"/>
    <s v="Essential T-SHIRT - OFF WHITE"/>
    <s v="Men's T-Shirts &amp; Polos"/>
    <x v="1"/>
    <x v="6"/>
    <s v="Off White"/>
    <s v="XS"/>
    <n v="29.63"/>
    <n v="29.63"/>
    <s v="Regular Price"/>
    <s v="EUR"/>
    <n v="509"/>
    <s v="3.4"/>
    <s v="33.0"/>
    <m/>
    <m/>
    <s v="Yes"/>
    <d v="2023-01-29T00:00:00"/>
    <s v="https://img01.ztat.net/article/ZL100851.jpg"/>
    <n v="0"/>
    <s v="No Discount"/>
  </r>
  <r>
    <s v="ZL100853"/>
    <s v="https://www.zalando.de/french-connection-slim-fit-polo---khaki-zl100853/"/>
    <x v="116"/>
    <s v="Slim Fit POLO - KHAKI"/>
    <s v="Men's T-Shirts &amp; Polos"/>
    <x v="0"/>
    <x v="2"/>
    <s v="Khaki"/>
    <s v="S"/>
    <n v="9.58"/>
    <n v="9.58"/>
    <s v="Regular Price"/>
    <s v="EUR"/>
    <n v="681"/>
    <s v="4.3"/>
    <s v="38.0"/>
    <m/>
    <m/>
    <s v="Yes"/>
    <d v="2023-01-29T00:00:00"/>
    <s v="https://img01.ztat.net/article/ZL100853.jpg"/>
    <n v="0"/>
    <s v="No Discount"/>
  </r>
  <r>
    <s v="ZL100854"/>
    <s v="https://www.zalando.de/odlo-regular-fit-t-shirt---beige-zl100854/"/>
    <x v="27"/>
    <s v="Regular Fit T-SHIRT - BEIGE"/>
    <s v="Men's T-Shirts &amp; Polos"/>
    <x v="1"/>
    <x v="6"/>
    <s v="Beige"/>
    <s v="XS"/>
    <n v="8.99"/>
    <n v="8.99"/>
    <s v="Regular Price"/>
    <s v="EUR"/>
    <n v="830"/>
    <s v="3.2"/>
    <s v="35.0"/>
    <m/>
    <m/>
    <s v="Yes"/>
    <d v="2023-01-29T00:00:00"/>
    <s v="https://img01.ztat.net/article/ZL100854.jpg"/>
    <n v="0"/>
    <s v="No Discount"/>
  </r>
  <r>
    <s v="ZL100855"/>
    <s v="https://www.zalando.de/craft-sportswear-slim-fit-polo---off-white-zl100855/"/>
    <x v="31"/>
    <s v="Slim Fit POLO - OFF WHITE"/>
    <s v="Men's T-Shirts &amp; Polos"/>
    <x v="0"/>
    <x v="0"/>
    <s v="Off White"/>
    <s v="S"/>
    <n v="16.88"/>
    <n v="16.88"/>
    <s v="Regular Price"/>
    <s v="EUR"/>
    <n v="862"/>
    <s v="3.3"/>
    <s v="31.0"/>
    <m/>
    <m/>
    <s v="No"/>
    <d v="2023-01-29T00:00:00"/>
    <s v="https://img01.ztat.net/article/ZL100855.jpg"/>
    <n v="0"/>
    <s v="No Discount"/>
  </r>
  <r>
    <s v="ZL100857"/>
    <s v="https://www.zalando.de/solid-homme-essential-t-shirt---dark-green-zl100857/"/>
    <x v="134"/>
    <s v="Essential T-SHIRT - DARK GREEN"/>
    <s v="Men's T-Shirts &amp; Polos"/>
    <x v="1"/>
    <x v="1"/>
    <s v="Dark Green"/>
    <s v="S"/>
    <n v="26.04"/>
    <n v="26.04"/>
    <s v="NEW"/>
    <s v="EUR"/>
    <n v="581"/>
    <s v="3.0"/>
    <s v="26.0"/>
    <m/>
    <m/>
    <s v="Yes"/>
    <d v="2023-01-29T00:00:00"/>
    <s v="https://img01.ztat.net/article/ZL100857.jpg"/>
    <n v="0"/>
    <s v="No Discount"/>
  </r>
  <r>
    <s v="ZL100859"/>
    <s v="https://www.zalando.de/anerkjendt-essential-polo---black-zl100859/"/>
    <x v="26"/>
    <s v="Essential POLO - BLACK"/>
    <s v="Men's T-Shirts &amp; Polos"/>
    <x v="0"/>
    <x v="2"/>
    <s v="Black"/>
    <s v="S"/>
    <n v="21.23"/>
    <n v="21.23"/>
    <s v="Regular Price"/>
    <s v="EUR"/>
    <n v="891"/>
    <s v="3.9"/>
    <s v="32.0"/>
    <m/>
    <m/>
    <s v="Yes"/>
    <d v="2023-01-29T00:00:00"/>
    <s v="https://img01.ztat.net/article/ZL100859.jpg"/>
    <n v="0"/>
    <s v="No Discount"/>
  </r>
  <r>
    <s v="ZL100860"/>
    <s v="https://www.zalando.de/wrangler-print-polo---olive-zl100860/"/>
    <x v="57"/>
    <s v="Print POLO - OLIVE"/>
    <s v="Men's T-Shirts &amp; Polos"/>
    <x v="0"/>
    <x v="2"/>
    <s v="Olive"/>
    <s v="XS"/>
    <n v="30.57"/>
    <n v="30.57"/>
    <s v="Regular Price"/>
    <s v="EUR"/>
    <n v="248"/>
    <s v="4.8"/>
    <s v="40.0"/>
    <m/>
    <m/>
    <s v="No"/>
    <d v="2023-01-29T00:00:00"/>
    <s v="https://img01.ztat.net/article/ZL100860.jpg"/>
    <n v="0"/>
    <s v="No Discount"/>
  </r>
  <r>
    <s v="ZL100861"/>
    <s v="https://www.zalando.de/the-north-face-basic-polo---bordeaux-zl100861/"/>
    <x v="22"/>
    <s v="Basic POLO - BORDEAUX"/>
    <s v="Men's T-Shirts &amp; Polos"/>
    <x v="0"/>
    <x v="3"/>
    <s v="Bordeaux"/>
    <s v="S"/>
    <n v="57.14"/>
    <n v="57.14"/>
    <s v="Regular Price"/>
    <s v="EUR"/>
    <n v="181"/>
    <s v="0"/>
    <s v="35.0"/>
    <m/>
    <m/>
    <s v="No"/>
    <d v="2023-01-29T00:00:00"/>
    <s v="https://img01.ztat.net/article/ZL100861.jpg"/>
    <n v="0"/>
    <s v="No Discount"/>
  </r>
  <r>
    <s v="ZL100862"/>
    <s v="https://www.zalando.de/kappa-basic-t-shirt---olive-zl100862/"/>
    <x v="97"/>
    <s v="Basic T-SHIRT - OLIVE"/>
    <s v="Men's T-Shirts &amp; Polos"/>
    <x v="1"/>
    <x v="5"/>
    <s v="Olive"/>
    <s v="XS"/>
    <n v="9.8699999999999992"/>
    <n v="9.8699999999999992"/>
    <s v="Regular Price"/>
    <s v="EUR"/>
    <n v="471"/>
    <s v="4.3"/>
    <s v="48.0"/>
    <m/>
    <m/>
    <s v="Yes"/>
    <d v="2023-01-29T00:00:00"/>
    <s v="https://img01.ztat.net/article/ZL100862.jpg"/>
    <n v="0"/>
    <s v="No Discount"/>
  </r>
  <r>
    <s v="ZL100863"/>
    <s v="https://www.zalando.de/nike-sb-essential-polo---royal-blue-zl100863/"/>
    <x v="65"/>
    <s v="Essential POLO - ROYAL BLUE"/>
    <s v="Men's T-Shirts &amp; Polos"/>
    <x v="0"/>
    <x v="3"/>
    <s v="Royal Blue"/>
    <s v="S"/>
    <n v="21.89"/>
    <n v="21.89"/>
    <s v="NEW"/>
    <s v="EUR"/>
    <n v="433"/>
    <s v="4.1"/>
    <s v="22.0"/>
    <m/>
    <m/>
    <s v="Yes"/>
    <d v="2023-01-29T00:00:00"/>
    <s v="https://img01.ztat.net/article/ZL100863.jpg"/>
    <n v="0"/>
    <s v="No Discount"/>
  </r>
  <r>
    <s v="ZL100864"/>
    <s v="https://www.zalando.de/adidas-performance-print-t-shirt---denim-blue-zl100864/"/>
    <x v="6"/>
    <s v="Print T-SHIRT - DENIM BLUE"/>
    <s v="Men's T-Shirts &amp; Polos"/>
    <x v="1"/>
    <x v="5"/>
    <s v="Denim Blue"/>
    <s v="XS"/>
    <n v="8.99"/>
    <n v="8.99"/>
    <s v="Regular Price"/>
    <s v="EUR"/>
    <n v="290"/>
    <s v="3.4"/>
    <s v="39.0"/>
    <m/>
    <m/>
    <s v="Yes"/>
    <d v="2023-01-29T00:00:00"/>
    <s v="https://img01.ztat.net/article/ZL100864.jpg"/>
    <n v="0"/>
    <s v="No Discount"/>
  </r>
  <r>
    <s v="ZL100867"/>
    <s v="https://www.zalando.de/anerkjendt-print-t-shirt---rust-zl100867/"/>
    <x v="26"/>
    <s v="Print T-SHIRT - RUST"/>
    <s v="Men's T-Shirts &amp; Polos"/>
    <x v="1"/>
    <x v="6"/>
    <s v="Rust"/>
    <s v="XS"/>
    <n v="38.33"/>
    <n v="38.33"/>
    <s v="Regular Price"/>
    <s v="EUR"/>
    <n v="869"/>
    <s v="4.0"/>
    <s v="23.0"/>
    <m/>
    <m/>
    <s v="No"/>
    <d v="2023-01-29T00:00:00"/>
    <s v="https://img01.ztat.net/article/ZL100867.jpg"/>
    <n v="0"/>
    <s v="No Discount"/>
  </r>
  <r>
    <s v="ZL100868"/>
    <s v="https://www.zalando.de/knowledge-cotton-apparel-print-polo---beige-zl100868/"/>
    <x v="122"/>
    <s v="Print POLO - BEIGE"/>
    <s v="Men's T-Shirts &amp; Polos"/>
    <x v="0"/>
    <x v="0"/>
    <s v="Beige"/>
    <s v="S"/>
    <n v="18.09"/>
    <n v="18.09"/>
    <s v="Regular Price"/>
    <s v="EUR"/>
    <n v="536"/>
    <s v="3.1"/>
    <s v="37.0"/>
    <m/>
    <m/>
    <s v="No"/>
    <d v="2023-01-29T00:00:00"/>
    <s v="https://img01.ztat.net/article/ZL100868.jpg"/>
    <n v="0"/>
    <s v="No Discount"/>
  </r>
  <r>
    <s v="ZL100870"/>
    <s v="https://www.zalando.de/only-and-sons-denim-regular-fit-t-shirt---denim-blue-zl100870/"/>
    <x v="61"/>
    <s v="Regular Fit T-SHIRT - DENIM BLUE"/>
    <s v="Men's T-Shirts &amp; Polos"/>
    <x v="1"/>
    <x v="6"/>
    <s v="Denim Blue"/>
    <s v="XS"/>
    <n v="19.22"/>
    <n v="19.22"/>
    <s v="Regular Price"/>
    <s v="EUR"/>
    <n v="189"/>
    <s v="4.1"/>
    <s v="28.0"/>
    <m/>
    <m/>
    <s v="Yes"/>
    <d v="2023-01-29T00:00:00"/>
    <s v="https://img01.ztat.net/article/ZL100870.jpg"/>
    <n v="0"/>
    <s v="No Discount"/>
  </r>
  <r>
    <s v="ZL100871"/>
    <s v="https://www.zalando.de/puma-basic-polo---denim-blue-zl100871/"/>
    <x v="21"/>
    <s v="Basic POLO - DENIM BLUE"/>
    <s v="Men's T-Shirts &amp; Polos"/>
    <x v="0"/>
    <x v="2"/>
    <s v="Denim Blue"/>
    <s v="XS"/>
    <n v="15.95"/>
    <n v="15.95"/>
    <s v="Regular Price"/>
    <s v="EUR"/>
    <n v="40"/>
    <s v="3.6"/>
    <s v="37.0"/>
    <m/>
    <m/>
    <s v="Yes"/>
    <d v="2023-01-29T00:00:00"/>
    <s v="https://img01.ztat.net/article/ZL100871.jpg"/>
    <n v="0"/>
    <s v="No Discount"/>
  </r>
  <r>
    <s v="ZL100874"/>
    <s v="https://www.zalando.de/olymp-print-t-shirt---dark-green-zl100874/"/>
    <x v="80"/>
    <s v="Print T-SHIRT - DARK GREEN"/>
    <s v="Men's T-Shirts &amp; Polos"/>
    <x v="1"/>
    <x v="6"/>
    <s v="Dark Green"/>
    <s v="XS"/>
    <n v="34.51"/>
    <n v="34.51"/>
    <s v="Regular Price"/>
    <s v="EUR"/>
    <n v="367"/>
    <s v="4.6"/>
    <s v="31.0"/>
    <m/>
    <m/>
    <s v="No"/>
    <d v="2023-01-29T00:00:00"/>
    <s v="https://img01.ztat.net/article/ZL100874.jpg"/>
    <n v="0"/>
    <s v="No Discount"/>
  </r>
  <r>
    <s v="ZL100875"/>
    <s v="https://www.zalando.de/patagonia-slim-fit-t-shirt---khaki-zl100875/"/>
    <x v="81"/>
    <s v="Slim Fit T-SHIRT - KHAKI"/>
    <s v="Men's T-Shirts &amp; Polos"/>
    <x v="1"/>
    <x v="1"/>
    <s v="Khaki"/>
    <s v="XS"/>
    <n v="17.559999999999999"/>
    <n v="17.559999999999999"/>
    <s v="Regular Price"/>
    <s v="EUR"/>
    <n v="707"/>
    <s v="3.3"/>
    <s v="39.0"/>
    <m/>
    <m/>
    <s v="Yes"/>
    <d v="2023-01-29T00:00:00"/>
    <s v="https://img01.ztat.net/article/ZL100875.jpg"/>
    <n v="0"/>
    <s v="No Discount"/>
  </r>
  <r>
    <s v="ZL100876"/>
    <s v="https://www.zalando.de/adidas-performance-basic-polo---navy-zl100876/"/>
    <x v="6"/>
    <s v="Basic POLO - NAVY"/>
    <s v="Men's T-Shirts &amp; Polos"/>
    <x v="0"/>
    <x v="3"/>
    <s v="Navy"/>
    <s v="S"/>
    <n v="51.71"/>
    <n v="51.71"/>
    <s v="Regular Price"/>
    <s v="EUR"/>
    <n v="421"/>
    <s v="4.6"/>
    <s v="47.0"/>
    <m/>
    <m/>
    <s v="Yes"/>
    <d v="2023-01-29T00:00:00"/>
    <s v="https://img01.ztat.net/article/ZL100876.jpg"/>
    <n v="0"/>
    <s v="No Discount"/>
  </r>
  <r>
    <s v="ZL100878"/>
    <s v="https://www.zalando.de/tommy-hilfiger-slim-fit-t-shirt---anthracite-zl100878/"/>
    <x v="8"/>
    <s v="Slim Fit T-SHIRT - ANTHRACITE"/>
    <s v="Men's T-Shirts &amp; Polos"/>
    <x v="1"/>
    <x v="4"/>
    <s v="Anthracite"/>
    <s v="S"/>
    <n v="21.18"/>
    <n v="21.18"/>
    <s v="Regular Price"/>
    <s v="EUR"/>
    <n v="836"/>
    <s v="3.4"/>
    <s v="24.0"/>
    <m/>
    <m/>
    <s v="Yes"/>
    <d v="2023-01-29T00:00:00"/>
    <s v="https://img01.ztat.net/article/ZL100878.jpg"/>
    <n v="0"/>
    <s v="No Discount"/>
  </r>
  <r>
    <s v="ZL100879"/>
    <s v="https://www.zalando.de/guess-regular-fit-polo---black-zl100879/"/>
    <x v="82"/>
    <s v="Regular Fit POLO - BLACK"/>
    <s v="Men's T-Shirts &amp; Polos"/>
    <x v="0"/>
    <x v="3"/>
    <m/>
    <s v="XS"/>
    <n v="12.31"/>
    <n v="12.31"/>
    <s v="Regular Price"/>
    <s v="EUR"/>
    <n v="475"/>
    <s v="3.8"/>
    <s v="45.0"/>
    <m/>
    <m/>
    <s v="Yes"/>
    <d v="2023-01-29T00:00:00"/>
    <s v="https://img01.ztat.net/article/ZL100879.jpg"/>
    <n v="0"/>
    <s v="No Discount"/>
  </r>
  <r>
    <s v="ZL100880"/>
    <s v="https://www.zalando.de/windsor.-essential-t-shirt---mint-zl100880/"/>
    <x v="115"/>
    <s v="Essential T-SHIRT - MINT"/>
    <s v="Men's T-Shirts &amp; Polos"/>
    <x v="1"/>
    <x v="4"/>
    <s v="Mint"/>
    <s v="S"/>
    <n v="8.99"/>
    <n v="8.99"/>
    <s v="Regular Price"/>
    <s v="EUR"/>
    <n v="505"/>
    <s v="3.2"/>
    <s v="48.0"/>
    <m/>
    <m/>
    <s v="Yes"/>
    <d v="2023-01-29T00:00:00"/>
    <s v="https://img01.ztat.net/article/ZL100880.jpg"/>
    <n v="0"/>
    <s v="No Discount"/>
  </r>
  <r>
    <s v="ZL100882"/>
    <s v="https://www.zalando.de/puma-basic-polo---red-zl100882/"/>
    <x v="21"/>
    <s v="Basic POLO - RED"/>
    <s v="Men's T-Shirts &amp; Polos"/>
    <x v="0"/>
    <x v="0"/>
    <s v="Red"/>
    <s v="XS"/>
    <n v="8.99"/>
    <n v="8.99"/>
    <s v="Regular Price"/>
    <s v="EUR"/>
    <n v="558"/>
    <s v="3.1"/>
    <s v="35.0"/>
    <m/>
    <m/>
    <s v="Yes"/>
    <d v="2023-01-29T00:00:00"/>
    <s v="https://img01.ztat.net/article/ZL100882.jpg"/>
    <n v="0"/>
    <s v="No Discount"/>
  </r>
  <r>
    <s v="ZL100885"/>
    <s v="https://www.zalando.de/alpha-industries-print-polo---red-zl100885/"/>
    <x v="124"/>
    <s v="Print POLO - RED"/>
    <s v="Men's T-Shirts &amp; Polos"/>
    <x v="0"/>
    <x v="3"/>
    <s v="Red"/>
    <s v="XS"/>
    <n v="13.55"/>
    <n v="13.55"/>
    <s v="Regular Price"/>
    <s v="EUR"/>
    <n v="147"/>
    <s v="3.7"/>
    <s v="28.0"/>
    <m/>
    <m/>
    <s v="No"/>
    <d v="2023-01-29T00:00:00"/>
    <s v="https://img01.ztat.net/article/ZL100885.jpg"/>
    <n v="0"/>
    <s v="No Discount"/>
  </r>
  <r>
    <s v="ZL100886"/>
    <s v="https://www.zalando.de/only-sons-basic-t-shirt---light-grey-zl100886/"/>
    <x v="61"/>
    <s v="Basic T-SHIRT - LIGHT GREY"/>
    <s v="Men's T-Shirts &amp; Polos"/>
    <x v="1"/>
    <x v="4"/>
    <s v="Light Grey"/>
    <s v="XS"/>
    <n v="26.3"/>
    <n v="26.3"/>
    <s v="Regular Price"/>
    <s v="EUR"/>
    <n v="368"/>
    <s v="4.4"/>
    <s v="29.0"/>
    <m/>
    <m/>
    <s v="Yes"/>
    <d v="2023-01-29T00:00:00"/>
    <s v="https://img01.ztat.net/article/ZL100886.jpg"/>
    <n v="0"/>
    <s v="No Discount"/>
  </r>
  <r>
    <s v="ZL100887"/>
    <s v="https://www.zalando.de/nike-regular-fit-t-shirt---dark-blue-zl100887/"/>
    <x v="25"/>
    <s v="Regular Fit T-SHIRT - DARK BLUE"/>
    <s v="Men's T-Shirts &amp; Polos"/>
    <x v="1"/>
    <x v="4"/>
    <s v="Dark Blue"/>
    <s v="S"/>
    <n v="10.71"/>
    <n v="10.71"/>
    <s v="Regular Price"/>
    <s v="EUR"/>
    <n v="553"/>
    <s v="3.2"/>
    <s v="37.0"/>
    <m/>
    <m/>
    <s v="Yes"/>
    <d v="2023-01-29T00:00:00"/>
    <s v="https://img01.ztat.net/article/ZL100887.jpg"/>
    <n v="0"/>
    <s v="No Discount"/>
  </r>
  <r>
    <s v="ZL100888"/>
    <s v="https://www.zalando.de/nike-slim-fit-t-shirt---red-zl100888/"/>
    <x v="25"/>
    <s v="Slim Fit T-SHIRT - RED"/>
    <s v="Men's T-Shirts &amp; Polos"/>
    <x v="1"/>
    <x v="1"/>
    <s v="Red"/>
    <s v="XS"/>
    <n v="13.25"/>
    <n v="13.25"/>
    <s v="Regular Price"/>
    <s v="EUR"/>
    <n v="221"/>
    <s v="5.0"/>
    <s v="40.0"/>
    <m/>
    <m/>
    <s v="Yes"/>
    <d v="2023-01-29T00:00:00"/>
    <s v="https://img01.ztat.net/article/ZL100888.jpg"/>
    <n v="0"/>
    <s v="No Discount"/>
  </r>
  <r>
    <s v="ZL100891"/>
    <s v="https://www.zalando.de/pier-one-slim-fit-t-shirt---white-zl100891/"/>
    <x v="62"/>
    <s v="Slim Fit T-SHIRT - WHITE"/>
    <s v="Men's T-Shirts &amp; Polos"/>
    <x v="1"/>
    <x v="5"/>
    <m/>
    <s v="S"/>
    <n v="15.33"/>
    <n v="15.33"/>
    <s v="Regular Price"/>
    <s v="EUR"/>
    <n v="754"/>
    <s v="0"/>
    <s v="36.0"/>
    <m/>
    <m/>
    <s v="Yes"/>
    <d v="2023-01-29T00:00:00"/>
    <s v="https://img01.ztat.net/article/ZL100891.jpg"/>
    <n v="0"/>
    <s v="No Discount"/>
  </r>
  <r>
    <s v="ZL100892"/>
    <s v="https://www.zalando.de/bershka-print-t-shirt---mint-zl100892/"/>
    <x v="13"/>
    <s v="Print T-SHIRT - MINT"/>
    <s v="Men's T-Shirts &amp; Polos"/>
    <x v="1"/>
    <x v="4"/>
    <s v="Mint"/>
    <s v="S"/>
    <n v="16.79"/>
    <n v="16.79"/>
    <s v="Regular Price"/>
    <s v="EUR"/>
    <n v="399"/>
    <s v="3.8"/>
    <s v="42.0"/>
    <m/>
    <m/>
    <s v="Yes"/>
    <d v="2023-01-29T00:00:00"/>
    <s v="https://img01.ztat.net/article/ZL100892.jpg"/>
    <n v="0"/>
    <s v="No Discount"/>
  </r>
  <r>
    <s v="ZL100893"/>
    <s v="https://www.zalando.de/nike-slim-fit-polo---dark-green-zl100893/"/>
    <x v="25"/>
    <s v="Slim Fit POLO - DARK GREEN"/>
    <s v="Men's T-Shirts &amp; Polos"/>
    <x v="0"/>
    <x v="2"/>
    <s v="Dark Green"/>
    <s v="XS"/>
    <n v="28.11"/>
    <n v="28.11"/>
    <s v="Regular Price"/>
    <s v="EUR"/>
    <n v="84"/>
    <s v="0"/>
    <s v="38.0"/>
    <m/>
    <m/>
    <s v="No"/>
    <d v="2023-01-29T00:00:00"/>
    <s v="https://img01.ztat.net/article/ZL100893.jpg"/>
    <n v="0"/>
    <s v="No Discount"/>
  </r>
  <r>
    <s v="ZL100897"/>
    <s v="https://www.zalando.de/puma-print-t-shirt---dark-blue-zl100897/"/>
    <x v="21"/>
    <s v="Print T-SHIRT - DARK BLUE"/>
    <s v="Men's T-Shirts &amp; Polos"/>
    <x v="1"/>
    <x v="6"/>
    <s v="Dark Blue"/>
    <s v="S"/>
    <n v="20.14"/>
    <n v="20.14"/>
    <s v="Regular Price"/>
    <s v="EUR"/>
    <n v="462"/>
    <s v="0"/>
    <s v="39.0"/>
    <m/>
    <m/>
    <s v="Yes"/>
    <d v="2023-01-29T00:00:00"/>
    <s v="https://img01.ztat.net/article/ZL100897.jpg"/>
    <n v="0"/>
    <s v="No Discount"/>
  </r>
  <r>
    <s v="ZL100898"/>
    <s v="https://www.zalando.de/ben-sherman-print-polo---mint-zl100898/"/>
    <x v="133"/>
    <s v="Print POLO - MINT"/>
    <s v="Men's T-Shirts &amp; Polos"/>
    <x v="0"/>
    <x v="2"/>
    <s v="Mint"/>
    <s v="S"/>
    <n v="37.35"/>
    <n v="37.35"/>
    <s v="Regular Price"/>
    <s v="EUR"/>
    <n v="405"/>
    <s v="3.9"/>
    <s v="28.0"/>
    <m/>
    <m/>
    <s v="Yes"/>
    <d v="2023-01-29T00:00:00"/>
    <s v="https://img01.ztat.net/article/ZL100898.jpg"/>
    <n v="0"/>
    <s v="No Discount"/>
  </r>
  <r>
    <s v="ZL100901"/>
    <s v="https://www.zalando.de/marc-o'polo-regular-fit-t-shirt---white-zl100901/"/>
    <x v="112"/>
    <s v="Regular Fit T-SHIRT - WHITE"/>
    <s v="Men's T-Shirts &amp; Polos"/>
    <x v="1"/>
    <x v="1"/>
    <s v="White"/>
    <s v="XS"/>
    <n v="47.49"/>
    <n v="47.49"/>
    <s v="Regular Price"/>
    <s v="EUR"/>
    <n v="936"/>
    <s v="3.4"/>
    <s v="27.0"/>
    <m/>
    <m/>
    <s v="Yes"/>
    <d v="2023-01-29T00:00:00"/>
    <s v="https://img01.ztat.net/article/ZL100901.jpg"/>
    <n v="0"/>
    <s v="No Discount"/>
  </r>
  <r>
    <s v="ZL100902"/>
    <s v="https://www.zalando.de/nike-regular-fit-polo---dark-blue-zl100902/"/>
    <x v="25"/>
    <s v="Regular Fit POLO - DARK BLUE"/>
    <s v="Men's T-Shirts &amp; Polos"/>
    <x v="0"/>
    <x v="0"/>
    <s v="Dark Blue"/>
    <s v="M"/>
    <n v="13.5"/>
    <n v="13.5"/>
    <s v="Regular Price"/>
    <s v="EUR"/>
    <n v="961"/>
    <s v="3.3"/>
    <s v="26.0"/>
    <m/>
    <m/>
    <s v="Yes"/>
    <d v="2023-01-29T00:00:00"/>
    <s v="https://img01.ztat.net/article/ZL100902.jpg"/>
    <n v="0"/>
    <s v="No Discount"/>
  </r>
  <r>
    <s v="ZL100904"/>
    <s v="https://www.zalando.de/q/s-designed-by-regular-fit-polo---mint-zl100904/"/>
    <x v="92"/>
    <s v="Regular Fit Polo - Mint"/>
    <s v="Men's T-Shirts &amp; Polos"/>
    <x v="0"/>
    <x v="3"/>
    <s v="Mint"/>
    <s v="M"/>
    <n v="10.29"/>
    <n v="10.29"/>
    <s v="Regular Price"/>
    <s v="EUR"/>
    <n v="199"/>
    <s v="3.7"/>
    <s v="46.0"/>
    <m/>
    <m/>
    <s v="No"/>
    <d v="2023-01-29T00:00:00"/>
    <s v="https://img01.ztat.net/article/ZL100904.jpg"/>
    <n v="0"/>
    <s v="No Discount"/>
  </r>
  <r>
    <s v="ZL100905"/>
    <s v="https://www.zalando.de/adidas-performance-basic-polo---mint-zl100905/"/>
    <x v="6"/>
    <s v="Basic POLO - MINT"/>
    <s v="Men's T-Shirts &amp; Polos"/>
    <x v="0"/>
    <x v="0"/>
    <s v="Mint"/>
    <s v="M"/>
    <n v="8.99"/>
    <n v="8.99"/>
    <s v="Regular Price"/>
    <s v="EUR"/>
    <n v="700"/>
    <s v="4.1"/>
    <s v="37.0"/>
    <m/>
    <m/>
    <s v="Yes"/>
    <d v="2023-01-29T00:00:00"/>
    <s v="https://img01.ztat.net/article/ZL100905.jpg"/>
    <n v="0"/>
    <s v="No Discount"/>
  </r>
  <r>
    <s v="ZL100906"/>
    <s v="https://www.zalando.de/brixton-print-polo---olive-zl100906/"/>
    <x v="90"/>
    <s v="Print POLO - OLIVE"/>
    <s v="Men's T-Shirts &amp; Polos"/>
    <x v="0"/>
    <x v="0"/>
    <s v="Olive"/>
    <s v="XS"/>
    <n v="11.76"/>
    <n v="11.76"/>
    <s v="Regular Price"/>
    <s v="EUR"/>
    <n v="109"/>
    <s v="3.5"/>
    <s v="33.0"/>
    <m/>
    <m/>
    <s v="Yes"/>
    <d v="2023-01-29T00:00:00"/>
    <s v="https://img01.ztat.net/article/ZL100906.jpg"/>
    <n v="0"/>
    <s v="No Discount"/>
  </r>
  <r>
    <s v="ZL100907"/>
    <s v="https://www.zalando.de/nn07-essential-t-shirt---mint-zl100907/"/>
    <x v="25"/>
    <s v="Essential T-SHIRT - MINT"/>
    <s v="Men's T-Shirts &amp; Polos"/>
    <x v="1"/>
    <x v="4"/>
    <s v="Mint"/>
    <s v="S"/>
    <n v="30.39"/>
    <n v="30.39"/>
    <s v="Regular Price"/>
    <s v="EUR"/>
    <n v="403"/>
    <s v="3.4"/>
    <s v="41.0"/>
    <m/>
    <m/>
    <s v="Yes"/>
    <d v="2023-01-29T00:00:00"/>
    <s v="https://img01.ztat.net/article/ZL100907.jpg"/>
    <n v="0"/>
    <s v="No Discount"/>
  </r>
  <r>
    <s v="ZL100910"/>
    <s v="https://www.zalando.de/odlo-slim-fit-polo---grey-melange-zl100910/"/>
    <x v="27"/>
    <s v="Slim Fit POLO - GREY MELANGE"/>
    <s v="Men's T-Shirts &amp; Polos"/>
    <x v="0"/>
    <x v="0"/>
    <s v="Grey Melange"/>
    <s v="XS"/>
    <n v="26.89"/>
    <n v="26.89"/>
    <s v="Regular Price"/>
    <s v="EUR"/>
    <n v="588"/>
    <s v="4.9"/>
    <s v="34.0"/>
    <m/>
    <m/>
    <s v="Yes"/>
    <d v="2023-01-29T00:00:00"/>
    <s v="https://img01.ztat.net/article/ZL100910.jpg"/>
    <n v="0"/>
    <s v="No Discount"/>
  </r>
  <r>
    <s v="ZL100915"/>
    <s v="https://www.zalando.de/tommy-hilfiger-print-t-shirt---dark-green-zl100915/"/>
    <x v="8"/>
    <s v="Print T-SHIRT - DARK GREEN"/>
    <s v="Men's T-Shirts &amp; Polos"/>
    <x v="1"/>
    <x v="4"/>
    <s v="Dark Green"/>
    <s v="S"/>
    <n v="10.47"/>
    <n v="10.47"/>
    <s v="Regular Price"/>
    <s v="EUR"/>
    <n v="256"/>
    <s v="0"/>
    <s v="33.0"/>
    <m/>
    <m/>
    <s v="Yes"/>
    <d v="2023-01-29T00:00:00"/>
    <s v="https://img01.ztat.net/article/ZL100915.jpg"/>
    <n v="0"/>
    <s v="No Discount"/>
  </r>
  <r>
    <s v="ZL100916"/>
    <s v="https://www.zalando.de/levi's-essential-t-shirt---dark-green-zl100916/"/>
    <x v="33"/>
    <s v="Essential T-SHIRT - DARK GREEN"/>
    <s v="Men's T-Shirts &amp; Polos"/>
    <x v="1"/>
    <x v="6"/>
    <s v="Dark Green"/>
    <s v="XS"/>
    <n v="10.01"/>
    <n v="10.01"/>
    <s v="Regular Price"/>
    <s v="EUR"/>
    <n v="709"/>
    <s v="3.8"/>
    <s v="33.0"/>
    <m/>
    <m/>
    <s v="Yes"/>
    <d v="2023-01-29T00:00:00"/>
    <s v="https://img01.ztat.net/article/ZL100916.jpg"/>
    <n v="0"/>
    <s v="No Discount"/>
  </r>
  <r>
    <s v="ZL100917"/>
    <s v="https://www.zalando.de/solid-homme-basic-polo---royal-blue-zl100917/"/>
    <x v="134"/>
    <s v="Basic POLO - ROYAL BLUE"/>
    <s v="Men's T-Shirts &amp; Polos"/>
    <x v="0"/>
    <x v="3"/>
    <s v="Royal Blue"/>
    <s v="S"/>
    <n v="26.15"/>
    <n v="26.15"/>
    <s v="Regular Price"/>
    <s v="EUR"/>
    <n v="580"/>
    <s v="4.6"/>
    <s v="32.0"/>
    <m/>
    <m/>
    <s v="No"/>
    <d v="2023-01-29T00:00:00"/>
    <s v="https://img01.ztat.net/article/ZL100917.jpg"/>
    <n v="0"/>
    <s v="No Discount"/>
  </r>
  <r>
    <s v="ZL100919"/>
    <s v="https://www.zalando.de/salomon-essential-t-shirt---beige-zl100919/"/>
    <x v="53"/>
    <s v="Essential T-SHIRT - BEIGE"/>
    <s v="Men's T-Shirts &amp; Polos"/>
    <x v="1"/>
    <x v="1"/>
    <s v="Beige"/>
    <s v="S"/>
    <n v="8.99"/>
    <n v="8.99"/>
    <s v="Regular Price"/>
    <s v="EUR"/>
    <n v="749"/>
    <s v="4.9"/>
    <s v="39.0"/>
    <m/>
    <m/>
    <s v="Yes"/>
    <d v="2023-01-29T00:00:00"/>
    <s v="https://img01.ztat.net/article/ZL100919.jpg"/>
    <n v="0"/>
    <s v="No Discount"/>
  </r>
  <r>
    <s v="ZL100920"/>
    <s v="https://www.zalando.de/tommy-hilfiger-regular-fit-t-shirt---navy-zl100920/"/>
    <x v="8"/>
    <s v="Regular Fit T-SHIRT - NAVY"/>
    <s v="Men's T-Shirts &amp; Polos"/>
    <x v="1"/>
    <x v="1"/>
    <s v="Navy"/>
    <s v="M"/>
    <n v="8.99"/>
    <n v="8.99"/>
    <s v="Regular Price"/>
    <s v="EUR"/>
    <n v="354"/>
    <s v="4.3"/>
    <s v="35.0"/>
    <m/>
    <m/>
    <s v="No"/>
    <d v="2023-01-29T00:00:00"/>
    <s v="https://img01.ztat.net/article/ZL100920.jpg"/>
    <n v="0"/>
    <s v="No Discount"/>
  </r>
  <r>
    <s v="ZL100921"/>
    <s v="https://www.zalando.de/tiger-of-sweden-slim-fit-t-shirt---denim-blue-zl100921/"/>
    <x v="127"/>
    <s v="Slim Fit T-SHIRT - DENIM BLUE"/>
    <s v="Men's T-Shirts &amp; Polos"/>
    <x v="1"/>
    <x v="1"/>
    <m/>
    <s v="S"/>
    <n v="28.07"/>
    <n v="28.07"/>
    <s v="Regular Price"/>
    <s v="EUR"/>
    <n v="278"/>
    <s v="3.7"/>
    <s v="25.0"/>
    <m/>
    <m/>
    <s v="Yes"/>
    <d v="2023-01-29T00:00:00"/>
    <s v="https://img01.ztat.net/article/ZL100921.jpg"/>
    <n v="0"/>
    <s v="No Discount"/>
  </r>
  <r>
    <s v="ZL100922"/>
    <s v="https://www.zalando.de/under-armour-slim-fit-t-shirt---black-zl100922/"/>
    <x v="96"/>
    <s v="Slim Fit T-SHIRT - BLACK"/>
    <s v="Men's T-Shirts &amp; Polos"/>
    <x v="1"/>
    <x v="1"/>
    <s v="Black"/>
    <s v="S"/>
    <n v="8.99"/>
    <n v="8.99"/>
    <s v="Regular Price"/>
    <s v="EUR"/>
    <n v="401"/>
    <s v="4.9"/>
    <s v="33.0"/>
    <m/>
    <m/>
    <s v="Yes"/>
    <d v="2023-01-29T00:00:00"/>
    <s v="https://img01.ztat.net/article/ZL100922.jpg"/>
    <n v="0"/>
    <s v="No Discount"/>
  </r>
  <r>
    <s v="ZL100926"/>
    <s v="https://www.zalando.de/tommy-hilfiger-slim-fit-t-shirt---royal-blue-zl100926/"/>
    <x v="8"/>
    <s v="Slim Fit T-SHIRT - ROYAL BLUE"/>
    <s v="Men's T-Shirts &amp; Polos"/>
    <x v="1"/>
    <x v="4"/>
    <s v="Royal Blue"/>
    <s v="XS"/>
    <n v="63.37"/>
    <n v="63.37"/>
    <s v="Regular Price"/>
    <s v="EUR"/>
    <n v="105"/>
    <s v="3.6"/>
    <s v="0"/>
    <m/>
    <m/>
    <s v="Yes"/>
    <d v="2023-01-29T00:00:00"/>
    <s v="https://img01.ztat.net/article/ZL100926.jpg"/>
    <n v="0"/>
    <s v="No Discount"/>
  </r>
  <r>
    <s v="ZL100927"/>
    <s v="https://www.zalando.de/replay-regular-fit-t-shirt---mint-zl100927/"/>
    <x v="43"/>
    <s v="Regular Fit T-SHIRT - MINT"/>
    <s v="Men's T-Shirts &amp; Polos"/>
    <x v="1"/>
    <x v="1"/>
    <s v="Mint"/>
    <s v="S"/>
    <n v="17.3"/>
    <n v="17.3"/>
    <s v="Regular Price"/>
    <s v="EUR"/>
    <n v="41"/>
    <s v="3.5"/>
    <s v="38.0"/>
    <m/>
    <m/>
    <s v="Yes"/>
    <d v="2023-01-29T00:00:00"/>
    <s v="https://img01.ztat.net/article/ZL100927.jpg"/>
    <n v="0"/>
    <s v="No Discount"/>
  </r>
  <r>
    <s v="ZL100928"/>
    <s v="https://www.zalando.de/produkt-essential-t-shirt---black-zl100928/"/>
    <x v="0"/>
    <s v="Essential T-SHIRT - BLACK"/>
    <s v="Men's T-Shirts &amp; Polos"/>
    <x v="1"/>
    <x v="1"/>
    <s v="Black"/>
    <s v="S"/>
    <n v="30.47"/>
    <n v="30.47"/>
    <s v="Regular Price"/>
    <s v="EUR"/>
    <n v="715"/>
    <s v="0"/>
    <s v="41.0"/>
    <m/>
    <m/>
    <s v="Yes"/>
    <d v="2023-01-29T00:00:00"/>
    <s v="https://img01.ztat.net/article/ZL100928.jpg"/>
    <n v="0"/>
    <s v="No Discount"/>
  </r>
  <r>
    <s v="ZL100931"/>
    <s v="https://www.zalando.de/adidas-performance-basic-polo---anthracite-zl100931/"/>
    <x v="6"/>
    <s v="Basic POLO - ANTHRACITE"/>
    <s v="Men's T-Shirts &amp; Polos"/>
    <x v="0"/>
    <x v="0"/>
    <s v="Anthracite"/>
    <s v="S"/>
    <n v="21.38"/>
    <n v="21.38"/>
    <s v="Regular Price"/>
    <s v="EUR"/>
    <n v="855"/>
    <s v="4.1"/>
    <s v="36.0"/>
    <m/>
    <m/>
    <s v="Yes"/>
    <d v="2023-01-29T00:00:00"/>
    <s v="https://img01.ztat.net/article/ZL100931.jpg"/>
    <n v="0"/>
    <s v="No Discount"/>
  </r>
  <r>
    <s v="ZL100934"/>
    <s v="https://www.zalando.de/mango-man-slim-fit-t-shirt---beige-zl100934/"/>
    <x v="5"/>
    <s v="Slim Fit T-Shirt - Beige"/>
    <s v="Men's T-Shirts &amp; Polos"/>
    <x v="1"/>
    <x v="6"/>
    <s v="Beige"/>
    <s v="M"/>
    <n v="18.86"/>
    <n v="18.86"/>
    <s v="Regular Price"/>
    <s v="EUR"/>
    <n v="877"/>
    <s v="3.9"/>
    <s v="36.0"/>
    <m/>
    <m/>
    <s v="Yes"/>
    <d v="2023-01-29T00:00:00"/>
    <s v="https://img01.ztat.net/article/ZL100934.jpg"/>
    <n v="0"/>
    <s v="No Discount"/>
  </r>
  <r>
    <s v="ZL100936"/>
    <s v="https://www.zalando.de/new-look-basic-t-shirt---olive-zl100936/"/>
    <x v="11"/>
    <s v="Basic T-SHIRT - OLIVE"/>
    <s v="Men's T-Shirts &amp; Polos"/>
    <x v="1"/>
    <x v="5"/>
    <s v="Olive"/>
    <s v="M"/>
    <n v="8.99"/>
    <n v="8.99"/>
    <s v="Regular Price"/>
    <s v="EUR"/>
    <n v="58"/>
    <s v="0"/>
    <s v="N/A"/>
    <m/>
    <m/>
    <s v="Yes"/>
    <d v="2023-01-29T00:00:00"/>
    <s v="https://img01.ztat.net/article/ZL100936.jpg"/>
    <n v="0"/>
    <s v="No Discount"/>
  </r>
  <r>
    <s v="ZL100937"/>
    <s v="https://www.zalando.de/produkt-basic-polo---bordeaux-zl100937/"/>
    <x v="0"/>
    <s v="Basic POLO - BORDEAUX"/>
    <s v="Men's T-Shirts &amp; Polos"/>
    <x v="0"/>
    <x v="2"/>
    <s v="Bordeaux"/>
    <s v="XS"/>
    <n v="15.29"/>
    <n v="15.29"/>
    <s v="Regular Price"/>
    <s v="EUR"/>
    <n v="769"/>
    <s v="4.9"/>
    <s v="0"/>
    <m/>
    <m/>
    <s v="Yes"/>
    <d v="2023-01-29T00:00:00"/>
    <s v="https://img01.ztat.net/article/ZL100937.jpg"/>
    <n v="0"/>
    <s v="No Discount"/>
  </r>
  <r>
    <s v="ZL100938"/>
    <s v="https://www.zalando.de/icebreaker-slim-fit-polo---anthracite-zl100938/"/>
    <x v="130"/>
    <s v="Slim Fit POLO - ANTHRACITE"/>
    <s v="Men's T-Shirts &amp; Polos"/>
    <x v="0"/>
    <x v="3"/>
    <s v="Anthracite"/>
    <s v="S"/>
    <n v="9.42"/>
    <n v="9.42"/>
    <s v="NEW"/>
    <s v="EUR"/>
    <n v="114"/>
    <s v="4.8"/>
    <s v="29.0"/>
    <m/>
    <m/>
    <s v="Yes"/>
    <d v="2023-01-29T00:00:00"/>
    <s v="https://img01.ztat.net/article/ZL100938.jpg"/>
    <n v="0"/>
    <s v="No Discount"/>
  </r>
  <r>
    <s v="ZL100939"/>
    <s v="https://www.zalando.de/nike-print-polo---navy-zl100939/"/>
    <x v="25"/>
    <s v="Print POLO - NAVY"/>
    <s v="Men's T-Shirts &amp; Polos"/>
    <x v="0"/>
    <x v="0"/>
    <s v="Navy"/>
    <s v="XS"/>
    <n v="29.83"/>
    <n v="29.83"/>
    <s v="Regular Price"/>
    <s v="EUR"/>
    <n v="324"/>
    <s v="4.5"/>
    <s v="44.0"/>
    <m/>
    <m/>
    <s v="Yes"/>
    <d v="2023-01-29T00:00:00"/>
    <s v="https://img01.ztat.net/article/ZL100939.jpg"/>
    <n v="0"/>
    <s v="No Discount"/>
  </r>
  <r>
    <s v="ZL100940"/>
    <s v="https://www.zalando.de/nike-basic-t-shirt---grey-melange-zl100940/"/>
    <x v="25"/>
    <s v="Basic T-SHIRT - GREY MELANGE"/>
    <s v="Men's T-Shirts &amp; Polos"/>
    <x v="1"/>
    <x v="4"/>
    <s v="Grey Melange"/>
    <s v="M"/>
    <n v="9.74"/>
    <n v="9.74"/>
    <s v="Regular Price"/>
    <s v="EUR"/>
    <n v="82"/>
    <s v="4.1"/>
    <s v="34.0"/>
    <m/>
    <m/>
    <s v="No"/>
    <d v="2023-01-29T00:00:00"/>
    <s v="https://img01.ztat.net/article/ZL100940.jpg"/>
    <n v="0"/>
    <s v="No Discount"/>
  </r>
  <r>
    <s v="ZL100942"/>
    <s v="https://www.zalando.de/knowledge-cotton-apparel-basic-polo---dark-blue-zl100942/"/>
    <x v="122"/>
    <s v="Basic POLO - DARK BLUE"/>
    <s v="Men's T-Shirts &amp; Polos"/>
    <x v="0"/>
    <x v="0"/>
    <s v="Dark Blue"/>
    <s v="M"/>
    <n v="11.22"/>
    <n v="11.22"/>
    <s v="Regular Price"/>
    <s v="EUR"/>
    <n v="693"/>
    <s v="4.1"/>
    <s v="25.0"/>
    <m/>
    <m/>
    <s v="Yes"/>
    <d v="2023-01-29T00:00:00"/>
    <s v="https://img01.ztat.net/article/ZL100942.jpg"/>
    <n v="0"/>
    <s v="No Discount"/>
  </r>
  <r>
    <s v="ZL100943"/>
    <s v="https://www.zalando.de/puma-essential-polo---denim-blue-zl100943/"/>
    <x v="21"/>
    <s v="Essential POLO - DENIM BLUE"/>
    <s v="Men's T-Shirts &amp; Polos"/>
    <x v="0"/>
    <x v="0"/>
    <s v="Denim Blue"/>
    <s v="M"/>
    <n v="18.22"/>
    <n v="18.22"/>
    <s v="Regular Price"/>
    <s v="EUR"/>
    <n v="861"/>
    <s v="4.5"/>
    <s v="31.0"/>
    <m/>
    <m/>
    <s v="Yes"/>
    <d v="2023-01-29T00:00:00"/>
    <s v="https://img01.ztat.net/article/ZL100943.jpg"/>
    <n v="0"/>
    <s v="No Discount"/>
  </r>
  <r>
    <s v="ZL100944"/>
    <s v="https://www.zalando.de/nike-essential-t-shirt---bordeaux-zl100944/"/>
    <x v="25"/>
    <s v="Essential T-SHIRT - BORDEAUX"/>
    <s v="Men's T-Shirts &amp; Polos"/>
    <x v="1"/>
    <x v="4"/>
    <s v="Bordeaux"/>
    <s v="XS"/>
    <n v="11.73"/>
    <n v="11.73"/>
    <s v="Regular Price"/>
    <s v="EUR"/>
    <n v="116"/>
    <s v="3.7"/>
    <s v="34.0"/>
    <m/>
    <m/>
    <s v="Yes"/>
    <d v="2023-01-29T00:00:00"/>
    <s v="https://img01.ztat.net/article/ZL100944.jpg"/>
    <n v="0"/>
    <s v="No Discount"/>
  </r>
  <r>
    <s v="ZL100945"/>
    <s v="https://www.zalando.de/puma-slim-fit-t-shirt---olive-zl100945/"/>
    <x v="21"/>
    <s v="Slim Fit T-SHIRT - OLIVE"/>
    <s v="Men's T-Shirts &amp; Polos"/>
    <x v="1"/>
    <x v="5"/>
    <s v="Olive"/>
    <s v="S"/>
    <n v="8.99"/>
    <n v="8.99"/>
    <s v="Regular Price"/>
    <s v="EUR"/>
    <n v="685"/>
    <s v="4.4"/>
    <s v="0"/>
    <m/>
    <m/>
    <s v="Yes"/>
    <d v="2023-01-29T00:00:00"/>
    <s v="https://img01.ztat.net/article/ZL100945.jpg"/>
    <n v="0"/>
    <s v="No Discount"/>
  </r>
  <r>
    <s v="ZL100946"/>
    <s v="https://www.zalando.de/reebok-slim-fit-polo---denim-blue-zl100946/"/>
    <x v="37"/>
    <s v="Slim Fit POLO - DENIM BLUE"/>
    <s v="Men's T-Shirts &amp; Polos"/>
    <x v="0"/>
    <x v="2"/>
    <s v="Denim Blue"/>
    <s v="XS"/>
    <n v="20.41"/>
    <n v="20.41"/>
    <s v="Regular Price"/>
    <s v="EUR"/>
    <n v="274"/>
    <s v="4.8"/>
    <s v="0"/>
    <m/>
    <m/>
    <s v="Yes"/>
    <d v="2023-01-29T00:00:00"/>
    <s v="https://img01.ztat.net/article/ZL100946.jpg"/>
    <n v="0"/>
    <s v="No Discount"/>
  </r>
  <r>
    <s v="ZL100947"/>
    <s v="https://www.zalando.de/bruuns-bazaar-regular-fit-polo---rust-zl100947/"/>
    <x v="100"/>
    <s v="Regular Fit POLO - RUST"/>
    <s v="Men's T-Shirts &amp; Polos"/>
    <x v="0"/>
    <x v="3"/>
    <s v="Rust"/>
    <s v="S"/>
    <n v="13.74"/>
    <n v="13.74"/>
    <s v="Regular Price"/>
    <s v="EUR"/>
    <n v="17"/>
    <s v="3.4"/>
    <s v="43.0"/>
    <m/>
    <m/>
    <s v="Yes"/>
    <d v="2023-01-29T00:00:00"/>
    <s v="https://img01.ztat.net/article/ZL100947.jpg"/>
    <n v="0"/>
    <s v="No Discount"/>
  </r>
  <r>
    <s v="ZL100948"/>
    <s v="https://www.zalando.de/shine-slim-fit-t-shirt---white-zl100948/"/>
    <x v="71"/>
    <s v="Slim Fit T-SHIRT - WHITE"/>
    <s v="Men's T-Shirts &amp; Polos"/>
    <x v="1"/>
    <x v="5"/>
    <s v="White"/>
    <s v="S"/>
    <n v="18.309999999999999"/>
    <n v="18.309999999999999"/>
    <s v="Regular Price"/>
    <s v="EUR"/>
    <n v="718"/>
    <s v="4.8"/>
    <s v="32.0"/>
    <m/>
    <m/>
    <s v="Yes"/>
    <d v="2023-01-29T00:00:00"/>
    <s v="https://img01.ztat.net/article/ZL100948.jpg"/>
    <n v="0"/>
    <s v="No Discount"/>
  </r>
  <r>
    <s v="ZL100952"/>
    <s v="https://www.zalando.de/nike-print-polo---red-zl100952/"/>
    <x v="25"/>
    <s v="Print POLO - RED"/>
    <s v="Men's T-Shirts &amp; Polos"/>
    <x v="0"/>
    <x v="3"/>
    <s v="Red"/>
    <s v="M"/>
    <n v="23.46"/>
    <n v="23.46"/>
    <s v="Regular Price"/>
    <s v="EUR"/>
    <n v="625"/>
    <s v="3.8"/>
    <s v="45.0"/>
    <m/>
    <m/>
    <s v="Yes"/>
    <d v="2023-01-29T00:00:00"/>
    <s v="https://img01.ztat.net/article/ZL100952.jpg"/>
    <n v="0"/>
    <s v="No Discount"/>
  </r>
  <r>
    <s v="ZL100954"/>
    <s v="https://www.zalando.de/redefined-rebel-basic-t-shirt---black-zl100954/"/>
    <x v="94"/>
    <s v="Basic T-SHIRT - BLACK"/>
    <s v="Men's T-Shirts &amp; Polos"/>
    <x v="1"/>
    <x v="6"/>
    <s v="Black"/>
    <s v="S"/>
    <n v="16.25"/>
    <n v="16.25"/>
    <s v="Regular Price"/>
    <s v="EUR"/>
    <n v="675"/>
    <s v="3.9"/>
    <s v="40.0"/>
    <m/>
    <m/>
    <s v="Yes"/>
    <d v="2023-01-29T00:00:00"/>
    <s v="https://img01.ztat.net/article/ZL100954.jpg"/>
    <n v="0"/>
    <s v="No Discount"/>
  </r>
  <r>
    <s v="ZL100956"/>
    <s v="https://www.zalando.de/nike-basic-polo---grey-melange-zl100956/"/>
    <x v="25"/>
    <s v="Basic POLO - GREY MELANGE"/>
    <s v="Men's T-Shirts &amp; Polos"/>
    <x v="0"/>
    <x v="0"/>
    <s v="Grey Melange"/>
    <s v="XS"/>
    <n v="12.17"/>
    <n v="12.17"/>
    <s v="Regular Price"/>
    <s v="EUR"/>
    <n v="629"/>
    <s v="4.5"/>
    <s v="36.0"/>
    <m/>
    <m/>
    <s v="No"/>
    <d v="2023-01-29T00:00:00"/>
    <s v="https://img01.ztat.net/article/ZL100956.jpg"/>
    <n v="0"/>
    <s v="No Discount"/>
  </r>
  <r>
    <s v="ZL100958"/>
    <s v="https://www.zalando.de/element-basic-t-shirt---khaki-zl100958/"/>
    <x v="52"/>
    <s v="Basic T-SHIRT - KHAKI"/>
    <s v="Men's T-Shirts &amp; Polos"/>
    <x v="1"/>
    <x v="1"/>
    <s v="Khaki"/>
    <s v="S"/>
    <n v="17.89"/>
    <n v="17.89"/>
    <s v="Regular Price"/>
    <s v="EUR"/>
    <n v="835"/>
    <s v="3.5"/>
    <s v="35.0"/>
    <m/>
    <m/>
    <s v="No"/>
    <d v="2023-01-29T00:00:00"/>
    <s v="https://img01.ztat.net/article/ZL100958.jpg"/>
    <n v="0"/>
    <s v="No Discount"/>
  </r>
  <r>
    <s v="ZL100960"/>
    <s v="https://www.zalando.de/cross-jeans-regular-fit-t-shirt---navy-zl100960/"/>
    <x v="128"/>
    <s v="Regular Fit T-SHIRT - NAVY"/>
    <s v="Men's T-Shirts &amp; Polos"/>
    <x v="1"/>
    <x v="6"/>
    <s v="Navy"/>
    <s v="S"/>
    <n v="25.06"/>
    <n v="25.06"/>
    <s v="Regular Price"/>
    <s v="EUR"/>
    <n v="327"/>
    <s v="4.8"/>
    <s v="29.0"/>
    <m/>
    <m/>
    <s v="Yes"/>
    <d v="2023-01-29T00:00:00"/>
    <s v="https://img01.ztat.net/article/ZL100960.jpg"/>
    <n v="0"/>
    <s v="No Discount"/>
  </r>
  <r>
    <s v="ZL100961"/>
    <s v="https://www.zalando.de/cmp-essential-t-shirt---bordeaux-zl100961/"/>
    <x v="28"/>
    <s v="Essential T-SHIRT - BORDEAUX"/>
    <s v="Men's T-Shirts &amp; Polos"/>
    <x v="1"/>
    <x v="4"/>
    <s v="Bordeaux"/>
    <s v="S"/>
    <n v="28.59"/>
    <n v="28.59"/>
    <s v="Regular Price"/>
    <s v="EUR"/>
    <n v="605"/>
    <s v="3.8"/>
    <s v="20.0"/>
    <m/>
    <m/>
    <s v="Yes"/>
    <d v="2023-01-29T00:00:00"/>
    <s v="https://img01.ztat.net/article/ZL100961.jpg"/>
    <n v="0"/>
    <s v="No Discount"/>
  </r>
  <r>
    <s v="ZL100962"/>
    <s v="https://www.zalando.de/adidas-performance-slim-fit-polo---off-white-zl100962/"/>
    <x v="6"/>
    <s v="Slim Fit POLO - OFF WHITE"/>
    <s v="Men's T-Shirts &amp; Polos"/>
    <x v="0"/>
    <x v="0"/>
    <s v="Off White"/>
    <s v="M"/>
    <n v="10.16"/>
    <n v="10.16"/>
    <s v="Regular Price"/>
    <s v="EUR"/>
    <n v="601"/>
    <s v="3.5"/>
    <s v="31.0"/>
    <m/>
    <m/>
    <s v="Yes"/>
    <d v="2023-01-29T00:00:00"/>
    <s v="https://img01.ztat.net/article/ZL100962.jpg"/>
    <n v="0"/>
    <s v="No Discount"/>
  </r>
  <r>
    <s v="ZL100963"/>
    <s v="https://www.zalando.de/jack-jones-junior-basic-polo---olive-zl100963/"/>
    <x v="34"/>
    <s v="Basic POLO - OLIVE"/>
    <s v="Men's T-Shirts &amp; Polos"/>
    <x v="0"/>
    <x v="3"/>
    <s v="Olive"/>
    <s v="M"/>
    <n v="21.86"/>
    <n v="21.86"/>
    <s v="Regular Price"/>
    <s v="EUR"/>
    <n v="672"/>
    <s v="3.1"/>
    <s v="36.0"/>
    <m/>
    <m/>
    <s v="Yes"/>
    <d v="2023-01-29T00:00:00"/>
    <s v="https://img01.ztat.net/article/ZL100963.jpg"/>
    <n v="0"/>
    <s v="No Discount"/>
  </r>
  <r>
    <s v="ZL100965"/>
    <s v="https://www.zalando.de/adidas-performance-print-t-shirt---rust-zl100965/"/>
    <x v="6"/>
    <s v="Print T-SHIRT - RUST"/>
    <s v="Men's T-Shirts &amp; Polos"/>
    <x v="1"/>
    <x v="1"/>
    <s v="Rust"/>
    <s v="XS"/>
    <n v="47.38"/>
    <n v="47.38"/>
    <s v="Regular Price"/>
    <s v="EUR"/>
    <n v="499"/>
    <s v="4.3"/>
    <s v="41.0"/>
    <m/>
    <m/>
    <s v="Yes"/>
    <d v="2023-01-29T00:00:00"/>
    <s v="https://img01.ztat.net/article/ZL100965.jpg"/>
    <n v="0"/>
    <s v="No Discount"/>
  </r>
  <r>
    <s v="ZL100966"/>
    <s v="https://www.zalando.de/tommy-hilfiger-regular-fit-polo---rust-zl100966/"/>
    <x v="8"/>
    <s v="Regular Fit POLO - RUST"/>
    <s v="Men's T-Shirts &amp; Polos"/>
    <x v="0"/>
    <x v="2"/>
    <s v="Rust"/>
    <s v="XS"/>
    <n v="37.35"/>
    <n v="37.35"/>
    <s v="Regular Price"/>
    <s v="EUR"/>
    <n v="546"/>
    <s v="4.9"/>
    <s v="35.0"/>
    <m/>
    <m/>
    <s v="Yes"/>
    <d v="2023-01-29T00:00:00"/>
    <s v="https://img01.ztat.net/article/ZL100966.jpg"/>
    <n v="0"/>
    <s v="No Discount"/>
  </r>
  <r>
    <s v="ZL100967"/>
    <s v="https://www.zalando.de/under-armour-basic-polo---off-white-zl100967/"/>
    <x v="96"/>
    <s v="Basic POLO - OFF WHITE"/>
    <s v="Men's T-Shirts &amp; Polos"/>
    <x v="0"/>
    <x v="0"/>
    <s v="Off White"/>
    <s v="M"/>
    <n v="20.75"/>
    <n v="20.75"/>
    <s v="Regular Price"/>
    <s v="EUR"/>
    <n v="667"/>
    <s v="4.1"/>
    <s v="0"/>
    <m/>
    <m/>
    <s v="Yes"/>
    <d v="2023-01-29T00:00:00"/>
    <s v="https://img01.ztat.net/article/ZL100967.jpg"/>
    <n v="0"/>
    <s v="No Discount"/>
  </r>
  <r>
    <s v="ZL100968"/>
    <s v="https://www.zalando.de/jack-jones-junior-regular-fit-polo---beige-zl100968/"/>
    <x v="34"/>
    <s v="Regular Fit POLO - BEIGE"/>
    <s v="Men's T-Shirts &amp; Polos"/>
    <x v="0"/>
    <x v="2"/>
    <s v="Beige"/>
    <s v="S"/>
    <n v="19.809999999999999"/>
    <n v="19.809999999999999"/>
    <s v="Regular Price"/>
    <s v="EUR"/>
    <n v="247"/>
    <s v="3.3"/>
    <s v="37.0"/>
    <m/>
    <m/>
    <s v="Yes"/>
    <d v="2023-01-29T00:00:00"/>
    <s v="https://img01.ztat.net/article/ZL100968.jpg"/>
    <n v="0"/>
    <s v="No Discount"/>
  </r>
  <r>
    <s v="ZL100969"/>
    <s v="https://www.zalando.de/blend-she-print-t-shirt---mint-zl100969/"/>
    <x v="38"/>
    <s v="Print T-SHIRT - MINT"/>
    <s v="Men's T-Shirts &amp; Polos"/>
    <x v="1"/>
    <x v="4"/>
    <s v="Mint"/>
    <s v="M"/>
    <n v="19.3"/>
    <n v="19.3"/>
    <s v="Regular Price"/>
    <s v="EUR"/>
    <n v="760"/>
    <s v="4.2"/>
    <s v="35.0"/>
    <m/>
    <m/>
    <s v="Yes"/>
    <d v="2023-01-29T00:00:00"/>
    <s v="https://img01.ztat.net/article/ZL100969.jpg"/>
    <n v="0"/>
    <s v="No Discount"/>
  </r>
  <r>
    <s v="ZL100970"/>
    <s v="https://www.zalando.de/ea7-emporio-armani-regular-fit-polo---dark-blue-zl100970/"/>
    <x v="109"/>
    <s v="Regular Fit POLO - DARK BLUE"/>
    <s v="Men's T-Shirts &amp; Polos"/>
    <x v="0"/>
    <x v="3"/>
    <s v="Dark Blue"/>
    <s v="XS"/>
    <n v="11.95"/>
    <n v="11.95"/>
    <s v="Regular Price"/>
    <s v="EUR"/>
    <n v="438"/>
    <s v="3.8"/>
    <s v="34.0"/>
    <m/>
    <m/>
    <s v="Yes"/>
    <d v="2023-01-29T00:00:00"/>
    <s v="https://img01.ztat.net/article/ZL100970.jpg"/>
    <n v="0"/>
    <s v="No Discount"/>
  </r>
  <r>
    <s v="ZL100971"/>
    <s v="https://www.zalando.de/calvin-klein-print-polo---dark-green-zl100971/"/>
    <x v="14"/>
    <s v="Print POLO - DARK GREEN"/>
    <s v="Men's T-Shirts &amp; Polos"/>
    <x v="0"/>
    <x v="3"/>
    <s v="Dark Green"/>
    <s v=""/>
    <n v="18.420000000000002"/>
    <n v="18.420000000000002"/>
    <s v="Regular Price"/>
    <s v="EUR"/>
    <n v="265"/>
    <s v="4.2"/>
    <s v="0"/>
    <m/>
    <m/>
    <s v="Yes"/>
    <d v="2023-01-29T00:00:00"/>
    <s v="https://img01.ztat.net/article/ZL100971.jpg"/>
    <n v="0"/>
    <s v="No Discount"/>
  </r>
  <r>
    <s v="ZL100972"/>
    <s v="https://www.zalando.de/carhartt-wip-basic-t-shirt---beige-zl100972/"/>
    <x v="32"/>
    <s v="Basic T-SHIRT - BEIGE"/>
    <s v="Men's T-Shirts &amp; Polos"/>
    <x v="1"/>
    <x v="5"/>
    <s v="Beige"/>
    <s v="XS"/>
    <n v="9.41"/>
    <n v="9.41"/>
    <s v="Regular Price"/>
    <s v="EUR"/>
    <n v="740"/>
    <s v="3.6"/>
    <s v="33.0"/>
    <m/>
    <m/>
    <s v="Yes"/>
    <d v="2023-01-29T00:00:00"/>
    <s v="https://img01.ztat.net/article/ZL100972.jpg"/>
    <n v="0"/>
    <s v="No Discount"/>
  </r>
  <r>
    <s v="ZL100973"/>
    <s v="https://www.zalando.de/barbour-basic-t-shirt---khaki-zl100973/"/>
    <x v="125"/>
    <s v="Basic T-SHIRT - KHAKI"/>
    <s v="Men's T-Shirts &amp; Polos"/>
    <x v="1"/>
    <x v="1"/>
    <m/>
    <s v="M"/>
    <n v="20.64"/>
    <n v="20.64"/>
    <s v="Regular Price"/>
    <s v="EUR"/>
    <n v="10"/>
    <s v="4.9"/>
    <s v="N/A"/>
    <m/>
    <m/>
    <s v="Yes"/>
    <d v="2023-01-29T00:00:00"/>
    <s v="https://img01.ztat.net/article/ZL100973.jpg"/>
    <n v="0"/>
    <s v="No Discount"/>
  </r>
  <r>
    <s v="ZL100979"/>
    <s v="https://www.zalando.de/fila-basic-t-shirt---light-grey-zl100979/"/>
    <x v="39"/>
    <s v="Basic T-SHIRT - LIGHT GREY"/>
    <s v="Men's T-Shirts &amp; Polos"/>
    <x v="1"/>
    <x v="5"/>
    <s v="Light Grey"/>
    <s v="XS"/>
    <n v="11.78"/>
    <n v="11.78"/>
    <s v="Regular Price"/>
    <s v="EUR"/>
    <n v="889"/>
    <s v="4.6"/>
    <s v="35.0"/>
    <m/>
    <m/>
    <s v="Yes"/>
    <d v="2023-01-29T00:00:00"/>
    <s v="https://img01.ztat.net/article/ZL100979.jpg"/>
    <n v="0"/>
    <s v="No Discount"/>
  </r>
  <r>
    <s v="ZL100980"/>
    <s v="https://www.zalando.de/j.lindeberg-basic-polo---olive-zl100980/"/>
    <x v="10"/>
    <s v="Basic POLO - OLIVE"/>
    <s v="Men's T-Shirts &amp; Polos"/>
    <x v="0"/>
    <x v="3"/>
    <s v="Olive"/>
    <s v="XS"/>
    <n v="14.02"/>
    <n v="14.02"/>
    <s v="Regular Price"/>
    <s v="EUR"/>
    <n v="155"/>
    <s v="4.7"/>
    <s v="28.0"/>
    <m/>
    <m/>
    <s v="Yes"/>
    <d v="2023-01-29T00:00:00"/>
    <s v="https://img01.ztat.net/article/ZL100980.jpg"/>
    <n v="0"/>
    <s v="No Discount"/>
  </r>
  <r>
    <s v="ZL100984"/>
    <s v="https://www.zalando.de/salomon-print-polo---khaki-zl100984/"/>
    <x v="53"/>
    <s v="Print POLO - KHAKI"/>
    <s v="Men's T-Shirts &amp; Polos"/>
    <x v="0"/>
    <x v="3"/>
    <s v="Khaki"/>
    <s v="S"/>
    <n v="12.7"/>
    <n v="12.7"/>
    <s v="Regular Price"/>
    <s v="EUR"/>
    <n v="944"/>
    <s v="0"/>
    <s v="46.0"/>
    <m/>
    <m/>
    <s v="Yes"/>
    <d v="2023-01-29T00:00:00"/>
    <s v="https://img01.ztat.net/article/ZL100984.jpg"/>
    <n v="0"/>
    <s v="No Discount"/>
  </r>
  <r>
    <s v="ZL100985"/>
    <s v="https://www.zalando.de/nike-essential-polo---royal-blue-zl100985/"/>
    <x v="25"/>
    <s v="Essential POLO - ROYAL BLUE"/>
    <s v="Men's T-Shirts &amp; Polos"/>
    <x v="0"/>
    <x v="2"/>
    <s v="Royal Blue"/>
    <s v="S"/>
    <n v="8.99"/>
    <n v="8.99"/>
    <s v="Regular Price"/>
    <s v="EUR"/>
    <n v="456"/>
    <s v="3.2"/>
    <s v="30.0"/>
    <m/>
    <m/>
    <s v="No"/>
    <d v="2023-01-29T00:00:00"/>
    <s v="https://img01.ztat.net/article/ZL100985.jpg"/>
    <n v="0"/>
    <s v="No Discount"/>
  </r>
  <r>
    <s v="ZL100986"/>
    <s v="https://www.zalando.de/brixton-essential-t-shirt---dark-blue-zl100986/"/>
    <x v="90"/>
    <s v="Essential T-SHIRT - DARK BLUE"/>
    <s v="Men's T-Shirts &amp; Polos"/>
    <x v="1"/>
    <x v="4"/>
    <s v="Dark Blue"/>
    <s v="M"/>
    <n v="8.99"/>
    <n v="8.99"/>
    <s v="Regular Price"/>
    <s v="EUR"/>
    <n v="567"/>
    <s v="4.8"/>
    <s v="34.0"/>
    <m/>
    <m/>
    <s v="Yes"/>
    <d v="2023-01-29T00:00:00"/>
    <s v="https://img01.ztat.net/article/ZL100986.jpg"/>
    <n v="0"/>
    <s v="No Discount"/>
  </r>
  <r>
    <s v="ZL100989"/>
    <s v="https://www.zalando.de/calvin-klein-print-polo---grey-melange-zl100989/"/>
    <x v="14"/>
    <s v="Print POLO - GREY MELANGE"/>
    <s v="Men's T-Shirts &amp; Polos"/>
    <x v="0"/>
    <x v="2"/>
    <s v="Grey Melange"/>
    <s v="XS"/>
    <n v="13.24"/>
    <n v="13.24"/>
    <s v="Regular Price"/>
    <s v="EUR"/>
    <n v="764"/>
    <s v="3.3"/>
    <s v="34.0"/>
    <m/>
    <m/>
    <s v="Yes"/>
    <d v="2023-01-29T00:00:00"/>
    <s v="https://img01.ztat.net/article/ZL100989.jpg"/>
    <n v="0"/>
    <s v="No Discount"/>
  </r>
  <r>
    <s v="ZL100993"/>
    <s v="https://www.zalando.de/yourturn-regular-fit-polo---off-white-zl100993/"/>
    <x v="49"/>
    <s v="Regular Fit POLO - OFF WHITE"/>
    <s v="Men's T-Shirts &amp; Polos"/>
    <x v="0"/>
    <x v="0"/>
    <s v="Off White"/>
    <s v="S"/>
    <n v="15.5"/>
    <n v="15.5"/>
    <s v="Regular Price"/>
    <s v="EUR"/>
    <n v="171"/>
    <s v="3.6"/>
    <s v="29.0"/>
    <m/>
    <m/>
    <s v="Yes"/>
    <d v="2023-01-29T00:00:00"/>
    <s v="https://img01.ztat.net/article/ZL100993.jpg"/>
    <n v="0"/>
    <s v="No Discount"/>
  </r>
  <r>
    <s v="ZL100994"/>
    <s v="https://www.zalando.de/j.lindeberg-essential-t-shirt---white-zl100994/"/>
    <x v="10"/>
    <s v="Essential T-SHIRT - WHITE"/>
    <s v="Men's T-Shirts &amp; Polos"/>
    <x v="1"/>
    <x v="5"/>
    <s v="White"/>
    <s v="XS"/>
    <n v="12.51"/>
    <n v="12.51"/>
    <s v="Regular Price"/>
    <s v="EUR"/>
    <n v="255"/>
    <s v="3.3"/>
    <s v="32.0"/>
    <m/>
    <m/>
    <s v="Yes"/>
    <d v="2023-01-29T00:00:00"/>
    <s v="https://img01.ztat.net/article/ZL100994.jpg"/>
    <n v="0"/>
    <s v="No Discount"/>
  </r>
  <r>
    <s v="ZL100996"/>
    <s v="https://www.zalando.de/element-essential-polo---navy-zl100996/"/>
    <x v="52"/>
    <s v="Essential POLO - NAVY"/>
    <s v="Men's T-Shirts &amp; Polos"/>
    <x v="0"/>
    <x v="2"/>
    <s v="Navy"/>
    <s v="S"/>
    <n v="21.06"/>
    <n v="21.06"/>
    <s v="Regular Price"/>
    <s v="EUR"/>
    <n v="156"/>
    <s v="3.8"/>
    <s v="34.0"/>
    <m/>
    <m/>
    <m/>
    <d v="2023-01-29T00:00:00"/>
    <s v="https://img01.ztat.net/article/ZL100996.jpg"/>
    <n v="0"/>
    <s v="No Discoun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7AC17E-3CDF-484B-AD9F-FE147338476E}" name="PivotTable5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:D18" firstHeaderRow="0" firstDataRow="1" firstDataCol="1"/>
  <pivotFields count="23"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8">
        <item x="3"/>
        <item x="4"/>
        <item x="6"/>
        <item x="2"/>
        <item x="5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showAll="0"/>
  </pivotFields>
  <rowFields count="2">
    <field x="5"/>
    <field x="6"/>
  </rowFields>
  <rowItems count="10">
    <i>
      <x/>
    </i>
    <i r="1">
      <x/>
    </i>
    <i r="1">
      <x v="3"/>
    </i>
    <i r="1">
      <x v="5"/>
    </i>
    <i>
      <x v="1"/>
    </i>
    <i r="1">
      <x v="1"/>
    </i>
    <i r="1">
      <x v="2"/>
    </i>
    <i r="1">
      <x v="4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Price" fld="9" subtotal="average" baseField="5" baseItem="0" numFmtId="170"/>
    <dataField name="Product" fld="3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E76FF2-72CC-4D01-B3CD-355F23C5CDD8}" name="PivotTable1" cacheId="1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E143" firstHeaderRow="0" firstDataRow="1" firstDataCol="1"/>
  <pivotFields count="4">
    <pivotField axis="axisRow" allDrilled="1" subtotalTop="0" showAll="0" dataSourceSort="1" defaultSubtotal="0" defaultAttributeDrillState="1">
      <items count="1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Reteil Price" fld="1" subtotal="average" baseField="0" baseItem="0" numFmtId="170"/>
    <dataField name="Max Retail Price" fld="2" subtotal="max" baseField="0" baseItem="0"/>
    <dataField name="Min Retail Price" fld="3" subtotal="min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Reteil Price"/>
    <pivotHierarchy dragToData="1" caption="Max Retail Price"/>
    <pivotHierarchy dragToData="1" caption="Min Retail Pric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zalando_de_tshirts_practice.xlsx!Sales__3">
        <x15:activeTabTopLevelEntity name="[Sales__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FC19B-EC47-4BE5-932A-695CC8ADB4A1}" name="PivotTable3" cacheId="125" dataPosition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 chartFormat="16">
  <location ref="B5:F141" firstHeaderRow="0" firstDataRow="1" firstDataCol="1"/>
  <pivotFields count="23">
    <pivotField dataField="1" showAll="0"/>
    <pivotField showAll="0"/>
    <pivotField axis="axisRow" showAll="0" sortType="descending">
      <items count="136">
        <item x="19"/>
        <item x="6"/>
        <item x="124"/>
        <item x="26"/>
        <item x="59"/>
        <item x="106"/>
        <item x="120"/>
        <item x="114"/>
        <item x="125"/>
        <item x="133"/>
        <item x="13"/>
        <item x="110"/>
        <item x="89"/>
        <item x="113"/>
        <item x="38"/>
        <item x="48"/>
        <item x="107"/>
        <item x="90"/>
        <item x="100"/>
        <item x="58"/>
        <item x="14"/>
        <item x="32"/>
        <item x="30"/>
        <item x="86"/>
        <item x="74"/>
        <item x="103"/>
        <item x="83"/>
        <item x="28"/>
        <item x="45"/>
        <item x="12"/>
        <item x="54"/>
        <item x="31"/>
        <item x="128"/>
        <item x="3"/>
        <item x="29"/>
        <item x="24"/>
        <item x="84"/>
        <item x="109"/>
        <item x="52"/>
        <item x="79"/>
        <item x="98"/>
        <item x="35"/>
        <item x="78"/>
        <item x="39"/>
        <item x="126"/>
        <item x="116"/>
        <item x="108"/>
        <item x="63"/>
        <item x="69"/>
        <item x="82"/>
        <item x="104"/>
        <item x="42"/>
        <item x="85"/>
        <item x="76"/>
        <item x="130"/>
        <item x="131"/>
        <item x="66"/>
        <item x="10"/>
        <item x="102"/>
        <item x="34"/>
        <item x="64"/>
        <item x="105"/>
        <item x="129"/>
        <item x="75"/>
        <item x="132"/>
        <item x="97"/>
        <item x="122"/>
        <item x="4"/>
        <item x="33"/>
        <item x="67"/>
        <item x="5"/>
        <item x="112"/>
        <item x="118"/>
        <item x="51"/>
        <item x="111"/>
        <item x="56"/>
        <item x="16"/>
        <item x="50"/>
        <item x="11"/>
        <item x="25"/>
        <item x="95"/>
        <item x="87"/>
        <item x="65"/>
        <item x="101"/>
        <item x="68"/>
        <item x="27"/>
        <item x="80"/>
        <item x="61"/>
        <item x="81"/>
        <item x="60"/>
        <item x="93"/>
        <item x="7"/>
        <item x="62"/>
        <item x="20"/>
        <item x="0"/>
        <item x="88"/>
        <item x="21"/>
        <item x="92"/>
        <item x="70"/>
        <item x="94"/>
        <item x="37"/>
        <item x="43"/>
        <item x="117"/>
        <item x="23"/>
        <item x="53"/>
        <item x="119"/>
        <item x="41"/>
        <item x="2"/>
        <item x="71"/>
        <item x="134"/>
        <item x="17"/>
        <item x="77"/>
        <item x="47"/>
        <item x="22"/>
        <item x="40"/>
        <item x="127"/>
        <item x="91"/>
        <item x="15"/>
        <item x="72"/>
        <item x="8"/>
        <item x="73"/>
        <item x="55"/>
        <item x="96"/>
        <item x="123"/>
        <item x="36"/>
        <item x="9"/>
        <item x="18"/>
        <item x="121"/>
        <item x="46"/>
        <item x="115"/>
        <item x="44"/>
        <item x="57"/>
        <item x="49"/>
        <item x="99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64" showAll="0"/>
    <pivotField showAll="0"/>
  </pivotFields>
  <rowFields count="1">
    <field x="2"/>
  </rowFields>
  <rowItems count="136">
    <i>
      <x v="79"/>
    </i>
    <i>
      <x v="1"/>
    </i>
    <i>
      <x v="119"/>
    </i>
    <i>
      <x v="87"/>
    </i>
    <i>
      <x v="22"/>
    </i>
    <i>
      <x v="20"/>
    </i>
    <i>
      <x v="94"/>
    </i>
    <i>
      <x v="3"/>
    </i>
    <i>
      <x v="104"/>
    </i>
    <i>
      <x v="59"/>
    </i>
    <i>
      <x v="67"/>
    </i>
    <i>
      <x v="96"/>
    </i>
    <i>
      <x v="49"/>
    </i>
    <i>
      <x v="43"/>
    </i>
    <i>
      <x v="19"/>
    </i>
    <i>
      <x v="70"/>
    </i>
    <i>
      <x v="38"/>
    </i>
    <i>
      <x v="92"/>
    </i>
    <i>
      <x v="108"/>
    </i>
    <i>
      <x v="4"/>
    </i>
    <i>
      <x v="78"/>
    </i>
    <i>
      <x v="68"/>
    </i>
    <i>
      <x v="57"/>
    </i>
    <i>
      <x v="31"/>
    </i>
    <i>
      <x v="106"/>
    </i>
    <i>
      <x v="85"/>
    </i>
    <i>
      <x v="100"/>
    </i>
    <i>
      <x v="5"/>
    </i>
    <i>
      <x v="33"/>
    </i>
    <i>
      <x v="30"/>
    </i>
    <i>
      <x v="113"/>
    </i>
    <i>
      <x v="124"/>
    </i>
    <i>
      <x v="53"/>
    </i>
    <i>
      <x v="88"/>
    </i>
    <i>
      <x v="15"/>
    </i>
    <i>
      <x v="50"/>
    </i>
    <i>
      <x v="12"/>
    </i>
    <i>
      <x v="14"/>
    </i>
    <i>
      <x v="132"/>
    </i>
    <i>
      <x v="118"/>
    </i>
    <i>
      <x v="122"/>
    </i>
    <i>
      <x v="10"/>
    </i>
    <i>
      <x v="125"/>
    </i>
    <i>
      <x v="97"/>
    </i>
    <i>
      <x v="126"/>
    </i>
    <i>
      <x v="63"/>
    </i>
    <i>
      <x v="37"/>
    </i>
    <i>
      <x v="121"/>
    </i>
    <i>
      <x v="86"/>
    </i>
    <i>
      <x v="107"/>
    </i>
    <i>
      <x v="21"/>
    </i>
    <i>
      <x v="76"/>
    </i>
    <i>
      <x v="18"/>
    </i>
    <i>
      <x v="77"/>
    </i>
    <i>
      <x v="99"/>
    </i>
    <i>
      <x v="42"/>
    </i>
    <i>
      <x v="130"/>
    </i>
    <i>
      <x v="90"/>
    </i>
    <i>
      <x v="82"/>
    </i>
    <i>
      <x/>
    </i>
    <i>
      <x v="101"/>
    </i>
    <i>
      <x v="26"/>
    </i>
    <i>
      <x v="66"/>
    </i>
    <i>
      <x v="109"/>
    </i>
    <i>
      <x v="46"/>
    </i>
    <i>
      <x v="45"/>
    </i>
    <i>
      <x v="83"/>
    </i>
    <i>
      <x v="133"/>
    </i>
    <i>
      <x v="58"/>
    </i>
    <i>
      <x v="91"/>
    </i>
    <i>
      <x v="65"/>
    </i>
    <i>
      <x v="29"/>
    </i>
    <i>
      <x v="112"/>
    </i>
    <i>
      <x v="54"/>
    </i>
    <i>
      <x v="60"/>
    </i>
    <i>
      <x v="47"/>
    </i>
    <i>
      <x v="23"/>
    </i>
    <i>
      <x v="39"/>
    </i>
    <i>
      <x v="114"/>
    </i>
    <i>
      <x v="95"/>
    </i>
    <i>
      <x v="120"/>
    </i>
    <i>
      <x v="40"/>
    </i>
    <i>
      <x v="62"/>
    </i>
    <i>
      <x v="56"/>
    </i>
    <i>
      <x v="128"/>
    </i>
    <i>
      <x v="98"/>
    </i>
    <i>
      <x v="111"/>
    </i>
    <i>
      <x v="34"/>
    </i>
    <i>
      <x v="28"/>
    </i>
    <i>
      <x v="41"/>
    </i>
    <i>
      <x v="116"/>
    </i>
    <i>
      <x v="69"/>
    </i>
    <i>
      <x v="36"/>
    </i>
    <i>
      <x v="102"/>
    </i>
    <i>
      <x v="81"/>
    </i>
    <i>
      <x v="9"/>
    </i>
    <i>
      <x v="123"/>
    </i>
    <i>
      <x v="105"/>
    </i>
    <i>
      <x v="17"/>
    </i>
    <i>
      <x v="35"/>
    </i>
    <i>
      <x v="127"/>
    </i>
    <i>
      <x v="131"/>
    </i>
    <i>
      <x v="129"/>
    </i>
    <i>
      <x v="48"/>
    </i>
    <i>
      <x v="89"/>
    </i>
    <i>
      <x v="74"/>
    </i>
    <i>
      <x v="71"/>
    </i>
    <i>
      <x v="73"/>
    </i>
    <i>
      <x v="72"/>
    </i>
    <i>
      <x v="6"/>
    </i>
    <i>
      <x v="27"/>
    </i>
    <i>
      <x v="84"/>
    </i>
    <i>
      <x v="110"/>
    </i>
    <i>
      <x v="61"/>
    </i>
    <i>
      <x v="24"/>
    </i>
    <i>
      <x v="103"/>
    </i>
    <i>
      <x v="25"/>
    </i>
    <i>
      <x v="8"/>
    </i>
    <i>
      <x v="32"/>
    </i>
    <i>
      <x v="7"/>
    </i>
    <i>
      <x v="11"/>
    </i>
    <i>
      <x v="51"/>
    </i>
    <i>
      <x v="115"/>
    </i>
    <i>
      <x v="80"/>
    </i>
    <i>
      <x v="16"/>
    </i>
    <i>
      <x v="2"/>
    </i>
    <i>
      <x v="117"/>
    </i>
    <i>
      <x v="134"/>
    </i>
    <i>
      <x v="93"/>
    </i>
    <i>
      <x v="75"/>
    </i>
    <i>
      <x v="55"/>
    </i>
    <i>
      <x v="64"/>
    </i>
    <i>
      <x v="52"/>
    </i>
    <i>
      <x v="13"/>
    </i>
    <i>
      <x v="4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umber Of Product" fld="3" subtotal="count" baseField="2" baseItem="0"/>
    <dataField name="Percentage of Product" fld="3" subtotal="count" showDataAs="percentOfTotal" baseField="2" baseItem="79" numFmtId="10"/>
    <dataField name="Number of Sku" fld="0" subtotal="count" baseField="2" baseItem="79"/>
    <dataField name="Revenue" fld="10" baseField="2" baseItem="79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3A209F17-9E8B-4468-AAA6-50847E4607D2}" autoFormatId="16" applyNumberFormats="0" applyBorderFormats="0" applyFontFormats="0" applyPatternFormats="0" applyAlignmentFormats="0" applyWidthHeightFormats="0">
  <queryTableRefresh nextId="30" unboundColumnsRight="5">
    <queryTableFields count="26">
      <queryTableField id="1" name="Sku" tableColumnId="1"/>
      <queryTableField id="2" name="Product_url" tableColumnId="2"/>
      <queryTableField id="3" name="Brand" tableColumnId="3"/>
      <queryTableField id="4" name="Product_name" tableColumnId="4"/>
      <queryTableField id="5" name="Category" tableColumnId="5"/>
      <queryTableField id="6" name="Subcategory" tableColumnId="6"/>
      <queryTableField id="7" name="Subsubcategory" tableColumnId="7"/>
      <queryTableField id="8" name="Color" tableColumnId="8"/>
      <queryTableField id="9" name="Size_range" tableColumnId="9"/>
      <queryTableField id="10" name="Price_retail" tableColumnId="10"/>
      <queryTableField id="11" name="Price_current" tableColumnId="11"/>
      <queryTableField id="12" name="Price_label" tableColumnId="12"/>
      <queryTableField id="13" name="Currency" tableColumnId="13"/>
      <queryTableField id="14" name="Sort_by_ranking" tableColumnId="14"/>
      <queryTableField id="15" name="Rating" tableColumnId="15"/>
      <queryTableField id="16" name="Reviews_count" tableColumnId="16"/>
      <queryTableField id="17" name="Promotion" tableColumnId="17"/>
      <queryTableField id="18" name="Sku_variant" tableColumnId="18"/>
      <queryTableField id="19" name="In_stock" tableColumnId="19"/>
      <queryTableField id="20" name="Scan_date" tableColumnId="20"/>
      <queryTableField id="21" name="Image_url" tableColumnId="21"/>
      <queryTableField id="22" dataBound="0" tableColumnId="22"/>
      <queryTableField id="23" dataBound="0" tableColumnId="23"/>
      <queryTableField id="27" dataBound="0" tableColumnId="27"/>
      <queryTableField id="28" dataBound="0" tableColumnId="28"/>
      <queryTableField id="29" dataBound="0" tableColumnId="29"/>
    </queryTableFields>
    <queryTableDeletedFields count="2">
      <deletedField name="Discount"/>
      <deletedField name="Discount Leve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7320F9E-831B-4234-BCA9-74452F8E4878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Sku" tableColumnId="1"/>
      <queryTableField id="2" name="Product_url" tableColumnId="2"/>
      <queryTableField id="3" name="Brand" tableColumnId="3"/>
      <queryTableField id="4" name="Product_name" tableColumnId="4"/>
      <queryTableField id="5" name="Category" tableColumnId="5"/>
      <queryTableField id="6" name="Subcategory" tableColumnId="6"/>
      <queryTableField id="7" name="Subsubcategory" tableColumnId="7"/>
      <queryTableField id="8" name="Color" tableColumnId="8"/>
      <queryTableField id="9" name="Size_range" tableColumnId="9"/>
      <queryTableField id="10" name="Price_retail" tableColumnId="10"/>
      <queryTableField id="11" name="Price_current" tableColumnId="11"/>
      <queryTableField id="12" name="Price_label" tableColumnId="12"/>
      <queryTableField id="13" name="Currency" tableColumnId="13"/>
      <queryTableField id="14" name="Sort_by_ranking" tableColumnId="14"/>
      <queryTableField id="15" name="Rating" tableColumnId="15"/>
      <queryTableField id="16" name="Reviews_count" tableColumnId="16"/>
      <queryTableField id="17" name="Promotion" tableColumnId="17"/>
      <queryTableField id="18" name="Sku_variant" tableColumnId="18"/>
      <queryTableField id="19" name="In_stock" tableColumnId="19"/>
      <queryTableField id="20" name="Scan_date" tableColumnId="20"/>
      <queryTableField id="21" name="Image_url" tableColumnId="21"/>
      <queryTableField id="22" dataBound="0" tableColumnId="22"/>
      <queryTableField id="23" dataBound="0" tableColumnId="2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2527157-D74C-483A-90E8-0A64B88B7E2A}" name="Table7" displayName="Table7" ref="O7:P142" totalsRowShown="0" dataDxfId="8">
  <autoFilter ref="O7:P142" xr:uid="{12527157-D74C-483A-90E8-0A64B88B7E2A}">
    <filterColumn colId="1">
      <filters>
        <filter val="1"/>
        <filter val="16"/>
        <filter val="17"/>
        <filter val="2"/>
        <filter val="24"/>
        <filter val="3"/>
        <filter val="4"/>
        <filter val="5"/>
        <filter val="6"/>
        <filter val="7"/>
        <filter val="8"/>
      </filters>
    </filterColumn>
  </autoFilter>
  <sortState xmlns:xlrd2="http://schemas.microsoft.com/office/spreadsheetml/2017/richdata2" ref="O8:P142">
    <sortCondition descending="1" ref="P8:P142"/>
  </sortState>
  <tableColumns count="2">
    <tableColumn id="1" xr3:uid="{F659E294-EC94-49D3-B469-DB8F8D546218}" name="Brand" dataDxfId="7"/>
    <tableColumn id="2" xr3:uid="{05849DF1-A9CB-498C-8EA8-2F18EE1C16D6}" name="Discount &gt;30%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D86A146-3434-44D3-BBB7-4ACBC067BF07}" name="Table8" displayName="Table8" ref="H9:I19" totalsRowShown="0" headerRowDxfId="1" dataDxfId="2" headerRowCellStyle="Percent" dataCellStyle="Percent">
  <autoFilter ref="H9:I19" xr:uid="{5D86A146-3434-44D3-BBB7-4ACBC067BF07}"/>
  <tableColumns count="2">
    <tableColumn id="1" xr3:uid="{12E56B95-2877-4543-A51F-0976BF8F1B93}" name="Brand" dataDxfId="4" dataCellStyle="Percent"/>
    <tableColumn id="2" xr3:uid="{0512DA08-5E7D-4319-87F0-0CD959821AD4}" name="Discount" dataDxfId="3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E6EFFF-2A89-4C82-95A4-9469B51A0572}" name="Real_Sales" displayName="Real_Sales" ref="A1:Z986" tableType="queryTable" totalsRowCount="1">
  <autoFilter ref="A1:Z985" xr:uid="{07E6EFFF-2A89-4C82-95A4-9469B51A0572}"/>
  <sortState xmlns:xlrd2="http://schemas.microsoft.com/office/spreadsheetml/2017/richdata2" ref="A2:Z985">
    <sortCondition ref="J1:J985"/>
  </sortState>
  <tableColumns count="26">
    <tableColumn id="1" xr3:uid="{AF908973-6C94-46CE-A47F-52431547E4D1}" uniqueName="1" name="Sku" queryTableFieldId="1" dataDxfId="59" totalsRowDxfId="33"/>
    <tableColumn id="2" xr3:uid="{30B71224-B9BB-4052-8489-50ED69AC615C}" uniqueName="2" name="Product_url" queryTableFieldId="2" dataDxfId="58" totalsRowDxfId="32"/>
    <tableColumn id="3" xr3:uid="{9CD8A52C-8FDA-4468-B6E6-8E2C82C6134D}" uniqueName="3" name="Brand" queryTableFieldId="3" dataDxfId="57" totalsRowDxfId="31"/>
    <tableColumn id="4" xr3:uid="{750E24ED-A523-42D6-8341-A867CDAB2E44}" uniqueName="4" name="Product_name" queryTableFieldId="4" dataDxfId="56" totalsRowDxfId="30"/>
    <tableColumn id="5" xr3:uid="{1880237E-0C38-4076-9361-E8E8B6A31B20}" uniqueName="5" name="Category" queryTableFieldId="5" dataDxfId="55" totalsRowDxfId="29"/>
    <tableColumn id="6" xr3:uid="{590F56A5-8AC0-4485-A68E-50D0D247057D}" uniqueName="6" name="Subcategory" queryTableFieldId="6" dataDxfId="54" totalsRowDxfId="28"/>
    <tableColumn id="7" xr3:uid="{646DF3DA-E0DB-4602-B772-A1B4890E60CF}" uniqueName="7" name="Subsubcategory" queryTableFieldId="7" dataDxfId="53" totalsRowDxfId="27"/>
    <tableColumn id="8" xr3:uid="{C2B5D751-25AA-435D-AB16-BA6298B5A88D}" uniqueName="8" name="Color" queryTableFieldId="8" dataDxfId="52" totalsRowDxfId="26"/>
    <tableColumn id="9" xr3:uid="{8A600F62-8BEA-4185-A8FC-E04D4B76C49E}" uniqueName="9" name="Size_range" queryTableFieldId="9" dataDxfId="51" totalsRowDxfId="25"/>
    <tableColumn id="10" xr3:uid="{71E629DE-5608-4EFE-AB11-AFB05C8DD347}" uniqueName="10" name="Price_retail" queryTableFieldId="10" dataDxfId="50" totalsRowDxfId="24"/>
    <tableColumn id="11" xr3:uid="{77B747F2-4114-47B6-BAA2-49209BEF7D77}" uniqueName="11" name="Price_current" queryTableFieldId="11" dataDxfId="49" totalsRowDxfId="23"/>
    <tableColumn id="12" xr3:uid="{F34910E3-E5D9-4F96-9AD1-0454BBA0E09F}" uniqueName="12" name="Price_label" queryTableFieldId="12" dataDxfId="48" totalsRowDxfId="22"/>
    <tableColumn id="13" xr3:uid="{E863F0B2-33BA-4648-A68B-7F99E7CE3D3A}" uniqueName="13" name="Currency" queryTableFieldId="13" dataDxfId="47" totalsRowDxfId="21"/>
    <tableColumn id="14" xr3:uid="{F0BD0746-19A9-445F-8643-1C9CC7A449D1}" uniqueName="14" name="Sort_by_ranking" queryTableFieldId="14" dataDxfId="46" totalsRowDxfId="20"/>
    <tableColumn id="15" xr3:uid="{FA9C3B01-41BF-4A24-BC8C-921E84809045}" uniqueName="15" name="Rating" queryTableFieldId="15" dataDxfId="45" totalsRowDxfId="19"/>
    <tableColumn id="16" xr3:uid="{9B15D2D9-CC30-4567-A6AD-A29EDAE77E0A}" uniqueName="16" name="Reviews_count" queryTableFieldId="16" dataDxfId="44" totalsRowDxfId="18"/>
    <tableColumn id="17" xr3:uid="{09D689FA-5846-4F1D-9DFF-73F4AD189023}" uniqueName="17" name="Promotion" queryTableFieldId="17" dataDxfId="43" totalsRowDxfId="17"/>
    <tableColumn id="18" xr3:uid="{BB072EB7-4993-4977-AA4C-14ED19F0CE88}" uniqueName="18" name="Sku_variant" queryTableFieldId="18" dataDxfId="42" totalsRowDxfId="16"/>
    <tableColumn id="19" xr3:uid="{B00A0024-3F32-4D82-9E5D-52F287BF4FB2}" uniqueName="19" name="In_stock" queryTableFieldId="19" dataDxfId="41" totalsRowDxfId="15"/>
    <tableColumn id="20" xr3:uid="{7A89FEEC-BC14-4DAF-8B5B-DAD6E0F6450A}" uniqueName="20" name="Scan_date" queryTableFieldId="20" dataDxfId="40" totalsRowDxfId="14"/>
    <tableColumn id="21" xr3:uid="{30DF5ED4-A6B9-4CC6-A08D-513E00BB3C83}" uniqueName="21" name="Image_url" queryTableFieldId="21" dataDxfId="39" totalsRowDxfId="13"/>
    <tableColumn id="22" xr3:uid="{9786605C-B368-450C-A48E-EC57AE67BDBE}" uniqueName="22" name="Discount" queryTableFieldId="22" dataDxfId="38" totalsRowDxfId="5" dataCellStyle="Percent">
      <calculatedColumnFormula>(Real_Sales[[#This Row],[Price_retail]]-Real_Sales[[#This Row],[Price_current]])/Real_Sales[[#This Row],[Price_retail]]</calculatedColumnFormula>
    </tableColumn>
    <tableColumn id="23" xr3:uid="{E4208D34-CC49-450D-9F13-A8051FBF85E0}" uniqueName="23" name="Discount Level" queryTableFieldId="23" dataDxfId="37" totalsRowDxfId="12">
      <calculatedColumnFormula array="1">_xlfn.IFS(Real_Sales[[#This Row],[Discount]]=0%,"No Discount",Real_Sales[[#This Row],[Discount]]&lt;=20%,"Light",Real_Sales[[#This Row],[Discount]]&lt;=50%,"Moderate",Real_Sales[[#This Row],[Discount]]&lt;=80%,"High",
TRUE,"Very High")</calculatedColumnFormula>
    </tableColumn>
    <tableColumn id="27" xr3:uid="{31114966-0933-41A2-A004-0606D58722B9}" uniqueName="27" name="Column1" queryTableFieldId="27" dataDxfId="36" totalsRowDxfId="11">
      <calculatedColumnFormula>IF(Real_Sales[[#This Row],[Price_retail]]&gt;$AC$3,"Premium","Average")</calculatedColumnFormula>
    </tableColumn>
    <tableColumn id="28" xr3:uid="{49A2A194-0FE3-4621-A82E-6D1E37F13F26}" uniqueName="28" name="Basic Procut Name" queryTableFieldId="28" dataDxfId="35" totalsRowDxfId="10">
      <calculatedColumnFormula>IF(ISNUMBER(SEARCH("Basic",Real_Sales[[#This Row],[Product_name]])),"Yes","No")</calculatedColumnFormula>
    </tableColumn>
    <tableColumn id="29" xr3:uid="{D262F441-92B9-4069-9EB4-33691BA06AC5}" uniqueName="29" name="Price range" queryTableFieldId="29" dataDxfId="34" totalsRowDxfId="9">
      <calculatedColumnFormula array="1">_xlfn.IFS(Real_Sales[[#This Row],[Price_retail]]&lt;=15,1, Real_Sales[[#This Row],[Price_retail]]&lt;=30,2, Real_Sales[[#This Row],[Price_retail]]&lt;=50,3,Real_Sales[[#This Row],[Price_retail]]&gt;50,4)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E64C5C-7B19-4A4B-BB9A-C3FC66C6BAD5}" name="Sales" displayName="Sales" ref="A1:W997" tableType="queryTable" totalsRowShown="0">
  <autoFilter ref="A1:W997" xr:uid="{39E64C5C-7B19-4A4B-BB9A-C3FC66C6BAD5}"/>
  <tableColumns count="23">
    <tableColumn id="1" xr3:uid="{BC6C6E50-268C-40D7-9B9F-2FA0B10A881E}" uniqueName="1" name="Sku" queryTableFieldId="1" dataDxfId="82"/>
    <tableColumn id="2" xr3:uid="{C5BFFD98-F4D2-4B7B-B8FD-B63C0417D9E6}" uniqueName="2" name="Product_url" queryTableFieldId="2" dataDxfId="81"/>
    <tableColumn id="3" xr3:uid="{74EDDF17-ADBC-4748-BD62-E4F4AD072B1B}" uniqueName="3" name="Brand" queryTableFieldId="3" dataDxfId="80"/>
    <tableColumn id="4" xr3:uid="{CA4A33AE-00EF-43D4-96BB-07C617E758C8}" uniqueName="4" name="Product_name" queryTableFieldId="4" dataDxfId="79"/>
    <tableColumn id="5" xr3:uid="{146DAFFC-CEE4-401D-A536-A383150C0D69}" uniqueName="5" name="Category" queryTableFieldId="5" dataDxfId="78"/>
    <tableColumn id="6" xr3:uid="{D5D2CEE6-EBF4-4F7B-A244-07BA21F2DE8A}" uniqueName="6" name="Subcategory" queryTableFieldId="6" dataDxfId="77"/>
    <tableColumn id="7" xr3:uid="{3B45916E-BF4C-4AC0-9D27-BCD9D23B7510}" uniqueName="7" name="Subsubcategory" queryTableFieldId="7" dataDxfId="76"/>
    <tableColumn id="8" xr3:uid="{71E19C38-DD0C-4365-95B3-5CA996CAA1D2}" uniqueName="8" name="Color" queryTableFieldId="8" dataDxfId="75"/>
    <tableColumn id="9" xr3:uid="{0EC57E4A-5725-4FD8-A69A-A43CDED7140F}" uniqueName="9" name="Size_range" queryTableFieldId="9" dataDxfId="74"/>
    <tableColumn id="10" xr3:uid="{DBAAB68E-F09F-4ACE-8E9E-313C3878CECD}" uniqueName="10" name="Price_retail" queryTableFieldId="10" dataDxfId="73"/>
    <tableColumn id="11" xr3:uid="{CE4DE9E9-A710-43D3-A3D3-3EF0D4ECD166}" uniqueName="11" name="Price_current" queryTableFieldId="11" dataDxfId="72"/>
    <tableColumn id="12" xr3:uid="{F6CA8CD3-8896-4414-BE91-B11F17A8DD5A}" uniqueName="12" name="Price_label" queryTableFieldId="12" dataDxfId="71"/>
    <tableColumn id="13" xr3:uid="{EA92B04E-7E06-4A0C-A12F-5ACCA4865561}" uniqueName="13" name="Currency" queryTableFieldId="13" dataDxfId="70"/>
    <tableColumn id="14" xr3:uid="{5F489C47-E03B-45AE-9554-078399632997}" uniqueName="14" name="Sort_by_ranking" queryTableFieldId="14" dataDxfId="69"/>
    <tableColumn id="15" xr3:uid="{A8B3D374-555F-4448-B1C9-AEEBCF45F945}" uniqueName="15" name="Rating" queryTableFieldId="15" dataDxfId="68"/>
    <tableColumn id="16" xr3:uid="{93FE98CA-2C22-4907-93CC-CBBE33D7593F}" uniqueName="16" name="Reviews_count" queryTableFieldId="16" dataDxfId="67"/>
    <tableColumn id="17" xr3:uid="{498139B2-B998-4960-B4F3-A3A302B79E22}" uniqueName="17" name="Promotion" queryTableFieldId="17" dataDxfId="66"/>
    <tableColumn id="18" xr3:uid="{21D4D820-047F-4D9F-A510-189C43CF8336}" uniqueName="18" name="Sku_variant" queryTableFieldId="18" dataDxfId="65"/>
    <tableColumn id="19" xr3:uid="{972562E3-822B-4A2E-B3A4-4517208C8956}" uniqueName="19" name="In_stock" queryTableFieldId="19" dataDxfId="64"/>
    <tableColumn id="20" xr3:uid="{08CC13A0-39D0-46DC-9999-EE749F306ECD}" uniqueName="20" name="Scan_date" queryTableFieldId="20" dataDxfId="63"/>
    <tableColumn id="21" xr3:uid="{02ADE5D2-2E73-410C-83AD-56DA43719AA4}" uniqueName="21" name="Image_url" queryTableFieldId="21" dataDxfId="62"/>
    <tableColumn id="22" xr3:uid="{6F527572-08ED-4C5A-BEAC-8E80015BA3A1}" uniqueName="22" name="Discount" queryTableFieldId="22" dataDxfId="60" dataCellStyle="Percent">
      <calculatedColumnFormula>(Sales[[#This Row],[Price_retail]]-Sales[[#This Row],[Price_current]])/Sales[[#This Row],[Price_retail]]</calculatedColumnFormula>
    </tableColumn>
    <tableColumn id="23" xr3:uid="{956C5CC6-B441-4F2E-A1F3-D4604791977D}" uniqueName="23" name="Discount Level" queryTableFieldId="23" dataDxfId="61">
      <calculatedColumnFormula array="1">_xlfn.IFS(Sales[[#This Row],[Discount]]=0%,"No Discount",Sales[[#This Row],[Discount]]&lt;=20%,"Light",Sales[[#This Row],[Discount]]&lt;=50%,"Moderate",Sales[[#This Row],[Discount]]&lt;=80%,"High",
TRUE,"Very High")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18C757-00E9-4E4A-AF1A-135E6F95973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6130957-6751-4fd4-98ba-914c55e83bc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FAC0-DFCE-409D-97E8-68AA3939A46D}">
  <dimension ref="B5:P142"/>
  <sheetViews>
    <sheetView showGridLines="0" zoomScale="90" workbookViewId="0">
      <selection activeCell="R20" sqref="R20"/>
    </sheetView>
  </sheetViews>
  <sheetFormatPr defaultRowHeight="14.5" x14ac:dyDescent="0.35"/>
  <cols>
    <col min="2" max="2" width="21.1796875" bestFit="1" customWidth="1"/>
    <col min="3" max="3" width="15.7265625" customWidth="1"/>
    <col min="4" max="4" width="7.453125" bestFit="1" customWidth="1"/>
    <col min="5" max="5" width="15.1796875" bestFit="1" customWidth="1"/>
    <col min="6" max="6" width="10.36328125" bestFit="1" customWidth="1"/>
    <col min="15" max="15" width="26.1796875" customWidth="1"/>
    <col min="16" max="16" width="15.453125" customWidth="1"/>
  </cols>
  <sheetData>
    <row r="5" spans="2:16" x14ac:dyDescent="0.35">
      <c r="O5" s="18" t="s">
        <v>3470</v>
      </c>
    </row>
    <row r="6" spans="2:16" x14ac:dyDescent="0.35">
      <c r="B6" s="8" t="s">
        <v>3459</v>
      </c>
      <c r="F6" s="8" t="s">
        <v>3469</v>
      </c>
    </row>
    <row r="7" spans="2:16" x14ac:dyDescent="0.35">
      <c r="O7" t="s">
        <v>3370</v>
      </c>
      <c r="P7" t="s">
        <v>3468</v>
      </c>
    </row>
    <row r="8" spans="2:16" x14ac:dyDescent="0.35">
      <c r="B8" s="9" t="s">
        <v>3439</v>
      </c>
      <c r="C8" t="s">
        <v>3457</v>
      </c>
      <c r="D8" t="s">
        <v>3458</v>
      </c>
      <c r="O8" s="3" t="s">
        <v>3394</v>
      </c>
      <c r="P8" s="3">
        <v>24</v>
      </c>
    </row>
    <row r="9" spans="2:16" x14ac:dyDescent="0.35">
      <c r="B9" s="10" t="s">
        <v>5</v>
      </c>
      <c r="C9" s="12">
        <v>19.602148594377493</v>
      </c>
      <c r="D9" s="1">
        <v>498</v>
      </c>
      <c r="G9" t="s">
        <v>3462</v>
      </c>
      <c r="H9" t="s">
        <v>3467</v>
      </c>
      <c r="O9" s="3" t="s">
        <v>65</v>
      </c>
      <c r="P9" s="3">
        <v>17</v>
      </c>
    </row>
    <row r="10" spans="2:16" x14ac:dyDescent="0.35">
      <c r="B10" s="16" t="s">
        <v>121</v>
      </c>
      <c r="C10" s="12">
        <v>20.142272727272719</v>
      </c>
      <c r="D10" s="1">
        <v>154</v>
      </c>
      <c r="G10" t="s">
        <v>3463</v>
      </c>
      <c r="H10">
        <v>438</v>
      </c>
      <c r="O10" s="3" t="s">
        <v>242</v>
      </c>
      <c r="P10" s="3">
        <v>16</v>
      </c>
    </row>
    <row r="11" spans="2:16" x14ac:dyDescent="0.35">
      <c r="B11" s="16" t="s">
        <v>6</v>
      </c>
      <c r="C11" s="12">
        <v>19.787616279069752</v>
      </c>
      <c r="D11" s="1">
        <v>172</v>
      </c>
      <c r="G11" t="s">
        <v>3464</v>
      </c>
      <c r="H11">
        <v>422</v>
      </c>
      <c r="O11" s="3" t="s">
        <v>41</v>
      </c>
      <c r="P11" s="3">
        <v>8</v>
      </c>
    </row>
    <row r="12" spans="2:16" x14ac:dyDescent="0.35">
      <c r="B12" s="16" t="s">
        <v>82</v>
      </c>
      <c r="C12" s="12">
        <v>18.933081395348822</v>
      </c>
      <c r="D12" s="1">
        <v>172</v>
      </c>
      <c r="G12" t="s">
        <v>3465</v>
      </c>
      <c r="H12">
        <v>103</v>
      </c>
      <c r="O12" s="3" t="s">
        <v>1743</v>
      </c>
      <c r="P12" s="3">
        <v>8</v>
      </c>
    </row>
    <row r="13" spans="2:16" x14ac:dyDescent="0.35">
      <c r="B13" s="10" t="s">
        <v>17</v>
      </c>
      <c r="C13" s="12">
        <v>18.610452674897093</v>
      </c>
      <c r="D13" s="1">
        <v>486</v>
      </c>
      <c r="G13" t="s">
        <v>3466</v>
      </c>
      <c r="H13">
        <v>103</v>
      </c>
      <c r="O13" s="3" t="s">
        <v>3433</v>
      </c>
      <c r="P13" s="3">
        <v>7</v>
      </c>
    </row>
    <row r="14" spans="2:16" x14ac:dyDescent="0.35">
      <c r="B14" s="16" t="s">
        <v>50</v>
      </c>
      <c r="C14" s="12">
        <v>17.934354838709673</v>
      </c>
      <c r="D14" s="1">
        <v>124</v>
      </c>
      <c r="O14" s="3" t="s">
        <v>2915</v>
      </c>
      <c r="P14" s="3">
        <v>6</v>
      </c>
    </row>
    <row r="15" spans="2:16" x14ac:dyDescent="0.35">
      <c r="B15" s="16" t="s">
        <v>18</v>
      </c>
      <c r="C15" s="12">
        <v>19.650775862068965</v>
      </c>
      <c r="D15" s="1">
        <v>116</v>
      </c>
      <c r="O15" s="3" t="s">
        <v>616</v>
      </c>
      <c r="P15" s="3">
        <v>5</v>
      </c>
    </row>
    <row r="16" spans="2:16" x14ac:dyDescent="0.35">
      <c r="B16" s="16" t="s">
        <v>67</v>
      </c>
      <c r="C16" s="12">
        <v>17.535258620689667</v>
      </c>
      <c r="D16" s="1">
        <v>116</v>
      </c>
      <c r="O16" s="3" t="s">
        <v>126</v>
      </c>
      <c r="P16" s="3">
        <v>5</v>
      </c>
    </row>
    <row r="17" spans="2:16" x14ac:dyDescent="0.35">
      <c r="B17" s="16" t="s">
        <v>27</v>
      </c>
      <c r="C17" s="12">
        <v>19.286461538461534</v>
      </c>
      <c r="D17" s="1">
        <v>130</v>
      </c>
      <c r="O17" s="3" t="s">
        <v>412</v>
      </c>
      <c r="P17" s="3">
        <v>5</v>
      </c>
    </row>
    <row r="18" spans="2:16" x14ac:dyDescent="0.35">
      <c r="B18" s="10" t="s">
        <v>3440</v>
      </c>
      <c r="C18" s="12">
        <v>19.112347560975632</v>
      </c>
      <c r="D18" s="1">
        <v>984</v>
      </c>
      <c r="O18" s="3" t="s">
        <v>333</v>
      </c>
      <c r="P18" s="3">
        <v>5</v>
      </c>
    </row>
    <row r="19" spans="2:16" x14ac:dyDescent="0.35">
      <c r="O19" s="3" t="s">
        <v>25</v>
      </c>
      <c r="P19" s="3">
        <v>5</v>
      </c>
    </row>
    <row r="20" spans="2:16" x14ac:dyDescent="0.35">
      <c r="O20" s="3" t="s">
        <v>423</v>
      </c>
      <c r="P20" s="3">
        <v>4</v>
      </c>
    </row>
    <row r="21" spans="2:16" x14ac:dyDescent="0.35">
      <c r="O21" s="3" t="s">
        <v>750</v>
      </c>
      <c r="P21" s="3">
        <v>4</v>
      </c>
    </row>
    <row r="22" spans="2:16" x14ac:dyDescent="0.35">
      <c r="O22" s="3" t="s">
        <v>1115</v>
      </c>
      <c r="P22" s="3">
        <v>4</v>
      </c>
    </row>
    <row r="23" spans="2:16" x14ac:dyDescent="0.35">
      <c r="B23" s="7"/>
      <c r="O23" s="3" t="s">
        <v>200</v>
      </c>
      <c r="P23" s="3">
        <v>4</v>
      </c>
    </row>
    <row r="24" spans="2:16" x14ac:dyDescent="0.35">
      <c r="O24" s="3" t="s">
        <v>3406</v>
      </c>
      <c r="P24" s="3">
        <v>4</v>
      </c>
    </row>
    <row r="25" spans="2:16" x14ac:dyDescent="0.35">
      <c r="O25" s="3" t="s">
        <v>1090</v>
      </c>
      <c r="P25" s="3">
        <v>3</v>
      </c>
    </row>
    <row r="26" spans="2:16" x14ac:dyDescent="0.35">
      <c r="O26" s="3" t="s">
        <v>318</v>
      </c>
      <c r="P26" s="3">
        <v>3</v>
      </c>
    </row>
    <row r="27" spans="2:16" x14ac:dyDescent="0.35">
      <c r="O27" s="3" t="s">
        <v>541</v>
      </c>
      <c r="P27" s="3">
        <v>3</v>
      </c>
    </row>
    <row r="28" spans="2:16" x14ac:dyDescent="0.35">
      <c r="O28" s="3" t="s">
        <v>569</v>
      </c>
      <c r="P28" s="3">
        <v>3</v>
      </c>
    </row>
    <row r="29" spans="2:16" x14ac:dyDescent="0.35">
      <c r="O29" s="3" t="s">
        <v>265</v>
      </c>
      <c r="P29" s="3">
        <v>3</v>
      </c>
    </row>
    <row r="30" spans="2:16" x14ac:dyDescent="0.35">
      <c r="O30" s="3" t="s">
        <v>306</v>
      </c>
      <c r="P30" s="3">
        <v>3</v>
      </c>
    </row>
    <row r="31" spans="2:16" x14ac:dyDescent="0.35">
      <c r="O31" s="3" t="s">
        <v>3410</v>
      </c>
      <c r="P31" s="3">
        <v>3</v>
      </c>
    </row>
    <row r="32" spans="2:16" x14ac:dyDescent="0.35">
      <c r="O32" s="3" t="s">
        <v>721</v>
      </c>
      <c r="P32" s="3">
        <v>3</v>
      </c>
    </row>
    <row r="33" spans="15:16" x14ac:dyDescent="0.35">
      <c r="O33" s="3" t="s">
        <v>367</v>
      </c>
      <c r="P33" s="3">
        <v>3</v>
      </c>
    </row>
    <row r="34" spans="15:16" x14ac:dyDescent="0.35">
      <c r="O34" s="3" t="s">
        <v>1402</v>
      </c>
      <c r="P34" s="3">
        <v>2</v>
      </c>
    </row>
    <row r="35" spans="15:16" x14ac:dyDescent="0.35">
      <c r="O35" s="3" t="s">
        <v>484</v>
      </c>
      <c r="P35" s="3">
        <v>2</v>
      </c>
    </row>
    <row r="36" spans="15:16" x14ac:dyDescent="0.35">
      <c r="O36" s="3" t="s">
        <v>995</v>
      </c>
      <c r="P36" s="3">
        <v>2</v>
      </c>
    </row>
    <row r="37" spans="15:16" hidden="1" x14ac:dyDescent="0.35">
      <c r="O37" s="3" t="s">
        <v>219</v>
      </c>
      <c r="P37" s="3">
        <v>0</v>
      </c>
    </row>
    <row r="38" spans="15:16" x14ac:dyDescent="0.35">
      <c r="O38" s="3" t="s">
        <v>119</v>
      </c>
      <c r="P38" s="3">
        <v>2</v>
      </c>
    </row>
    <row r="39" spans="15:16" x14ac:dyDescent="0.35">
      <c r="O39" s="3" t="s">
        <v>1542</v>
      </c>
      <c r="P39" s="3">
        <v>2</v>
      </c>
    </row>
    <row r="40" spans="15:16" hidden="1" x14ac:dyDescent="0.35">
      <c r="O40" s="3" t="s">
        <v>454</v>
      </c>
      <c r="P40" s="3">
        <v>0</v>
      </c>
    </row>
    <row r="41" spans="15:16" x14ac:dyDescent="0.35">
      <c r="O41" s="3" t="s">
        <v>132</v>
      </c>
      <c r="P41" s="3">
        <v>2</v>
      </c>
    </row>
    <row r="42" spans="15:16" x14ac:dyDescent="0.35">
      <c r="O42" s="3" t="s">
        <v>271</v>
      </c>
      <c r="P42" s="3">
        <v>2</v>
      </c>
    </row>
    <row r="43" spans="15:16" x14ac:dyDescent="0.35">
      <c r="O43" s="3" t="s">
        <v>102</v>
      </c>
      <c r="P43" s="3">
        <v>2</v>
      </c>
    </row>
    <row r="44" spans="15:16" x14ac:dyDescent="0.35">
      <c r="O44" s="3" t="s">
        <v>108</v>
      </c>
      <c r="P44" s="3">
        <v>2</v>
      </c>
    </row>
    <row r="45" spans="15:16" hidden="1" x14ac:dyDescent="0.35">
      <c r="O45" s="3" t="s">
        <v>1073</v>
      </c>
      <c r="P45" s="3">
        <v>0</v>
      </c>
    </row>
    <row r="46" spans="15:16" x14ac:dyDescent="0.35">
      <c r="O46" s="3" t="s">
        <v>323</v>
      </c>
      <c r="P46" s="3">
        <v>2</v>
      </c>
    </row>
    <row r="47" spans="15:16" x14ac:dyDescent="0.35">
      <c r="O47" s="3" t="s">
        <v>1425</v>
      </c>
      <c r="P47" s="3">
        <v>2</v>
      </c>
    </row>
    <row r="48" spans="15:16" x14ac:dyDescent="0.35">
      <c r="O48" s="3" t="s">
        <v>1010</v>
      </c>
      <c r="P48" s="3">
        <v>2</v>
      </c>
    </row>
    <row r="49" spans="15:16" x14ac:dyDescent="0.35">
      <c r="O49" s="3" t="s">
        <v>3400</v>
      </c>
      <c r="P49" s="3">
        <v>2</v>
      </c>
    </row>
    <row r="50" spans="15:16" hidden="1" x14ac:dyDescent="0.35">
      <c r="O50" s="3" t="s">
        <v>80</v>
      </c>
      <c r="P50" s="3">
        <v>0</v>
      </c>
    </row>
    <row r="51" spans="15:16" x14ac:dyDescent="0.35">
      <c r="O51" s="3" t="s">
        <v>3412</v>
      </c>
      <c r="P51" s="3">
        <v>2</v>
      </c>
    </row>
    <row r="52" spans="15:16" x14ac:dyDescent="0.35">
      <c r="O52" s="3" t="s">
        <v>1747</v>
      </c>
      <c r="P52" s="3">
        <v>2</v>
      </c>
    </row>
    <row r="53" spans="15:16" x14ac:dyDescent="0.35">
      <c r="O53" s="3" t="s">
        <v>57</v>
      </c>
      <c r="P53" s="3">
        <v>2</v>
      </c>
    </row>
    <row r="54" spans="15:16" hidden="1" x14ac:dyDescent="0.35">
      <c r="O54" s="3" t="s">
        <v>790</v>
      </c>
      <c r="P54" s="3">
        <v>0</v>
      </c>
    </row>
    <row r="55" spans="15:16" x14ac:dyDescent="0.35">
      <c r="O55" s="3" t="s">
        <v>703</v>
      </c>
      <c r="P55" s="3">
        <v>2</v>
      </c>
    </row>
    <row r="56" spans="15:16" hidden="1" x14ac:dyDescent="0.35">
      <c r="O56" s="3" t="s">
        <v>1086</v>
      </c>
      <c r="P56" s="3">
        <v>0</v>
      </c>
    </row>
    <row r="57" spans="15:16" hidden="1" x14ac:dyDescent="0.35">
      <c r="O57" s="3" t="s">
        <v>1180</v>
      </c>
      <c r="P57" s="3">
        <v>0</v>
      </c>
    </row>
    <row r="58" spans="15:16" x14ac:dyDescent="0.35">
      <c r="O58" s="3" t="s">
        <v>213</v>
      </c>
      <c r="P58" s="3">
        <v>2</v>
      </c>
    </row>
    <row r="59" spans="15:16" hidden="1" x14ac:dyDescent="0.35">
      <c r="O59" s="3" t="s">
        <v>1973</v>
      </c>
      <c r="P59" s="3">
        <v>0</v>
      </c>
    </row>
    <row r="60" spans="15:16" hidden="1" x14ac:dyDescent="0.35">
      <c r="O60" s="3" t="s">
        <v>1839</v>
      </c>
      <c r="P60" s="3">
        <v>0</v>
      </c>
    </row>
    <row r="61" spans="15:16" x14ac:dyDescent="0.35">
      <c r="O61" s="3" t="s">
        <v>525</v>
      </c>
      <c r="P61" s="3">
        <v>2</v>
      </c>
    </row>
    <row r="62" spans="15:16" x14ac:dyDescent="0.35">
      <c r="O62" s="3" t="s">
        <v>886</v>
      </c>
      <c r="P62" s="3">
        <v>2</v>
      </c>
    </row>
    <row r="63" spans="15:16" x14ac:dyDescent="0.35">
      <c r="O63" s="3" t="s">
        <v>2</v>
      </c>
      <c r="P63" s="3">
        <v>2</v>
      </c>
    </row>
    <row r="64" spans="15:16" x14ac:dyDescent="0.35">
      <c r="O64" s="3" t="s">
        <v>114</v>
      </c>
      <c r="P64" s="3">
        <v>2</v>
      </c>
    </row>
    <row r="65" spans="15:16" hidden="1" x14ac:dyDescent="0.35">
      <c r="O65" s="3" t="s">
        <v>3420</v>
      </c>
      <c r="P65" s="3">
        <v>0</v>
      </c>
    </row>
    <row r="66" spans="15:16" x14ac:dyDescent="0.35">
      <c r="O66" s="3" t="s">
        <v>1028</v>
      </c>
      <c r="P66" s="3">
        <v>2</v>
      </c>
    </row>
    <row r="67" spans="15:16" hidden="1" x14ac:dyDescent="0.35">
      <c r="O67" s="3" t="s">
        <v>3404</v>
      </c>
      <c r="P67" s="3">
        <v>0</v>
      </c>
    </row>
    <row r="68" spans="15:16" hidden="1" x14ac:dyDescent="0.35">
      <c r="O68" s="3" t="s">
        <v>469</v>
      </c>
      <c r="P68" s="3">
        <v>0</v>
      </c>
    </row>
    <row r="69" spans="15:16" x14ac:dyDescent="0.35">
      <c r="O69" s="3" t="s">
        <v>1135</v>
      </c>
      <c r="P69" s="3">
        <v>2</v>
      </c>
    </row>
    <row r="70" spans="15:16" x14ac:dyDescent="0.35">
      <c r="O70" s="3" t="s">
        <v>246</v>
      </c>
      <c r="P70" s="3">
        <v>1</v>
      </c>
    </row>
    <row r="71" spans="15:16" x14ac:dyDescent="0.35">
      <c r="O71" s="3" t="s">
        <v>3409</v>
      </c>
      <c r="P71" s="3">
        <v>1</v>
      </c>
    </row>
    <row r="72" spans="15:16" x14ac:dyDescent="0.35">
      <c r="O72" s="3" t="s">
        <v>3413</v>
      </c>
      <c r="P72" s="3">
        <v>1</v>
      </c>
    </row>
    <row r="73" spans="15:16" hidden="1" x14ac:dyDescent="0.35">
      <c r="O73" s="3" t="s">
        <v>3426</v>
      </c>
      <c r="P73" s="3">
        <v>0</v>
      </c>
    </row>
    <row r="74" spans="15:16" hidden="1" x14ac:dyDescent="0.35">
      <c r="O74" s="3" t="s">
        <v>2210</v>
      </c>
      <c r="P74" s="3">
        <v>0</v>
      </c>
    </row>
    <row r="75" spans="15:16" hidden="1" x14ac:dyDescent="0.35">
      <c r="O75" s="3" t="s">
        <v>963</v>
      </c>
      <c r="P75" s="3">
        <v>0</v>
      </c>
    </row>
    <row r="76" spans="15:16" x14ac:dyDescent="0.35">
      <c r="O76" s="3" t="s">
        <v>2179</v>
      </c>
      <c r="P76" s="3">
        <v>1</v>
      </c>
    </row>
    <row r="77" spans="15:16" x14ac:dyDescent="0.35">
      <c r="O77" s="3" t="s">
        <v>1372</v>
      </c>
      <c r="P77" s="3">
        <v>1</v>
      </c>
    </row>
    <row r="78" spans="15:16" x14ac:dyDescent="0.35">
      <c r="O78" s="3" t="s">
        <v>3396</v>
      </c>
      <c r="P78" s="3">
        <v>1</v>
      </c>
    </row>
    <row r="79" spans="15:16" hidden="1" x14ac:dyDescent="0.35">
      <c r="O79" s="3" t="s">
        <v>2781</v>
      </c>
      <c r="P79" s="3">
        <v>0</v>
      </c>
    </row>
    <row r="80" spans="15:16" hidden="1" x14ac:dyDescent="0.35">
      <c r="O80" s="3" t="s">
        <v>1594</v>
      </c>
      <c r="P80" s="3">
        <v>0</v>
      </c>
    </row>
    <row r="81" spans="15:16" x14ac:dyDescent="0.35">
      <c r="O81" s="3" t="s">
        <v>3417</v>
      </c>
      <c r="P81" s="3">
        <v>1</v>
      </c>
    </row>
    <row r="82" spans="15:16" x14ac:dyDescent="0.35">
      <c r="O82" s="3" t="s">
        <v>252</v>
      </c>
      <c r="P82" s="3">
        <v>1</v>
      </c>
    </row>
    <row r="83" spans="15:16" x14ac:dyDescent="0.35">
      <c r="O83" s="3" t="s">
        <v>1421</v>
      </c>
      <c r="P83" s="3">
        <v>1</v>
      </c>
    </row>
    <row r="84" spans="15:16" x14ac:dyDescent="0.35">
      <c r="O84" s="3" t="s">
        <v>1481</v>
      </c>
      <c r="P84" s="3">
        <v>1</v>
      </c>
    </row>
    <row r="85" spans="15:16" hidden="1" x14ac:dyDescent="0.35">
      <c r="O85" s="3" t="s">
        <v>1888</v>
      </c>
      <c r="P85" s="3">
        <v>0</v>
      </c>
    </row>
    <row r="86" spans="15:16" hidden="1" x14ac:dyDescent="0.35">
      <c r="O86" s="3" t="s">
        <v>690</v>
      </c>
      <c r="P86" s="3">
        <v>0</v>
      </c>
    </row>
    <row r="87" spans="15:16" hidden="1" x14ac:dyDescent="0.35">
      <c r="O87" s="3" t="s">
        <v>1797</v>
      </c>
      <c r="P87" s="3">
        <v>0</v>
      </c>
    </row>
    <row r="88" spans="15:16" x14ac:dyDescent="0.35">
      <c r="O88" s="3" t="s">
        <v>3407</v>
      </c>
      <c r="P88" s="3">
        <v>1</v>
      </c>
    </row>
    <row r="89" spans="15:16" hidden="1" x14ac:dyDescent="0.35">
      <c r="O89" s="3" t="s">
        <v>1154</v>
      </c>
      <c r="P89" s="3">
        <v>0</v>
      </c>
    </row>
    <row r="90" spans="15:16" x14ac:dyDescent="0.35">
      <c r="O90" s="3" t="s">
        <v>1822</v>
      </c>
      <c r="P90" s="3">
        <v>1</v>
      </c>
    </row>
    <row r="91" spans="15:16" x14ac:dyDescent="0.35">
      <c r="O91" s="3" t="s">
        <v>3434</v>
      </c>
      <c r="P91" s="3">
        <v>1</v>
      </c>
    </row>
    <row r="92" spans="15:16" x14ac:dyDescent="0.35">
      <c r="O92" s="3" t="s">
        <v>786</v>
      </c>
      <c r="P92" s="3">
        <v>1</v>
      </c>
    </row>
    <row r="93" spans="15:16" hidden="1" x14ac:dyDescent="0.35">
      <c r="O93" s="3" t="s">
        <v>505</v>
      </c>
      <c r="P93" s="3">
        <v>0</v>
      </c>
    </row>
    <row r="94" spans="15:16" x14ac:dyDescent="0.35">
      <c r="O94" s="3" t="s">
        <v>1359</v>
      </c>
      <c r="P94" s="3">
        <v>1</v>
      </c>
    </row>
    <row r="95" spans="15:16" x14ac:dyDescent="0.35">
      <c r="O95" s="3" t="s">
        <v>1468</v>
      </c>
      <c r="P95" s="3">
        <v>1</v>
      </c>
    </row>
    <row r="96" spans="15:16" hidden="1" x14ac:dyDescent="0.35">
      <c r="O96" s="3" t="s">
        <v>746</v>
      </c>
      <c r="P96" s="3">
        <v>0</v>
      </c>
    </row>
    <row r="97" spans="15:16" x14ac:dyDescent="0.35">
      <c r="O97" s="3" t="s">
        <v>682</v>
      </c>
      <c r="P97" s="3">
        <v>1</v>
      </c>
    </row>
    <row r="98" spans="15:16" x14ac:dyDescent="0.35">
      <c r="O98" s="3" t="s">
        <v>565</v>
      </c>
      <c r="P98" s="3">
        <v>1</v>
      </c>
    </row>
    <row r="99" spans="15:16" x14ac:dyDescent="0.35">
      <c r="O99" s="3" t="s">
        <v>585</v>
      </c>
      <c r="P99" s="3">
        <v>1</v>
      </c>
    </row>
    <row r="100" spans="15:16" x14ac:dyDescent="0.35">
      <c r="O100" s="3" t="s">
        <v>999</v>
      </c>
      <c r="P100" s="3">
        <v>1</v>
      </c>
    </row>
    <row r="101" spans="15:16" x14ac:dyDescent="0.35">
      <c r="O101" s="3" t="s">
        <v>1670</v>
      </c>
      <c r="P101" s="3">
        <v>1</v>
      </c>
    </row>
    <row r="102" spans="15:16" hidden="1" x14ac:dyDescent="0.35">
      <c r="O102" s="3" t="s">
        <v>461</v>
      </c>
      <c r="P102" s="3">
        <v>0</v>
      </c>
    </row>
    <row r="103" spans="15:16" x14ac:dyDescent="0.35">
      <c r="O103" s="3" t="s">
        <v>1784</v>
      </c>
      <c r="P103" s="3">
        <v>1</v>
      </c>
    </row>
    <row r="104" spans="15:16" hidden="1" x14ac:dyDescent="0.35">
      <c r="O104" s="3" t="s">
        <v>1281</v>
      </c>
      <c r="P104" s="3">
        <v>0</v>
      </c>
    </row>
    <row r="105" spans="15:16" hidden="1" x14ac:dyDescent="0.35">
      <c r="O105" s="3" t="s">
        <v>3414</v>
      </c>
      <c r="P105" s="3">
        <v>0</v>
      </c>
    </row>
    <row r="106" spans="15:16" hidden="1" x14ac:dyDescent="0.35">
      <c r="O106" s="3" t="s">
        <v>1143</v>
      </c>
      <c r="P106" s="3">
        <v>0</v>
      </c>
    </row>
    <row r="107" spans="15:16" x14ac:dyDescent="0.35">
      <c r="O107" s="3" t="s">
        <v>96</v>
      </c>
      <c r="P107" s="3">
        <v>1</v>
      </c>
    </row>
    <row r="108" spans="15:16" x14ac:dyDescent="0.35">
      <c r="O108" s="3" t="s">
        <v>88</v>
      </c>
      <c r="P108" s="3">
        <v>1</v>
      </c>
    </row>
    <row r="109" spans="15:16" x14ac:dyDescent="0.35">
      <c r="O109" s="3" t="s">
        <v>387</v>
      </c>
      <c r="P109" s="3">
        <v>1</v>
      </c>
    </row>
    <row r="110" spans="15:16" x14ac:dyDescent="0.35">
      <c r="O110" s="3" t="s">
        <v>1314</v>
      </c>
      <c r="P110" s="3">
        <v>1</v>
      </c>
    </row>
    <row r="111" spans="15:16" x14ac:dyDescent="0.35">
      <c r="O111" s="3" t="s">
        <v>1581</v>
      </c>
      <c r="P111" s="3">
        <v>1</v>
      </c>
    </row>
    <row r="112" spans="15:16" x14ac:dyDescent="0.35">
      <c r="O112" s="3" t="s">
        <v>300</v>
      </c>
      <c r="P112" s="3">
        <v>1</v>
      </c>
    </row>
    <row r="113" spans="15:16" x14ac:dyDescent="0.35">
      <c r="O113" s="3" t="s">
        <v>978</v>
      </c>
      <c r="P113" s="3">
        <v>1</v>
      </c>
    </row>
    <row r="114" spans="15:16" hidden="1" x14ac:dyDescent="0.35">
      <c r="O114" s="3" t="s">
        <v>1242</v>
      </c>
      <c r="P114" s="3">
        <v>0</v>
      </c>
    </row>
    <row r="115" spans="15:16" x14ac:dyDescent="0.35">
      <c r="O115" s="3" t="s">
        <v>399</v>
      </c>
      <c r="P115" s="3">
        <v>1</v>
      </c>
    </row>
    <row r="116" spans="15:16" hidden="1" x14ac:dyDescent="0.35">
      <c r="O116" s="3" t="s">
        <v>3419</v>
      </c>
      <c r="P116" s="3">
        <v>0</v>
      </c>
    </row>
    <row r="117" spans="15:16" x14ac:dyDescent="0.35">
      <c r="O117" s="3" t="s">
        <v>383</v>
      </c>
      <c r="P117" s="3">
        <v>1</v>
      </c>
    </row>
    <row r="118" spans="15:16" x14ac:dyDescent="0.35">
      <c r="O118" s="3" t="s">
        <v>3423</v>
      </c>
      <c r="P118" s="3">
        <v>1</v>
      </c>
    </row>
    <row r="119" spans="15:16" x14ac:dyDescent="0.35">
      <c r="O119" s="3" t="s">
        <v>3405</v>
      </c>
      <c r="P119" s="3">
        <v>1</v>
      </c>
    </row>
    <row r="120" spans="15:16" hidden="1" x14ac:dyDescent="0.35">
      <c r="O120" s="3" t="s">
        <v>1355</v>
      </c>
      <c r="P120" s="3">
        <v>0</v>
      </c>
    </row>
    <row r="121" spans="15:16" x14ac:dyDescent="0.35">
      <c r="O121" s="3" t="s">
        <v>157</v>
      </c>
      <c r="P121" s="3">
        <v>1</v>
      </c>
    </row>
    <row r="122" spans="15:16" hidden="1" x14ac:dyDescent="0.35">
      <c r="O122" s="3" t="s">
        <v>1628</v>
      </c>
      <c r="P122" s="3">
        <v>0</v>
      </c>
    </row>
    <row r="123" spans="15:16" x14ac:dyDescent="0.35">
      <c r="O123" s="3" t="s">
        <v>1549</v>
      </c>
      <c r="P123" s="3">
        <v>1</v>
      </c>
    </row>
    <row r="124" spans="15:16" hidden="1" x14ac:dyDescent="0.35">
      <c r="O124" s="3" t="s">
        <v>1237</v>
      </c>
      <c r="P124" s="3">
        <v>0</v>
      </c>
    </row>
    <row r="125" spans="15:16" hidden="1" x14ac:dyDescent="0.35">
      <c r="O125" s="3" t="s">
        <v>546</v>
      </c>
      <c r="P125" s="3">
        <v>0</v>
      </c>
    </row>
    <row r="126" spans="15:16" hidden="1" x14ac:dyDescent="0.35">
      <c r="O126" s="3" t="s">
        <v>698</v>
      </c>
      <c r="P126" s="3">
        <v>0</v>
      </c>
    </row>
    <row r="127" spans="15:16" hidden="1" x14ac:dyDescent="0.35">
      <c r="O127" s="3" t="s">
        <v>510</v>
      </c>
      <c r="P127" s="3">
        <v>0</v>
      </c>
    </row>
    <row r="128" spans="15:16" x14ac:dyDescent="0.35">
      <c r="O128" s="3" t="s">
        <v>901</v>
      </c>
      <c r="P128" s="3">
        <v>1</v>
      </c>
    </row>
    <row r="129" spans="15:16" x14ac:dyDescent="0.35">
      <c r="O129" s="3" t="s">
        <v>3398</v>
      </c>
      <c r="P129" s="3">
        <v>1</v>
      </c>
    </row>
    <row r="130" spans="15:16" hidden="1" x14ac:dyDescent="0.35">
      <c r="O130" s="3" t="s">
        <v>2374</v>
      </c>
      <c r="P130" s="3">
        <v>0</v>
      </c>
    </row>
    <row r="131" spans="15:16" x14ac:dyDescent="0.35">
      <c r="O131" s="3" t="s">
        <v>3430</v>
      </c>
      <c r="P131" s="3">
        <v>1</v>
      </c>
    </row>
    <row r="132" spans="15:16" x14ac:dyDescent="0.35">
      <c r="O132" s="3" t="s">
        <v>48</v>
      </c>
      <c r="P132" s="3">
        <v>1</v>
      </c>
    </row>
    <row r="133" spans="15:16" hidden="1" x14ac:dyDescent="0.35">
      <c r="O133" s="3" t="s">
        <v>741</v>
      </c>
      <c r="P133" s="3">
        <v>0</v>
      </c>
    </row>
    <row r="134" spans="15:16" x14ac:dyDescent="0.35">
      <c r="O134" s="3" t="s">
        <v>2409</v>
      </c>
      <c r="P134" s="3">
        <v>1</v>
      </c>
    </row>
    <row r="135" spans="15:16" hidden="1" x14ac:dyDescent="0.35">
      <c r="O135" s="3" t="s">
        <v>1392</v>
      </c>
      <c r="P135" s="3">
        <v>0</v>
      </c>
    </row>
    <row r="136" spans="15:16" x14ac:dyDescent="0.35">
      <c r="O136" s="3" t="s">
        <v>561</v>
      </c>
      <c r="P136" s="3">
        <v>1</v>
      </c>
    </row>
    <row r="137" spans="15:16" x14ac:dyDescent="0.35">
      <c r="O137" s="3" t="s">
        <v>3401</v>
      </c>
      <c r="P137" s="3">
        <v>1</v>
      </c>
    </row>
    <row r="138" spans="15:16" hidden="1" x14ac:dyDescent="0.35">
      <c r="O138" s="3" t="s">
        <v>985</v>
      </c>
      <c r="P138" s="3">
        <v>0</v>
      </c>
    </row>
    <row r="139" spans="15:16" x14ac:dyDescent="0.35">
      <c r="O139" s="3" t="s">
        <v>1615</v>
      </c>
      <c r="P139" s="3">
        <v>1</v>
      </c>
    </row>
    <row r="140" spans="15:16" hidden="1" x14ac:dyDescent="0.35">
      <c r="O140" s="3" t="s">
        <v>489</v>
      </c>
      <c r="P140" s="3">
        <v>0</v>
      </c>
    </row>
    <row r="141" spans="15:16" x14ac:dyDescent="0.35">
      <c r="O141" s="3" t="s">
        <v>733</v>
      </c>
      <c r="P141" s="3">
        <v>1</v>
      </c>
    </row>
    <row r="142" spans="15:16" x14ac:dyDescent="0.35">
      <c r="O142" s="3" t="s">
        <v>797</v>
      </c>
      <c r="P142" s="3">
        <v>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5357-5B66-4323-A3E8-E23781D0BB7B}">
  <dimension ref="B2:E14"/>
  <sheetViews>
    <sheetView workbookViewId="0">
      <selection activeCell="G34" sqref="G34"/>
    </sheetView>
  </sheetViews>
  <sheetFormatPr defaultRowHeight="14.5" x14ac:dyDescent="0.35"/>
  <cols>
    <col min="3" max="3" width="28.81640625" bestFit="1" customWidth="1"/>
    <col min="4" max="4" width="10.81640625" bestFit="1" customWidth="1"/>
    <col min="5" max="5" width="11.6328125" bestFit="1" customWidth="1"/>
  </cols>
  <sheetData>
    <row r="2" spans="2:5" ht="21" x14ac:dyDescent="0.55000000000000004">
      <c r="B2" s="21" t="s">
        <v>3471</v>
      </c>
    </row>
    <row r="4" spans="2:5" ht="15.5" x14ac:dyDescent="0.35">
      <c r="B4" s="20" t="s">
        <v>3456</v>
      </c>
      <c r="C4" t="s">
        <v>3454</v>
      </c>
      <c r="D4" t="s">
        <v>3370</v>
      </c>
      <c r="E4" t="s">
        <v>3455</v>
      </c>
    </row>
    <row r="5" spans="2:5" x14ac:dyDescent="0.35">
      <c r="B5" t="s">
        <v>1110</v>
      </c>
      <c r="C5" t="str" cm="1">
        <f t="array" ref="C5">_xlfn.XLOOKUP(B5,Real_Sales[[#All],[Sku]],Real_Sales[[#All],[Product_name]])</f>
        <v>Essential T-SHIRT - RED</v>
      </c>
      <c r="D5" t="str" cm="1">
        <f t="array" ref="D5">_xlfn.XLOOKUP('Product Lookup &amp; Search'!B5,Real_Sales[[#All],[Sku]],Real_Sales[[#All],[Brand]])</f>
        <v>Only &amp; Sons</v>
      </c>
      <c r="E5" cm="1">
        <f t="array" ref="E5">_xlfn.XLOOKUP(B5,Real_Sales[[#All],[Sku]],Real_Sales[[#All],[Price_retail]])</f>
        <v>36.159999999999997</v>
      </c>
    </row>
    <row r="6" spans="2:5" x14ac:dyDescent="0.35">
      <c r="B6" s="19" t="s">
        <v>924</v>
      </c>
      <c r="C6" t="str" cm="1">
        <f t="array" ref="C6">_xlfn.XLOOKUP(B6,Real_Sales[[#All],[Sku]],Real_Sales[[#All],[Product_name]])</f>
        <v>Print T-SHIRT - GREY MELANGE</v>
      </c>
      <c r="D6" t="str" cm="1">
        <f t="array" ref="D6">_xlfn.XLOOKUP('Product Lookup &amp; Search'!B6,Real_Sales[[#All],[Sku]],Real_Sales[[#All],[Brand]])</f>
        <v>Lacoste</v>
      </c>
      <c r="E6" cm="1">
        <f t="array" ref="E6">_xlfn.XLOOKUP(B6,Real_Sales[[#All],[Sku]],Real_Sales[[#All],[Price_retail]])</f>
        <v>8.99</v>
      </c>
    </row>
    <row r="7" spans="2:5" x14ac:dyDescent="0.35">
      <c r="B7" s="19" t="s">
        <v>1929</v>
      </c>
      <c r="C7" t="str" cm="1">
        <f t="array" ref="C7">_xlfn.XLOOKUP(B7,Real_Sales[[#All],[Sku]],Real_Sales[[#All],[Product_name]])</f>
        <v>Basic T-SHIRT - DENIM BLUE</v>
      </c>
      <c r="D7" t="str" cm="1">
        <f t="array" ref="D7">_xlfn.XLOOKUP('Product Lookup &amp; Search'!B7,Real_Sales[[#All],[Sku]],Real_Sales[[#All],[Brand]])</f>
        <v>Adidas Performance</v>
      </c>
      <c r="E7" cm="1">
        <f t="array" ref="E7">_xlfn.XLOOKUP(B7,Real_Sales[[#All],[Sku]],Real_Sales[[#All],[Price_retail]])</f>
        <v>8.99</v>
      </c>
    </row>
    <row r="8" spans="2:5" x14ac:dyDescent="0.35">
      <c r="B8" s="19" t="s">
        <v>1509</v>
      </c>
      <c r="C8" t="str" cm="1">
        <f t="array" ref="C8">_xlfn.XLOOKUP(B8,Real_Sales[[#All],[Sku]],Real_Sales[[#All],[Product_name]])</f>
        <v>Slim Fit T-SHIRT - BORDEAUX</v>
      </c>
      <c r="D8" t="str" cm="1">
        <f t="array" ref="D8">_xlfn.XLOOKUP('Product Lookup &amp; Search'!B8,Real_Sales[[#All],[Sku]],Real_Sales[[#All],[Brand]])</f>
        <v>Urban Classics</v>
      </c>
      <c r="E8" cm="1">
        <f t="array" ref="E8">_xlfn.XLOOKUP(B8,Real_Sales[[#All],[Sku]],Real_Sales[[#All],[Price_retail]])</f>
        <v>8.99</v>
      </c>
    </row>
    <row r="9" spans="2:5" x14ac:dyDescent="0.35">
      <c r="B9" s="19" t="s">
        <v>1217</v>
      </c>
      <c r="C9" t="str" cm="1">
        <f t="array" ref="C9">_xlfn.XLOOKUP(B9,Real_Sales[[#All],[Sku]],Real_Sales[[#All],[Product_name]])</f>
        <v>Essential POLO - BORDEAUX</v>
      </c>
      <c r="D9" t="str" cm="1">
        <f t="array" ref="D9">_xlfn.XLOOKUP('Product Lookup &amp; Search'!B9,Real_Sales[[#All],[Sku]],Real_Sales[[#All],[Brand]])</f>
        <v>Blend She</v>
      </c>
      <c r="E9" cm="1">
        <f t="array" ref="E9">_xlfn.XLOOKUP(B9,Real_Sales[[#All],[Sku]],Real_Sales[[#All],[Price_retail]])</f>
        <v>8.99</v>
      </c>
    </row>
    <row r="10" spans="2:5" x14ac:dyDescent="0.35">
      <c r="B10" s="19" t="s">
        <v>2581</v>
      </c>
      <c r="C10" t="str" cm="1">
        <f t="array" ref="C10">_xlfn.XLOOKUP(B10,Real_Sales[[#All],[Sku]],Real_Sales[[#All],[Product_name]])</f>
        <v>Slim Fit T-SHIRT - OLIVE</v>
      </c>
      <c r="D10" t="str" cm="1">
        <f t="array" ref="D10">_xlfn.XLOOKUP('Product Lookup &amp; Search'!B10,Real_Sales[[#All],[Sku]],Real_Sales[[#All],[Brand]])</f>
        <v>Seidensticker</v>
      </c>
      <c r="E10" cm="1">
        <f t="array" ref="E10">_xlfn.XLOOKUP(B10,Real_Sales[[#All],[Sku]],Real_Sales[[#All],[Price_retail]])</f>
        <v>8.99</v>
      </c>
    </row>
    <row r="11" spans="2:5" x14ac:dyDescent="0.35">
      <c r="B11" s="19" t="s">
        <v>1033</v>
      </c>
      <c r="C11" t="str" cm="1">
        <f t="array" ref="C11">_xlfn.XLOOKUP(B11,Real_Sales[[#All],[Sku]],Real_Sales[[#All],[Product_name]])</f>
        <v>Slim Fit T-SHIRT - MINT</v>
      </c>
      <c r="D11" t="str" cm="1">
        <f t="array" ref="D11">_xlfn.XLOOKUP('Product Lookup &amp; Search'!B11,Real_Sales[[#All],[Sku]],Real_Sales[[#All],[Brand]])</f>
        <v>Fila</v>
      </c>
      <c r="E11" cm="1">
        <f t="array" ref="E11">_xlfn.XLOOKUP(B11,Real_Sales[[#All],[Sku]],Real_Sales[[#All],[Price_retail]])</f>
        <v>8.99</v>
      </c>
    </row>
    <row r="12" spans="2:5" x14ac:dyDescent="0.35">
      <c r="B12" s="19" t="s">
        <v>3032</v>
      </c>
      <c r="C12" t="str" cm="1">
        <f t="array" ref="C12">_xlfn.XLOOKUP(B12,Real_Sales[[#All],[Sku]],Real_Sales[[#All],[Product_name]])</f>
        <v>Regular Fit T-SHIRT - DARK BLUE</v>
      </c>
      <c r="D12" t="str" cm="1">
        <f t="array" ref="D12">_xlfn.XLOOKUP('Product Lookup &amp; Search'!B12,Real_Sales[[#All],[Sku]],Real_Sales[[#All],[Brand]])</f>
        <v>Nike</v>
      </c>
      <c r="E12" cm="1">
        <f t="array" ref="E12">_xlfn.XLOOKUP(B12,Real_Sales[[#All],[Sku]],Real_Sales[[#All],[Price_retail]])</f>
        <v>10.71</v>
      </c>
    </row>
    <row r="13" spans="2:5" x14ac:dyDescent="0.35">
      <c r="B13" s="19" t="s">
        <v>3032</v>
      </c>
      <c r="C13" t="str" cm="1">
        <f t="array" ref="C13">_xlfn.XLOOKUP(B13,Real_Sales[[#All],[Sku]],Real_Sales[[#All],[Product_name]])</f>
        <v>Regular Fit T-SHIRT - DARK BLUE</v>
      </c>
      <c r="D13" t="str" cm="1">
        <f t="array" ref="D13">_xlfn.XLOOKUP('Product Lookup &amp; Search'!B13,Real_Sales[[#All],[Sku]],Real_Sales[[#All],[Brand]])</f>
        <v>Nike</v>
      </c>
      <c r="E13" cm="1">
        <f t="array" ref="E13">_xlfn.XLOOKUP(B13,Real_Sales[[#All],[Sku]],Real_Sales[[#All],[Price_retail]])</f>
        <v>10.71</v>
      </c>
    </row>
    <row r="14" spans="2:5" x14ac:dyDescent="0.35">
      <c r="B14" s="19" t="s">
        <v>2329</v>
      </c>
      <c r="C14" t="str" cm="1">
        <f t="array" ref="C14">_xlfn.XLOOKUP(B14,Real_Sales[[#All],[Sku]],Real_Sales[[#All],[Product_name]])</f>
        <v>Regular Fit T-SHIRT - DENIM BLUE</v>
      </c>
      <c r="D14" t="str" cm="1">
        <f t="array" ref="D14">_xlfn.XLOOKUP('Product Lookup &amp; Search'!B14,Real_Sales[[#All],[Sku]],Real_Sales[[#All],[Brand]])</f>
        <v>Denim &amp; Supply</v>
      </c>
      <c r="E14" cm="1">
        <f t="array" ref="E14">_xlfn.XLOOKUP(B14,Real_Sales[[#All],[Sku]],Real_Sales[[#All],[Price_retail]])</f>
        <v>10.72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D80F4-8D8D-4144-AA12-2AA5D9772F45}">
  <dimension ref="B2:I143"/>
  <sheetViews>
    <sheetView showGridLines="0" topLeftCell="A2" workbookViewId="0">
      <selection activeCell="G146" sqref="G146"/>
    </sheetView>
  </sheetViews>
  <sheetFormatPr defaultRowHeight="14.5" x14ac:dyDescent="0.35"/>
  <cols>
    <col min="2" max="2" width="23.26953125" bestFit="1" customWidth="1"/>
    <col min="3" max="3" width="17.453125" bestFit="1" customWidth="1"/>
    <col min="4" max="4" width="14.26953125" bestFit="1" customWidth="1"/>
    <col min="5" max="5" width="13.90625" bestFit="1" customWidth="1"/>
    <col min="6" max="6" width="10.1796875" customWidth="1"/>
    <col min="8" max="8" width="15.81640625" customWidth="1"/>
    <col min="9" max="9" width="13.36328125" customWidth="1"/>
    <col min="10" max="10" width="22.81640625" bestFit="1" customWidth="1"/>
    <col min="11" max="11" width="14.54296875" bestFit="1" customWidth="1"/>
    <col min="12" max="12" width="16.26953125" bestFit="1" customWidth="1"/>
  </cols>
  <sheetData>
    <row r="2" spans="2:9" x14ac:dyDescent="0.35">
      <c r="B2" s="7" t="s">
        <v>3437</v>
      </c>
      <c r="E2">
        <f>COUNTIF(Real_Sales[Price_label],"Sale")</f>
        <v>406</v>
      </c>
    </row>
    <row r="5" spans="2:9" x14ac:dyDescent="0.35">
      <c r="B5" s="8" t="s">
        <v>3438</v>
      </c>
    </row>
    <row r="7" spans="2:9" x14ac:dyDescent="0.35">
      <c r="B7" s="9" t="s">
        <v>3439</v>
      </c>
      <c r="C7" t="s">
        <v>3444</v>
      </c>
      <c r="D7" t="s">
        <v>3442</v>
      </c>
      <c r="E7" t="s">
        <v>3443</v>
      </c>
      <c r="H7" s="8" t="s">
        <v>3445</v>
      </c>
    </row>
    <row r="8" spans="2:9" x14ac:dyDescent="0.35">
      <c r="B8" s="10" t="s">
        <v>3396</v>
      </c>
      <c r="C8" s="12">
        <v>11.3025</v>
      </c>
      <c r="D8" s="1">
        <v>13.82</v>
      </c>
      <c r="E8" s="1">
        <v>8.99</v>
      </c>
    </row>
    <row r="9" spans="2:9" x14ac:dyDescent="0.35">
      <c r="B9" s="10" t="s">
        <v>3394</v>
      </c>
      <c r="C9" s="12">
        <v>20.888205128205129</v>
      </c>
      <c r="D9" s="1">
        <v>85.77</v>
      </c>
      <c r="E9" s="1">
        <v>8.99</v>
      </c>
      <c r="H9" s="22" t="s">
        <v>3370</v>
      </c>
      <c r="I9" s="22" t="s">
        <v>3435</v>
      </c>
    </row>
    <row r="10" spans="2:9" x14ac:dyDescent="0.35">
      <c r="B10" s="10" t="s">
        <v>1180</v>
      </c>
      <c r="C10" s="12">
        <v>11.27</v>
      </c>
      <c r="D10" s="1">
        <v>13.55</v>
      </c>
      <c r="E10" s="1">
        <v>8.99</v>
      </c>
      <c r="H10" s="6" t="s">
        <v>412</v>
      </c>
      <c r="I10" s="6">
        <v>0.700207468879668</v>
      </c>
    </row>
    <row r="11" spans="2:9" x14ac:dyDescent="0.35">
      <c r="B11" s="10" t="s">
        <v>25</v>
      </c>
      <c r="C11" s="12">
        <v>21.292999999999999</v>
      </c>
      <c r="D11" s="1">
        <v>38.33</v>
      </c>
      <c r="E11" s="1">
        <v>8.99</v>
      </c>
      <c r="H11" s="6" t="s">
        <v>1135</v>
      </c>
      <c r="I11" s="6">
        <v>0.70007987220447288</v>
      </c>
    </row>
    <row r="12" spans="2:9" x14ac:dyDescent="0.35">
      <c r="B12" s="10" t="s">
        <v>333</v>
      </c>
      <c r="C12" s="12">
        <v>18.758000000000003</v>
      </c>
      <c r="D12" s="1">
        <v>28.26</v>
      </c>
      <c r="E12" s="1">
        <v>8.99</v>
      </c>
      <c r="H12" s="6" t="s">
        <v>561</v>
      </c>
      <c r="I12" s="6">
        <v>0.62836723474436507</v>
      </c>
    </row>
    <row r="13" spans="2:9" x14ac:dyDescent="0.35">
      <c r="B13" s="10" t="s">
        <v>469</v>
      </c>
      <c r="C13" s="12">
        <v>19.099</v>
      </c>
      <c r="D13" s="1">
        <v>32.119999999999997</v>
      </c>
      <c r="E13" s="1">
        <v>8.99</v>
      </c>
      <c r="H13" s="6" t="s">
        <v>387</v>
      </c>
      <c r="I13" s="6">
        <v>0.60552016985138013</v>
      </c>
    </row>
    <row r="14" spans="2:9" x14ac:dyDescent="0.35">
      <c r="B14" s="10" t="s">
        <v>790</v>
      </c>
      <c r="C14" s="12">
        <v>10.3</v>
      </c>
      <c r="D14" s="1">
        <v>11.61</v>
      </c>
      <c r="E14" s="1">
        <v>8.99</v>
      </c>
      <c r="H14" s="6" t="s">
        <v>41</v>
      </c>
      <c r="I14" s="6">
        <v>0.59798841816519366</v>
      </c>
    </row>
    <row r="15" spans="2:9" x14ac:dyDescent="0.35">
      <c r="B15" s="10" t="s">
        <v>546</v>
      </c>
      <c r="C15" s="12">
        <v>24.445</v>
      </c>
      <c r="D15" s="1">
        <v>35.22</v>
      </c>
      <c r="E15" s="1">
        <v>13.67</v>
      </c>
      <c r="H15" s="6" t="s">
        <v>3410</v>
      </c>
      <c r="I15" s="6">
        <v>0.58506819813352473</v>
      </c>
    </row>
    <row r="16" spans="2:9" x14ac:dyDescent="0.35">
      <c r="B16" s="10" t="s">
        <v>1281</v>
      </c>
      <c r="C16" s="12">
        <v>15.725</v>
      </c>
      <c r="D16" s="1">
        <v>20.64</v>
      </c>
      <c r="E16" s="1">
        <v>10.81</v>
      </c>
      <c r="H16" s="6" t="s">
        <v>412</v>
      </c>
      <c r="I16" s="6">
        <v>0.58324382384532769</v>
      </c>
    </row>
    <row r="17" spans="2:9" x14ac:dyDescent="0.35">
      <c r="B17" s="10" t="s">
        <v>2374</v>
      </c>
      <c r="C17" s="12">
        <v>24.793333333333333</v>
      </c>
      <c r="D17" s="1">
        <v>37.35</v>
      </c>
      <c r="E17" s="1">
        <v>15.41</v>
      </c>
      <c r="H17" s="6" t="s">
        <v>3394</v>
      </c>
      <c r="I17" s="6">
        <v>0.58100929614873831</v>
      </c>
    </row>
    <row r="18" spans="2:9" x14ac:dyDescent="0.35">
      <c r="B18" s="10" t="s">
        <v>1090</v>
      </c>
      <c r="C18" s="12">
        <v>17.995000000000001</v>
      </c>
      <c r="D18" s="1">
        <v>26.41</v>
      </c>
      <c r="E18" s="1">
        <v>8.99</v>
      </c>
      <c r="H18" s="6" t="s">
        <v>2</v>
      </c>
      <c r="I18" s="6">
        <v>0.57685768576857677</v>
      </c>
    </row>
    <row r="19" spans="2:9" x14ac:dyDescent="0.35">
      <c r="B19" s="10" t="s">
        <v>1086</v>
      </c>
      <c r="C19" s="12">
        <v>13.92</v>
      </c>
      <c r="D19" s="1">
        <v>18.850000000000001</v>
      </c>
      <c r="E19" s="1">
        <v>8.99</v>
      </c>
      <c r="H19" s="6" t="s">
        <v>242</v>
      </c>
      <c r="I19" s="6">
        <v>0.57616416732438835</v>
      </c>
    </row>
    <row r="20" spans="2:9" x14ac:dyDescent="0.35">
      <c r="B20" s="10" t="s">
        <v>1314</v>
      </c>
      <c r="C20" s="12">
        <v>18.184285714285714</v>
      </c>
      <c r="D20" s="1">
        <v>26.73</v>
      </c>
      <c r="E20" s="1">
        <v>10.62</v>
      </c>
    </row>
    <row r="21" spans="2:9" x14ac:dyDescent="0.35">
      <c r="B21" s="10" t="s">
        <v>510</v>
      </c>
      <c r="C21" s="12">
        <v>14.01</v>
      </c>
      <c r="D21" s="1">
        <v>14.01</v>
      </c>
      <c r="E21" s="1">
        <v>14.01</v>
      </c>
    </row>
    <row r="22" spans="2:9" x14ac:dyDescent="0.35">
      <c r="B22" s="10" t="s">
        <v>246</v>
      </c>
      <c r="C22" s="12">
        <v>11.709999999999999</v>
      </c>
      <c r="D22" s="1">
        <v>19.3</v>
      </c>
      <c r="E22" s="1">
        <v>6.99</v>
      </c>
    </row>
    <row r="23" spans="2:9" x14ac:dyDescent="0.35">
      <c r="B23" s="10" t="s">
        <v>200</v>
      </c>
      <c r="C23" s="12">
        <v>15.667142857142858</v>
      </c>
      <c r="D23" s="1">
        <v>20.77</v>
      </c>
      <c r="E23" s="1">
        <v>9.09</v>
      </c>
    </row>
    <row r="24" spans="2:9" x14ac:dyDescent="0.35">
      <c r="B24" s="10" t="s">
        <v>3404</v>
      </c>
      <c r="C24" s="12">
        <v>10.154999999999999</v>
      </c>
      <c r="D24" s="1">
        <v>11.32</v>
      </c>
      <c r="E24" s="1">
        <v>8.99</v>
      </c>
    </row>
    <row r="25" spans="2:9" x14ac:dyDescent="0.35">
      <c r="B25" s="10" t="s">
        <v>1784</v>
      </c>
      <c r="C25" s="12">
        <v>17.723333333333333</v>
      </c>
      <c r="D25" s="1">
        <v>32.42</v>
      </c>
      <c r="E25" s="1">
        <v>8.99</v>
      </c>
    </row>
    <row r="26" spans="2:9" x14ac:dyDescent="0.35">
      <c r="B26" s="10" t="s">
        <v>1242</v>
      </c>
      <c r="C26" s="12">
        <v>20.288</v>
      </c>
      <c r="D26" s="1">
        <v>41.51</v>
      </c>
      <c r="E26" s="1">
        <v>12.12</v>
      </c>
    </row>
    <row r="27" spans="2:9" x14ac:dyDescent="0.35">
      <c r="B27" s="10" t="s">
        <v>721</v>
      </c>
      <c r="C27" s="12">
        <v>18.641428571428573</v>
      </c>
      <c r="D27" s="1">
        <v>34.619999999999997</v>
      </c>
      <c r="E27" s="1">
        <v>9.67</v>
      </c>
    </row>
    <row r="28" spans="2:9" x14ac:dyDescent="0.35">
      <c r="B28" s="10" t="s">
        <v>484</v>
      </c>
      <c r="C28" s="12">
        <v>16.9665</v>
      </c>
      <c r="D28" s="1">
        <v>37.380000000000003</v>
      </c>
      <c r="E28" s="1">
        <v>8.99</v>
      </c>
    </row>
    <row r="29" spans="2:9" x14ac:dyDescent="0.35">
      <c r="B29" s="10" t="s">
        <v>3406</v>
      </c>
      <c r="C29" s="12">
        <v>17.797999999999998</v>
      </c>
      <c r="D29" s="1">
        <v>33.57</v>
      </c>
      <c r="E29" s="1">
        <v>9.41</v>
      </c>
    </row>
    <row r="30" spans="2:9" x14ac:dyDescent="0.35">
      <c r="B30" s="10" t="s">
        <v>1743</v>
      </c>
      <c r="C30" s="12">
        <v>20.936086956521738</v>
      </c>
      <c r="D30" s="1">
        <v>53.93</v>
      </c>
      <c r="E30" s="1">
        <v>8.99</v>
      </c>
    </row>
    <row r="31" spans="2:9" x14ac:dyDescent="0.35">
      <c r="B31" s="10" t="s">
        <v>886</v>
      </c>
      <c r="C31" s="12">
        <v>12.89</v>
      </c>
      <c r="D31" s="1">
        <v>15.19</v>
      </c>
      <c r="E31" s="1">
        <v>11.31</v>
      </c>
    </row>
    <row r="32" spans="2:9" x14ac:dyDescent="0.35">
      <c r="B32" s="10" t="s">
        <v>3405</v>
      </c>
      <c r="C32" s="12">
        <v>22.045000000000002</v>
      </c>
      <c r="D32" s="1">
        <v>31.94</v>
      </c>
      <c r="E32" s="1">
        <v>12.15</v>
      </c>
    </row>
    <row r="33" spans="2:5" x14ac:dyDescent="0.35">
      <c r="B33" s="10" t="s">
        <v>698</v>
      </c>
      <c r="C33" s="12">
        <v>14.095000000000001</v>
      </c>
      <c r="D33" s="1">
        <v>14.45</v>
      </c>
      <c r="E33" s="1">
        <v>13.74</v>
      </c>
    </row>
    <row r="34" spans="2:5" x14ac:dyDescent="0.35">
      <c r="B34" s="10" t="s">
        <v>132</v>
      </c>
      <c r="C34" s="12">
        <v>17.13</v>
      </c>
      <c r="D34" s="1">
        <v>25.84</v>
      </c>
      <c r="E34" s="1">
        <v>8.99</v>
      </c>
    </row>
    <row r="35" spans="2:5" x14ac:dyDescent="0.35">
      <c r="B35" s="10" t="s">
        <v>3430</v>
      </c>
      <c r="C35" s="12">
        <v>21.684999999999999</v>
      </c>
      <c r="D35" s="1">
        <v>28.59</v>
      </c>
      <c r="E35" s="1">
        <v>14.78</v>
      </c>
    </row>
    <row r="36" spans="2:5" x14ac:dyDescent="0.35">
      <c r="B36" s="10" t="s">
        <v>786</v>
      </c>
      <c r="C36" s="12">
        <v>13.993333333333332</v>
      </c>
      <c r="D36" s="1">
        <v>21.24</v>
      </c>
      <c r="E36" s="1">
        <v>8.99</v>
      </c>
    </row>
    <row r="37" spans="2:5" x14ac:dyDescent="0.35">
      <c r="B37" s="10" t="s">
        <v>1402</v>
      </c>
      <c r="C37" s="12">
        <v>9.39</v>
      </c>
      <c r="D37" s="1">
        <v>10.19</v>
      </c>
      <c r="E37" s="1">
        <v>8.99</v>
      </c>
    </row>
    <row r="38" spans="2:5" x14ac:dyDescent="0.35">
      <c r="B38" s="10" t="s">
        <v>367</v>
      </c>
      <c r="C38" s="12">
        <v>25.473749999999999</v>
      </c>
      <c r="D38" s="1">
        <v>52.99</v>
      </c>
      <c r="E38" s="1">
        <v>11.67</v>
      </c>
    </row>
    <row r="39" spans="2:5" x14ac:dyDescent="0.35">
      <c r="B39" s="10" t="s">
        <v>306</v>
      </c>
      <c r="C39" s="12">
        <v>13.793333333333333</v>
      </c>
      <c r="D39" s="1">
        <v>30.63</v>
      </c>
      <c r="E39" s="1">
        <v>8.99</v>
      </c>
    </row>
    <row r="40" spans="2:5" x14ac:dyDescent="0.35">
      <c r="B40" s="10" t="s">
        <v>1628</v>
      </c>
      <c r="C40" s="12">
        <v>19.149999999999999</v>
      </c>
      <c r="D40" s="1">
        <v>25.06</v>
      </c>
      <c r="E40" s="1">
        <v>13.24</v>
      </c>
    </row>
    <row r="41" spans="2:5" x14ac:dyDescent="0.35">
      <c r="B41" s="10" t="s">
        <v>387</v>
      </c>
      <c r="C41" s="12">
        <v>26.67</v>
      </c>
      <c r="D41" s="1">
        <v>47.86</v>
      </c>
      <c r="E41" s="1">
        <v>10.29</v>
      </c>
    </row>
    <row r="42" spans="2:5" x14ac:dyDescent="0.35">
      <c r="B42" s="10" t="s">
        <v>265</v>
      </c>
      <c r="C42" s="12">
        <v>19.796666666666667</v>
      </c>
      <c r="D42" s="1">
        <v>31.93</v>
      </c>
      <c r="E42" s="1">
        <v>8.99</v>
      </c>
    </row>
    <row r="43" spans="2:5" x14ac:dyDescent="0.35">
      <c r="B43" s="10" t="s">
        <v>213</v>
      </c>
      <c r="C43" s="12">
        <v>21.316666666666666</v>
      </c>
      <c r="D43" s="1">
        <v>38.22</v>
      </c>
      <c r="E43" s="1">
        <v>10.51</v>
      </c>
    </row>
    <row r="44" spans="2:5" x14ac:dyDescent="0.35">
      <c r="B44" s="10" t="s">
        <v>2179</v>
      </c>
      <c r="C44" s="12">
        <v>18.576666666666664</v>
      </c>
      <c r="D44" s="1">
        <v>32.96</v>
      </c>
      <c r="E44" s="1">
        <v>8.99</v>
      </c>
    </row>
    <row r="45" spans="2:5" x14ac:dyDescent="0.35">
      <c r="B45" s="10" t="s">
        <v>3414</v>
      </c>
      <c r="C45" s="12">
        <v>25.844000000000001</v>
      </c>
      <c r="D45" s="1">
        <v>64.09</v>
      </c>
      <c r="E45" s="1">
        <v>11.01</v>
      </c>
    </row>
    <row r="46" spans="2:5" x14ac:dyDescent="0.35">
      <c r="B46" s="10" t="s">
        <v>1115</v>
      </c>
      <c r="C46" s="12">
        <v>19.720833333333335</v>
      </c>
      <c r="D46" s="1">
        <v>39.53</v>
      </c>
      <c r="E46" s="1">
        <v>8.99</v>
      </c>
    </row>
    <row r="47" spans="2:5" x14ac:dyDescent="0.35">
      <c r="B47" s="10" t="s">
        <v>1359</v>
      </c>
      <c r="C47" s="12">
        <v>17.62</v>
      </c>
      <c r="D47" s="1">
        <v>34.880000000000003</v>
      </c>
      <c r="E47" s="1">
        <v>8.99</v>
      </c>
    </row>
    <row r="48" spans="2:5" x14ac:dyDescent="0.35">
      <c r="B48" s="10" t="s">
        <v>963</v>
      </c>
      <c r="C48" s="12">
        <v>13.049999999999999</v>
      </c>
      <c r="D48" s="1">
        <v>17.03</v>
      </c>
      <c r="E48" s="1">
        <v>8.99</v>
      </c>
    </row>
    <row r="49" spans="2:5" x14ac:dyDescent="0.35">
      <c r="B49" s="10" t="s">
        <v>57</v>
      </c>
      <c r="C49" s="12">
        <v>16.09</v>
      </c>
      <c r="D49" s="1">
        <v>26.39</v>
      </c>
      <c r="E49" s="1">
        <v>10.3</v>
      </c>
    </row>
    <row r="50" spans="2:5" x14ac:dyDescent="0.35">
      <c r="B50" s="10" t="s">
        <v>1670</v>
      </c>
      <c r="C50" s="12">
        <v>16.462</v>
      </c>
      <c r="D50" s="1">
        <v>24.47</v>
      </c>
      <c r="E50" s="1">
        <v>8.99</v>
      </c>
    </row>
    <row r="51" spans="2:5" x14ac:dyDescent="0.35">
      <c r="B51" s="10" t="s">
        <v>423</v>
      </c>
      <c r="C51" s="12">
        <v>15.601428571428571</v>
      </c>
      <c r="D51" s="1">
        <v>32.840000000000003</v>
      </c>
      <c r="E51" s="1">
        <v>8.99</v>
      </c>
    </row>
    <row r="52" spans="2:5" x14ac:dyDescent="0.35">
      <c r="B52" s="10" t="s">
        <v>1392</v>
      </c>
      <c r="C52" s="12">
        <v>21.61</v>
      </c>
      <c r="D52" s="1">
        <v>21.61</v>
      </c>
      <c r="E52" s="1">
        <v>21.61</v>
      </c>
    </row>
    <row r="53" spans="2:5" x14ac:dyDescent="0.35">
      <c r="B53" s="10" t="s">
        <v>1797</v>
      </c>
      <c r="C53" s="12">
        <v>18.899999999999999</v>
      </c>
      <c r="D53" s="1">
        <v>27.14</v>
      </c>
      <c r="E53" s="1">
        <v>9.58</v>
      </c>
    </row>
    <row r="54" spans="2:5" x14ac:dyDescent="0.35">
      <c r="B54" s="10" t="s">
        <v>1839</v>
      </c>
      <c r="C54" s="12">
        <v>12.8725</v>
      </c>
      <c r="D54" s="1">
        <v>19.11</v>
      </c>
      <c r="E54" s="1">
        <v>8.99</v>
      </c>
    </row>
    <row r="55" spans="2:5" x14ac:dyDescent="0.35">
      <c r="B55" s="10" t="s">
        <v>3401</v>
      </c>
      <c r="C55" s="12">
        <v>27.73</v>
      </c>
      <c r="D55" s="1">
        <v>33.5</v>
      </c>
      <c r="E55" s="1">
        <v>22.53</v>
      </c>
    </row>
    <row r="56" spans="2:5" x14ac:dyDescent="0.35">
      <c r="B56" s="10" t="s">
        <v>1581</v>
      </c>
      <c r="C56" s="12">
        <v>13.383333333333333</v>
      </c>
      <c r="D56" s="1">
        <v>15</v>
      </c>
      <c r="E56" s="1">
        <v>10.66</v>
      </c>
    </row>
    <row r="57" spans="2:5" x14ac:dyDescent="0.35">
      <c r="B57" s="10" t="s">
        <v>108</v>
      </c>
      <c r="C57" s="12">
        <v>15.571249999999999</v>
      </c>
      <c r="D57" s="1">
        <v>36.97</v>
      </c>
      <c r="E57" s="1">
        <v>8.99</v>
      </c>
    </row>
    <row r="58" spans="2:5" x14ac:dyDescent="0.35">
      <c r="B58" s="10" t="s">
        <v>1355</v>
      </c>
      <c r="C58" s="12">
        <v>22.34714285714286</v>
      </c>
      <c r="D58" s="1">
        <v>36.44</v>
      </c>
      <c r="E58" s="1">
        <v>12.98</v>
      </c>
    </row>
    <row r="59" spans="2:5" x14ac:dyDescent="0.35">
      <c r="B59" s="10" t="s">
        <v>157</v>
      </c>
      <c r="C59" s="12">
        <v>19.059999999999999</v>
      </c>
      <c r="D59" s="1">
        <v>25.69</v>
      </c>
      <c r="E59" s="1">
        <v>12.43</v>
      </c>
    </row>
    <row r="60" spans="2:5" x14ac:dyDescent="0.35">
      <c r="B60" s="10" t="s">
        <v>1372</v>
      </c>
      <c r="C60" s="12">
        <v>8.99</v>
      </c>
      <c r="D60" s="1">
        <v>8.99</v>
      </c>
      <c r="E60" s="1">
        <v>8.99</v>
      </c>
    </row>
    <row r="61" spans="2:5" x14ac:dyDescent="0.35">
      <c r="B61" s="10" t="s">
        <v>323</v>
      </c>
      <c r="C61" s="12">
        <v>20.607500000000002</v>
      </c>
      <c r="D61" s="1">
        <v>31.72</v>
      </c>
      <c r="E61" s="1">
        <v>8.99</v>
      </c>
    </row>
    <row r="62" spans="2:5" x14ac:dyDescent="0.35">
      <c r="B62" s="10" t="s">
        <v>1888</v>
      </c>
      <c r="C62" s="12">
        <v>15.11</v>
      </c>
      <c r="D62" s="1">
        <v>25.99</v>
      </c>
      <c r="E62" s="1">
        <v>9.42</v>
      </c>
    </row>
    <row r="63" spans="2:5" x14ac:dyDescent="0.35">
      <c r="B63" s="10" t="s">
        <v>3426</v>
      </c>
      <c r="C63" s="12">
        <v>8.99</v>
      </c>
      <c r="D63" s="1">
        <v>8.99</v>
      </c>
      <c r="E63" s="1">
        <v>8.99</v>
      </c>
    </row>
    <row r="64" spans="2:5" x14ac:dyDescent="0.35">
      <c r="B64" s="10" t="s">
        <v>797</v>
      </c>
      <c r="C64" s="12">
        <v>31.106666666666666</v>
      </c>
      <c r="D64" s="1">
        <v>37.04</v>
      </c>
      <c r="E64" s="1">
        <v>26.24</v>
      </c>
    </row>
    <row r="65" spans="2:5" x14ac:dyDescent="0.35">
      <c r="B65" s="10" t="s">
        <v>88</v>
      </c>
      <c r="C65" s="12">
        <v>15.247</v>
      </c>
      <c r="D65" s="1">
        <v>31.94</v>
      </c>
      <c r="E65" s="1">
        <v>9.76</v>
      </c>
    </row>
    <row r="66" spans="2:5" x14ac:dyDescent="0.35">
      <c r="B66" s="10" t="s">
        <v>80</v>
      </c>
      <c r="C66" s="12">
        <v>18.342500000000001</v>
      </c>
      <c r="D66" s="1">
        <v>39.619999999999997</v>
      </c>
      <c r="E66" s="1">
        <v>8.99</v>
      </c>
    </row>
    <row r="67" spans="2:5" x14ac:dyDescent="0.35">
      <c r="B67" s="10" t="s">
        <v>3433</v>
      </c>
      <c r="C67" s="12">
        <v>19.968947368421055</v>
      </c>
      <c r="D67" s="1">
        <v>60.32</v>
      </c>
      <c r="E67" s="1">
        <v>8.99</v>
      </c>
    </row>
    <row r="68" spans="2:5" x14ac:dyDescent="0.35">
      <c r="B68" s="10" t="s">
        <v>3434</v>
      </c>
      <c r="C68" s="12">
        <v>15.653333333333334</v>
      </c>
      <c r="D68" s="1">
        <v>19.920000000000002</v>
      </c>
      <c r="E68" s="1">
        <v>8.99</v>
      </c>
    </row>
    <row r="69" spans="2:5" x14ac:dyDescent="0.35">
      <c r="B69" s="10" t="s">
        <v>1073</v>
      </c>
      <c r="C69" s="12">
        <v>9.9350000000000005</v>
      </c>
      <c r="D69" s="1">
        <v>10.88</v>
      </c>
      <c r="E69" s="1">
        <v>8.99</v>
      </c>
    </row>
    <row r="70" spans="2:5" x14ac:dyDescent="0.35">
      <c r="B70" s="10" t="s">
        <v>3420</v>
      </c>
      <c r="C70" s="12">
        <v>9.93</v>
      </c>
      <c r="D70" s="1">
        <v>11.81</v>
      </c>
      <c r="E70" s="1">
        <v>8.99</v>
      </c>
    </row>
    <row r="71" spans="2:5" x14ac:dyDescent="0.35">
      <c r="B71" s="10" t="s">
        <v>565</v>
      </c>
      <c r="C71" s="12">
        <v>16.096</v>
      </c>
      <c r="D71" s="1">
        <v>23.9</v>
      </c>
      <c r="E71" s="1">
        <v>8.99</v>
      </c>
    </row>
    <row r="72" spans="2:5" x14ac:dyDescent="0.35">
      <c r="B72" s="10" t="s">
        <v>2210</v>
      </c>
      <c r="C72" s="12">
        <v>8.99</v>
      </c>
      <c r="D72" s="1">
        <v>8.99</v>
      </c>
      <c r="E72" s="1">
        <v>8.99</v>
      </c>
    </row>
    <row r="73" spans="2:5" x14ac:dyDescent="0.35">
      <c r="B73" s="10" t="s">
        <v>219</v>
      </c>
      <c r="C73" s="12">
        <v>17.073333333333334</v>
      </c>
      <c r="D73" s="1">
        <v>32.36</v>
      </c>
      <c r="E73" s="1">
        <v>8.99</v>
      </c>
    </row>
    <row r="74" spans="2:5" x14ac:dyDescent="0.35">
      <c r="B74" s="10" t="s">
        <v>1143</v>
      </c>
      <c r="C74" s="12">
        <v>23.547499999999999</v>
      </c>
      <c r="D74" s="1">
        <v>51.2</v>
      </c>
      <c r="E74" s="1">
        <v>11.22</v>
      </c>
    </row>
    <row r="75" spans="2:5" x14ac:dyDescent="0.35">
      <c r="B75" s="10" t="s">
        <v>41</v>
      </c>
      <c r="C75" s="12">
        <v>16.338823529411766</v>
      </c>
      <c r="D75" s="1">
        <v>32.81</v>
      </c>
      <c r="E75" s="1">
        <v>8.99</v>
      </c>
    </row>
    <row r="76" spans="2:5" x14ac:dyDescent="0.35">
      <c r="B76" s="10" t="s">
        <v>318</v>
      </c>
      <c r="C76" s="12">
        <v>18.538</v>
      </c>
      <c r="D76" s="1">
        <v>30.36</v>
      </c>
      <c r="E76" s="1">
        <v>8.99</v>
      </c>
    </row>
    <row r="77" spans="2:5" x14ac:dyDescent="0.35">
      <c r="B77" s="10" t="s">
        <v>3412</v>
      </c>
      <c r="C77" s="12">
        <v>22.833333333333332</v>
      </c>
      <c r="D77" s="1">
        <v>47.52</v>
      </c>
      <c r="E77" s="1">
        <v>9.6</v>
      </c>
    </row>
    <row r="78" spans="2:5" x14ac:dyDescent="0.35">
      <c r="B78" s="10" t="s">
        <v>3410</v>
      </c>
      <c r="C78" s="12">
        <v>14.265833333333333</v>
      </c>
      <c r="D78" s="1">
        <v>27.86</v>
      </c>
      <c r="E78" s="1">
        <v>8.99</v>
      </c>
    </row>
    <row r="79" spans="2:5" x14ac:dyDescent="0.35">
      <c r="B79" s="10" t="s">
        <v>489</v>
      </c>
      <c r="C79" s="12">
        <v>34.516666666666666</v>
      </c>
      <c r="D79" s="1">
        <v>47.49</v>
      </c>
      <c r="E79" s="1">
        <v>25.14</v>
      </c>
    </row>
    <row r="80" spans="2:5" x14ac:dyDescent="0.35">
      <c r="B80" s="10" t="s">
        <v>741</v>
      </c>
      <c r="C80" s="12">
        <v>27.45</v>
      </c>
      <c r="D80" s="1">
        <v>42.37</v>
      </c>
      <c r="E80" s="1">
        <v>17.760000000000002</v>
      </c>
    </row>
    <row r="81" spans="2:5" x14ac:dyDescent="0.35">
      <c r="B81" s="10" t="s">
        <v>383</v>
      </c>
      <c r="C81" s="12">
        <v>19.55</v>
      </c>
      <c r="D81" s="1">
        <v>32.99</v>
      </c>
      <c r="E81" s="1">
        <v>11.8</v>
      </c>
    </row>
    <row r="82" spans="2:5" x14ac:dyDescent="0.35">
      <c r="B82" s="10" t="s">
        <v>461</v>
      </c>
      <c r="C82" s="12">
        <v>23.096666666666668</v>
      </c>
      <c r="D82" s="1">
        <v>35.229999999999997</v>
      </c>
      <c r="E82" s="1">
        <v>10.69</v>
      </c>
    </row>
    <row r="83" spans="2:5" x14ac:dyDescent="0.35">
      <c r="B83" s="10" t="s">
        <v>733</v>
      </c>
      <c r="C83" s="12">
        <v>36.11</v>
      </c>
      <c r="D83" s="1">
        <v>47.43</v>
      </c>
      <c r="E83" s="1">
        <v>24.79</v>
      </c>
    </row>
    <row r="84" spans="2:5" x14ac:dyDescent="0.35">
      <c r="B84" s="10" t="s">
        <v>3398</v>
      </c>
      <c r="C84" s="12">
        <v>26.768000000000001</v>
      </c>
      <c r="D84" s="1">
        <v>60.79</v>
      </c>
      <c r="E84" s="1">
        <v>13.58</v>
      </c>
    </row>
    <row r="85" spans="2:5" x14ac:dyDescent="0.35">
      <c r="B85" s="10" t="s">
        <v>271</v>
      </c>
      <c r="C85" s="12">
        <v>14.478</v>
      </c>
      <c r="D85" s="1">
        <v>23.86</v>
      </c>
      <c r="E85" s="1">
        <v>8.99</v>
      </c>
    </row>
    <row r="86" spans="2:5" x14ac:dyDescent="0.35">
      <c r="B86" s="10" t="s">
        <v>126</v>
      </c>
      <c r="C86" s="12">
        <v>16.231999999999999</v>
      </c>
      <c r="D86" s="1">
        <v>41.92</v>
      </c>
      <c r="E86" s="1">
        <v>8.99</v>
      </c>
    </row>
    <row r="87" spans="2:5" x14ac:dyDescent="0.35">
      <c r="B87" s="10" t="s">
        <v>65</v>
      </c>
      <c r="C87" s="12">
        <v>19.729500000000002</v>
      </c>
      <c r="D87" s="1">
        <v>66.27</v>
      </c>
      <c r="E87" s="1">
        <v>8.99</v>
      </c>
    </row>
    <row r="88" spans="2:5" x14ac:dyDescent="0.35">
      <c r="B88" s="10" t="s">
        <v>1237</v>
      </c>
      <c r="C88" s="12">
        <v>18.66</v>
      </c>
      <c r="D88" s="1">
        <v>23.73</v>
      </c>
      <c r="E88" s="1">
        <v>13.59</v>
      </c>
    </row>
    <row r="89" spans="2:5" x14ac:dyDescent="0.35">
      <c r="B89" s="10" t="s">
        <v>1549</v>
      </c>
      <c r="C89" s="12">
        <v>18.580000000000002</v>
      </c>
      <c r="D89" s="1">
        <v>26.28</v>
      </c>
      <c r="E89" s="1">
        <v>12.83</v>
      </c>
    </row>
    <row r="90" spans="2:5" x14ac:dyDescent="0.35">
      <c r="B90" s="10" t="s">
        <v>3423</v>
      </c>
      <c r="C90" s="12">
        <v>14.935</v>
      </c>
      <c r="D90" s="1">
        <v>21.89</v>
      </c>
      <c r="E90" s="1">
        <v>11.92</v>
      </c>
    </row>
    <row r="91" spans="2:5" x14ac:dyDescent="0.35">
      <c r="B91" s="10" t="s">
        <v>505</v>
      </c>
      <c r="C91" s="12">
        <v>15.185</v>
      </c>
      <c r="D91" s="1">
        <v>21.49</v>
      </c>
      <c r="E91" s="1">
        <v>10.039999999999999</v>
      </c>
    </row>
    <row r="92" spans="2:5" x14ac:dyDescent="0.35">
      <c r="B92" s="10" t="s">
        <v>1542</v>
      </c>
      <c r="C92" s="12">
        <v>17.98</v>
      </c>
      <c r="D92" s="1">
        <v>26.97</v>
      </c>
      <c r="E92" s="1">
        <v>8.99</v>
      </c>
    </row>
    <row r="93" spans="2:5" x14ac:dyDescent="0.35">
      <c r="B93" s="10" t="s">
        <v>585</v>
      </c>
      <c r="C93" s="12">
        <v>20.828888888888891</v>
      </c>
      <c r="D93" s="1">
        <v>30.05</v>
      </c>
      <c r="E93" s="1">
        <v>8.99</v>
      </c>
    </row>
    <row r="94" spans="2:5" x14ac:dyDescent="0.35">
      <c r="B94" s="10" t="s">
        <v>3413</v>
      </c>
      <c r="C94" s="12">
        <v>23.636000000000003</v>
      </c>
      <c r="D94" s="1">
        <v>45.74</v>
      </c>
      <c r="E94" s="1">
        <v>8.99</v>
      </c>
    </row>
    <row r="95" spans="2:5" x14ac:dyDescent="0.35">
      <c r="B95" s="10" t="s">
        <v>2915</v>
      </c>
      <c r="C95" s="12">
        <v>19.568888888888889</v>
      </c>
      <c r="D95" s="1">
        <v>39.4</v>
      </c>
      <c r="E95" s="1">
        <v>8.99</v>
      </c>
    </row>
    <row r="96" spans="2:5" x14ac:dyDescent="0.35">
      <c r="B96" s="10" t="s">
        <v>1010</v>
      </c>
      <c r="C96" s="12">
        <v>18.59714285714286</v>
      </c>
      <c r="D96" s="1">
        <v>23.58</v>
      </c>
      <c r="E96" s="1">
        <v>8.99</v>
      </c>
    </row>
    <row r="97" spans="2:5" x14ac:dyDescent="0.35">
      <c r="B97" s="10" t="s">
        <v>901</v>
      </c>
      <c r="C97" s="12">
        <v>20.010000000000002</v>
      </c>
      <c r="D97" s="1">
        <v>29.7</v>
      </c>
      <c r="E97" s="1">
        <v>13.21</v>
      </c>
    </row>
    <row r="98" spans="2:5" x14ac:dyDescent="0.35">
      <c r="B98" s="10" t="s">
        <v>525</v>
      </c>
      <c r="C98" s="12">
        <v>17.041999999999998</v>
      </c>
      <c r="D98" s="1">
        <v>26.76</v>
      </c>
      <c r="E98" s="1">
        <v>10.56</v>
      </c>
    </row>
    <row r="99" spans="2:5" x14ac:dyDescent="0.35">
      <c r="B99" s="10" t="s">
        <v>2</v>
      </c>
      <c r="C99" s="12">
        <v>40.405000000000001</v>
      </c>
      <c r="D99" s="1">
        <v>99.99</v>
      </c>
      <c r="E99" s="1">
        <v>12</v>
      </c>
    </row>
    <row r="100" spans="2:5" x14ac:dyDescent="0.35">
      <c r="B100" s="10" t="s">
        <v>102</v>
      </c>
      <c r="C100" s="12">
        <v>18.460833333333333</v>
      </c>
      <c r="D100" s="1">
        <v>28.28</v>
      </c>
      <c r="E100" s="1">
        <v>8.99</v>
      </c>
    </row>
    <row r="101" spans="2:5" x14ac:dyDescent="0.35">
      <c r="B101" s="10" t="s">
        <v>978</v>
      </c>
      <c r="C101" s="12">
        <v>21.953333333333333</v>
      </c>
      <c r="D101" s="1">
        <v>38.4</v>
      </c>
      <c r="E101" s="1">
        <v>11.62</v>
      </c>
    </row>
    <row r="102" spans="2:5" x14ac:dyDescent="0.35">
      <c r="B102" s="10" t="s">
        <v>412</v>
      </c>
      <c r="C102" s="12">
        <v>17.313499999999998</v>
      </c>
      <c r="D102" s="1">
        <v>39.31</v>
      </c>
      <c r="E102" s="1">
        <v>8.99</v>
      </c>
    </row>
    <row r="103" spans="2:5" x14ac:dyDescent="0.35">
      <c r="B103" s="10" t="s">
        <v>252</v>
      </c>
      <c r="C103" s="12">
        <v>12.156666666666666</v>
      </c>
      <c r="D103" s="1">
        <v>18.489999999999998</v>
      </c>
      <c r="E103" s="1">
        <v>8.99</v>
      </c>
    </row>
    <row r="104" spans="2:5" x14ac:dyDescent="0.35">
      <c r="B104" s="10" t="s">
        <v>750</v>
      </c>
      <c r="C104" s="12">
        <v>25.026250000000001</v>
      </c>
      <c r="D104" s="1">
        <v>88.07</v>
      </c>
      <c r="E104" s="1">
        <v>8.99</v>
      </c>
    </row>
    <row r="105" spans="2:5" x14ac:dyDescent="0.35">
      <c r="B105" s="10" t="s">
        <v>3417</v>
      </c>
      <c r="C105" s="12">
        <v>16.438333333333333</v>
      </c>
      <c r="D105" s="1">
        <v>28.26</v>
      </c>
      <c r="E105" s="1">
        <v>8.99</v>
      </c>
    </row>
    <row r="106" spans="2:5" x14ac:dyDescent="0.35">
      <c r="B106" s="10" t="s">
        <v>682</v>
      </c>
      <c r="C106" s="12">
        <v>13.956666666666665</v>
      </c>
      <c r="D106" s="1">
        <v>20.67</v>
      </c>
      <c r="E106" s="1">
        <v>8.99</v>
      </c>
    </row>
    <row r="107" spans="2:5" x14ac:dyDescent="0.35">
      <c r="B107" s="10" t="s">
        <v>999</v>
      </c>
      <c r="C107" s="12">
        <v>15.384</v>
      </c>
      <c r="D107" s="1">
        <v>21.83</v>
      </c>
      <c r="E107" s="1">
        <v>8.99</v>
      </c>
    </row>
    <row r="108" spans="2:5" x14ac:dyDescent="0.35">
      <c r="B108" s="10" t="s">
        <v>703</v>
      </c>
      <c r="C108" s="12">
        <v>18.751111111111111</v>
      </c>
      <c r="D108" s="1">
        <v>31.44</v>
      </c>
      <c r="E108" s="1">
        <v>10.47</v>
      </c>
    </row>
    <row r="109" spans="2:5" x14ac:dyDescent="0.35">
      <c r="B109" s="10" t="s">
        <v>2409</v>
      </c>
      <c r="C109" s="12">
        <v>30.502500000000001</v>
      </c>
      <c r="D109" s="1">
        <v>44.31</v>
      </c>
      <c r="E109" s="1">
        <v>17.3</v>
      </c>
    </row>
    <row r="110" spans="2:5" x14ac:dyDescent="0.35">
      <c r="B110" s="10" t="s">
        <v>690</v>
      </c>
      <c r="C110" s="12">
        <v>28.41333333333333</v>
      </c>
      <c r="D110" s="1">
        <v>62.29</v>
      </c>
      <c r="E110" s="1">
        <v>9.5</v>
      </c>
    </row>
    <row r="111" spans="2:5" x14ac:dyDescent="0.35">
      <c r="B111" s="10" t="s">
        <v>1028</v>
      </c>
      <c r="C111" s="12">
        <v>15.43</v>
      </c>
      <c r="D111" s="1">
        <v>15.56</v>
      </c>
      <c r="E111" s="1">
        <v>15.3</v>
      </c>
    </row>
    <row r="112" spans="2:5" x14ac:dyDescent="0.35">
      <c r="B112" s="10" t="s">
        <v>616</v>
      </c>
      <c r="C112" s="12">
        <v>16.132105263157893</v>
      </c>
      <c r="D112" s="1">
        <v>30.7</v>
      </c>
      <c r="E112" s="1">
        <v>8.99</v>
      </c>
    </row>
    <row r="113" spans="2:5" x14ac:dyDescent="0.35">
      <c r="B113" s="10" t="s">
        <v>746</v>
      </c>
      <c r="C113" s="12">
        <v>17.39</v>
      </c>
      <c r="D113" s="1">
        <v>28.67</v>
      </c>
      <c r="E113" s="1">
        <v>10.39</v>
      </c>
    </row>
    <row r="114" spans="2:5" x14ac:dyDescent="0.35">
      <c r="B114" s="10" t="s">
        <v>569</v>
      </c>
      <c r="C114" s="12">
        <v>16.263333333333335</v>
      </c>
      <c r="D114" s="1">
        <v>29.81</v>
      </c>
      <c r="E114" s="1">
        <v>8.99</v>
      </c>
    </row>
    <row r="115" spans="2:5" x14ac:dyDescent="0.35">
      <c r="B115" s="10" t="s">
        <v>561</v>
      </c>
      <c r="C115" s="12">
        <v>25.330000000000002</v>
      </c>
      <c r="D115" s="1">
        <v>36.869999999999997</v>
      </c>
      <c r="E115" s="1">
        <v>18.190000000000001</v>
      </c>
    </row>
    <row r="116" spans="2:5" x14ac:dyDescent="0.35">
      <c r="B116" s="10" t="s">
        <v>1747</v>
      </c>
      <c r="C116" s="12">
        <v>21.989166666666666</v>
      </c>
      <c r="D116" s="1">
        <v>55.66</v>
      </c>
      <c r="E116" s="1">
        <v>9.66</v>
      </c>
    </row>
    <row r="117" spans="2:5" x14ac:dyDescent="0.35">
      <c r="B117" s="10" t="s">
        <v>2781</v>
      </c>
      <c r="C117" s="12">
        <v>20.065000000000001</v>
      </c>
      <c r="D117" s="1">
        <v>26.15</v>
      </c>
      <c r="E117" s="1">
        <v>8.99</v>
      </c>
    </row>
    <row r="118" spans="2:5" x14ac:dyDescent="0.35">
      <c r="B118" s="10" t="s">
        <v>1468</v>
      </c>
      <c r="C118" s="12">
        <v>10.46</v>
      </c>
      <c r="D118" s="1">
        <v>11.93</v>
      </c>
      <c r="E118" s="1">
        <v>8.99</v>
      </c>
    </row>
    <row r="119" spans="2:5" x14ac:dyDescent="0.35">
      <c r="B119" s="10" t="s">
        <v>1822</v>
      </c>
      <c r="C119" s="12">
        <v>15.436666666666667</v>
      </c>
      <c r="D119" s="1">
        <v>27.55</v>
      </c>
      <c r="E119" s="1">
        <v>8.99</v>
      </c>
    </row>
    <row r="120" spans="2:5" x14ac:dyDescent="0.35">
      <c r="B120" s="10" t="s">
        <v>96</v>
      </c>
      <c r="C120" s="12">
        <v>13.68</v>
      </c>
      <c r="D120" s="1">
        <v>18.59</v>
      </c>
      <c r="E120" s="1">
        <v>9.34</v>
      </c>
    </row>
    <row r="121" spans="2:5" x14ac:dyDescent="0.35">
      <c r="B121" s="10" t="s">
        <v>995</v>
      </c>
      <c r="C121" s="12">
        <v>16.506250000000001</v>
      </c>
      <c r="D121" s="1">
        <v>57.14</v>
      </c>
      <c r="E121" s="1">
        <v>8.99</v>
      </c>
    </row>
    <row r="122" spans="2:5" x14ac:dyDescent="0.35">
      <c r="B122" s="10" t="s">
        <v>1615</v>
      </c>
      <c r="C122" s="12">
        <v>36.576666666666668</v>
      </c>
      <c r="D122" s="1">
        <v>47.73</v>
      </c>
      <c r="E122" s="1">
        <v>24.26</v>
      </c>
    </row>
    <row r="123" spans="2:5" x14ac:dyDescent="0.35">
      <c r="B123" s="10" t="s">
        <v>3419</v>
      </c>
      <c r="C123" s="12">
        <v>20.22</v>
      </c>
      <c r="D123" s="1">
        <v>28.07</v>
      </c>
      <c r="E123" s="1">
        <v>12.37</v>
      </c>
    </row>
    <row r="124" spans="2:5" x14ac:dyDescent="0.35">
      <c r="B124" s="10" t="s">
        <v>114</v>
      </c>
      <c r="C124" s="12">
        <v>19.783333333333335</v>
      </c>
      <c r="D124" s="1">
        <v>25.82</v>
      </c>
      <c r="E124" s="1">
        <v>12.71</v>
      </c>
    </row>
    <row r="125" spans="2:5" x14ac:dyDescent="0.35">
      <c r="B125" s="10" t="s">
        <v>3409</v>
      </c>
      <c r="C125" s="12">
        <v>13.654999999999999</v>
      </c>
      <c r="D125" s="1">
        <v>18.32</v>
      </c>
      <c r="E125" s="1">
        <v>8.99</v>
      </c>
    </row>
    <row r="126" spans="2:5" x14ac:dyDescent="0.35">
      <c r="B126" s="10" t="s">
        <v>1421</v>
      </c>
      <c r="C126" s="12">
        <v>15.853333333333333</v>
      </c>
      <c r="D126" s="1">
        <v>26.67</v>
      </c>
      <c r="E126" s="1">
        <v>8.99</v>
      </c>
    </row>
    <row r="127" spans="2:5" x14ac:dyDescent="0.35">
      <c r="B127" s="10" t="s">
        <v>242</v>
      </c>
      <c r="C127" s="12">
        <v>18.705806451612904</v>
      </c>
      <c r="D127" s="1">
        <v>63.37</v>
      </c>
      <c r="E127" s="1">
        <v>8.99</v>
      </c>
    </row>
    <row r="128" spans="2:5" x14ac:dyDescent="0.35">
      <c r="B128" s="10" t="s">
        <v>300</v>
      </c>
      <c r="C128" s="12">
        <v>18.513333333333332</v>
      </c>
      <c r="D128" s="1">
        <v>27.26</v>
      </c>
      <c r="E128" s="1">
        <v>10.7</v>
      </c>
    </row>
    <row r="129" spans="2:5" x14ac:dyDescent="0.35">
      <c r="B129" s="10" t="s">
        <v>119</v>
      </c>
      <c r="C129" s="12">
        <v>21.876666666666665</v>
      </c>
      <c r="D129" s="1">
        <v>71.41</v>
      </c>
      <c r="E129" s="1">
        <v>8.99</v>
      </c>
    </row>
    <row r="130" spans="2:5" x14ac:dyDescent="0.35">
      <c r="B130" s="10" t="s">
        <v>1973</v>
      </c>
      <c r="C130" s="12">
        <v>15.211666666666666</v>
      </c>
      <c r="D130" s="1">
        <v>28.08</v>
      </c>
      <c r="E130" s="1">
        <v>8.99</v>
      </c>
    </row>
    <row r="131" spans="2:5" x14ac:dyDescent="0.35">
      <c r="B131" s="10" t="s">
        <v>1154</v>
      </c>
      <c r="C131" s="12">
        <v>21.186666666666667</v>
      </c>
      <c r="D131" s="1">
        <v>35.67</v>
      </c>
      <c r="E131" s="1">
        <v>9.65</v>
      </c>
    </row>
    <row r="132" spans="2:5" x14ac:dyDescent="0.35">
      <c r="B132" s="10" t="s">
        <v>541</v>
      </c>
      <c r="C132" s="12">
        <v>19.026250000000001</v>
      </c>
      <c r="D132" s="1">
        <v>31.31</v>
      </c>
      <c r="E132" s="1">
        <v>8.99</v>
      </c>
    </row>
    <row r="133" spans="2:5" x14ac:dyDescent="0.35">
      <c r="B133" s="10" t="s">
        <v>3400</v>
      </c>
      <c r="C133" s="12">
        <v>14.520000000000001</v>
      </c>
      <c r="D133" s="1">
        <v>31.2</v>
      </c>
      <c r="E133" s="1">
        <v>8.99</v>
      </c>
    </row>
    <row r="134" spans="2:5" x14ac:dyDescent="0.35">
      <c r="B134" s="10" t="s">
        <v>399</v>
      </c>
      <c r="C134" s="12">
        <v>18.576666666666664</v>
      </c>
      <c r="D134" s="1">
        <v>32.83</v>
      </c>
      <c r="E134" s="1">
        <v>11.78</v>
      </c>
    </row>
    <row r="135" spans="2:5" x14ac:dyDescent="0.35">
      <c r="B135" s="10" t="s">
        <v>985</v>
      </c>
      <c r="C135" s="12">
        <v>29.34</v>
      </c>
      <c r="D135" s="1">
        <v>37.32</v>
      </c>
      <c r="E135" s="1">
        <v>24.51</v>
      </c>
    </row>
    <row r="136" spans="2:5" x14ac:dyDescent="0.35">
      <c r="B136" s="10" t="s">
        <v>1481</v>
      </c>
      <c r="C136" s="12">
        <v>9.0833333333333339</v>
      </c>
      <c r="D136" s="1">
        <v>9.27</v>
      </c>
      <c r="E136" s="1">
        <v>8.99</v>
      </c>
    </row>
    <row r="137" spans="2:5" x14ac:dyDescent="0.35">
      <c r="B137" s="10" t="s">
        <v>1594</v>
      </c>
      <c r="C137" s="12">
        <v>22.223333333333333</v>
      </c>
      <c r="D137" s="1">
        <v>31.33</v>
      </c>
      <c r="E137" s="1">
        <v>8.99</v>
      </c>
    </row>
    <row r="138" spans="2:5" x14ac:dyDescent="0.35">
      <c r="B138" s="10" t="s">
        <v>1425</v>
      </c>
      <c r="C138" s="12">
        <v>22.082000000000001</v>
      </c>
      <c r="D138" s="1">
        <v>28.56</v>
      </c>
      <c r="E138" s="1">
        <v>8.99</v>
      </c>
    </row>
    <row r="139" spans="2:5" x14ac:dyDescent="0.35">
      <c r="B139" s="10" t="s">
        <v>48</v>
      </c>
      <c r="C139" s="12">
        <v>24.716666666666669</v>
      </c>
      <c r="D139" s="1">
        <v>30.57</v>
      </c>
      <c r="E139" s="1">
        <v>16.77</v>
      </c>
    </row>
    <row r="140" spans="2:5" x14ac:dyDescent="0.35">
      <c r="B140" s="10" t="s">
        <v>3407</v>
      </c>
      <c r="C140" s="12">
        <v>20.131428571428568</v>
      </c>
      <c r="D140" s="1">
        <v>29.84</v>
      </c>
      <c r="E140" s="1">
        <v>8.99</v>
      </c>
    </row>
    <row r="141" spans="2:5" x14ac:dyDescent="0.35">
      <c r="B141" s="10" t="s">
        <v>454</v>
      </c>
      <c r="C141" s="12">
        <v>16.86</v>
      </c>
      <c r="D141" s="1">
        <v>24.77</v>
      </c>
      <c r="E141" s="1">
        <v>8.99</v>
      </c>
    </row>
    <row r="142" spans="2:5" x14ac:dyDescent="0.35">
      <c r="B142" s="10" t="s">
        <v>1135</v>
      </c>
      <c r="C142" s="12">
        <v>49.18</v>
      </c>
      <c r="D142" s="1">
        <v>50.08</v>
      </c>
      <c r="E142" s="1">
        <v>48.28</v>
      </c>
    </row>
    <row r="143" spans="2:5" x14ac:dyDescent="0.35">
      <c r="B143" s="10" t="s">
        <v>3440</v>
      </c>
      <c r="C143" s="12">
        <v>19.1195281124498</v>
      </c>
      <c r="D143" s="1">
        <v>99.99</v>
      </c>
      <c r="E143" s="1">
        <v>6.99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2C4E3-EB81-4357-9B3C-47097FF8486F}">
  <dimension ref="B2:N141"/>
  <sheetViews>
    <sheetView showGridLines="0" zoomScale="74" workbookViewId="0">
      <selection activeCell="T23" sqref="T23"/>
    </sheetView>
  </sheetViews>
  <sheetFormatPr defaultRowHeight="14.5" x14ac:dyDescent="0.35"/>
  <cols>
    <col min="2" max="2" width="23.26953125" bestFit="1" customWidth="1"/>
    <col min="3" max="3" width="17.36328125" bestFit="1" customWidth="1"/>
    <col min="4" max="4" width="19.6328125" bestFit="1" customWidth="1"/>
    <col min="5" max="5" width="13.36328125" bestFit="1" customWidth="1"/>
    <col min="6" max="6" width="9.36328125" bestFit="1" customWidth="1"/>
    <col min="7" max="7" width="9.453125" bestFit="1" customWidth="1"/>
    <col min="8" max="8" width="10.36328125" bestFit="1" customWidth="1"/>
    <col min="9" max="9" width="7.6328125" bestFit="1" customWidth="1"/>
    <col min="10" max="10" width="10.26953125" bestFit="1" customWidth="1"/>
    <col min="11" max="11" width="8.08984375" bestFit="1" customWidth="1"/>
    <col min="12" max="12" width="12" customWidth="1"/>
    <col min="13" max="13" width="12.1796875" customWidth="1"/>
    <col min="14" max="14" width="15.453125" customWidth="1"/>
    <col min="15" max="15" width="5.81640625" bestFit="1" customWidth="1"/>
    <col min="16" max="16" width="5.7265625" bestFit="1" customWidth="1"/>
    <col min="17" max="17" width="22.90625" bestFit="1" customWidth="1"/>
    <col min="18" max="18" width="10.90625" bestFit="1" customWidth="1"/>
    <col min="19" max="19" width="7.7265625" bestFit="1" customWidth="1"/>
    <col min="20" max="20" width="8" bestFit="1" customWidth="1"/>
    <col min="21" max="21" width="12.26953125" bestFit="1" customWidth="1"/>
    <col min="22" max="22" width="9.6328125" bestFit="1" customWidth="1"/>
    <col min="23" max="23" width="9" bestFit="1" customWidth="1"/>
    <col min="24" max="24" width="5.7265625" bestFit="1" customWidth="1"/>
    <col min="25" max="25" width="10.1796875" bestFit="1" customWidth="1"/>
    <col min="26" max="26" width="5.7265625" bestFit="1" customWidth="1"/>
    <col min="27" max="27" width="11.90625" bestFit="1" customWidth="1"/>
    <col min="28" max="28" width="5.7265625" bestFit="1" customWidth="1"/>
    <col min="29" max="29" width="7.08984375" bestFit="1" customWidth="1"/>
    <col min="30" max="30" width="11.1796875" bestFit="1" customWidth="1"/>
    <col min="31" max="31" width="14.26953125" bestFit="1" customWidth="1"/>
    <col min="32" max="32" width="8.54296875" bestFit="1" customWidth="1"/>
    <col min="33" max="33" width="13.54296875" bestFit="1" customWidth="1"/>
    <col min="34" max="34" width="12.7265625" bestFit="1" customWidth="1"/>
    <col min="35" max="35" width="7.90625" bestFit="1" customWidth="1"/>
    <col min="36" max="36" width="9.1796875" bestFit="1" customWidth="1"/>
    <col min="37" max="37" width="5.7265625" bestFit="1" customWidth="1"/>
    <col min="38" max="38" width="14.1796875" bestFit="1" customWidth="1"/>
    <col min="39" max="39" width="9.6328125" bestFit="1" customWidth="1"/>
    <col min="40" max="40" width="9" bestFit="1" customWidth="1"/>
    <col min="41" max="41" width="8.36328125" bestFit="1" customWidth="1"/>
    <col min="42" max="42" width="15.7265625" bestFit="1" customWidth="1"/>
    <col min="43" max="43" width="13" bestFit="1" customWidth="1"/>
    <col min="44" max="44" width="7.54296875" bestFit="1" customWidth="1"/>
    <col min="45" max="45" width="9.1796875" bestFit="1" customWidth="1"/>
    <col min="46" max="46" width="14.54296875" bestFit="1" customWidth="1"/>
    <col min="47" max="47" width="5.7265625" bestFit="1" customWidth="1"/>
    <col min="48" max="48" width="6.453125" bestFit="1" customWidth="1"/>
    <col min="49" max="49" width="18.08984375" bestFit="1" customWidth="1"/>
    <col min="50" max="50" width="6.6328125" bestFit="1" customWidth="1"/>
    <col min="51" max="51" width="6.26953125" bestFit="1" customWidth="1"/>
    <col min="52" max="52" width="15" bestFit="1" customWidth="1"/>
    <col min="53" max="53" width="11.7265625" bestFit="1" customWidth="1"/>
    <col min="54" max="54" width="7.453125" bestFit="1" customWidth="1"/>
    <col min="55" max="55" width="12.90625" bestFit="1" customWidth="1"/>
    <col min="56" max="56" width="8.453125" bestFit="1" customWidth="1"/>
    <col min="57" max="57" width="14.453125" bestFit="1" customWidth="1"/>
    <col min="58" max="58" width="5.7265625" bestFit="1" customWidth="1"/>
    <col min="59" max="59" width="12.6328125" bestFit="1" customWidth="1"/>
    <col min="60" max="60" width="11.1796875" bestFit="1" customWidth="1"/>
    <col min="61" max="61" width="7" bestFit="1" customWidth="1"/>
    <col min="62" max="62" width="14.26953125" bestFit="1" customWidth="1"/>
    <col min="63" max="63" width="6.36328125" bestFit="1" customWidth="1"/>
    <col min="64" max="64" width="12.1796875" bestFit="1" customWidth="1"/>
    <col min="65" max="65" width="23.54296875" bestFit="1" customWidth="1"/>
    <col min="66" max="66" width="11.90625" bestFit="1" customWidth="1"/>
    <col min="67" max="67" width="5.7265625" bestFit="1" customWidth="1"/>
    <col min="68" max="68" width="16.54296875" bestFit="1" customWidth="1"/>
    <col min="69" max="69" width="14.6328125" bestFit="1" customWidth="1"/>
    <col min="70" max="70" width="16.26953125" bestFit="1" customWidth="1"/>
    <col min="71" max="71" width="11.26953125" bestFit="1" customWidth="1"/>
    <col min="72" max="72" width="14.81640625" bestFit="1" customWidth="1"/>
    <col min="73" max="73" width="6.08984375" bestFit="1" customWidth="1"/>
    <col min="75" max="75" width="11.1796875" bestFit="1" customWidth="1"/>
    <col min="76" max="76" width="9.7265625" bestFit="1" customWidth="1"/>
    <col min="77" max="77" width="15.26953125" bestFit="1" customWidth="1"/>
    <col min="78" max="78" width="5.7265625" bestFit="1" customWidth="1"/>
    <col min="79" max="79" width="11.81640625" bestFit="1" customWidth="1"/>
    <col min="80" max="80" width="6.36328125" bestFit="1" customWidth="1"/>
    <col min="81" max="81" width="10.54296875" bestFit="1" customWidth="1"/>
    <col min="82" max="82" width="9.1796875" bestFit="1" customWidth="1"/>
    <col min="83" max="83" width="7.7265625" bestFit="1" customWidth="1"/>
    <col min="84" max="85" width="5.7265625" bestFit="1" customWidth="1"/>
    <col min="86" max="86" width="7.453125" bestFit="1" customWidth="1"/>
    <col min="87" max="87" width="8.6328125" bestFit="1" customWidth="1"/>
    <col min="88" max="88" width="9.08984375" bestFit="1" customWidth="1"/>
    <col min="89" max="89" width="8.36328125" bestFit="1" customWidth="1"/>
    <col min="90" max="90" width="6.6328125" bestFit="1" customWidth="1"/>
    <col min="91" max="91" width="13.54296875" bestFit="1" customWidth="1"/>
    <col min="92" max="92" width="6.36328125" bestFit="1" customWidth="1"/>
    <col min="93" max="93" width="10.36328125" bestFit="1" customWidth="1"/>
    <col min="94" max="95" width="5.7265625" bestFit="1" customWidth="1"/>
    <col min="96" max="96" width="10.453125" bestFit="1" customWidth="1"/>
    <col min="97" max="97" width="11.81640625" bestFit="1" customWidth="1"/>
    <col min="98" max="98" width="11.90625" bestFit="1" customWidth="1"/>
    <col min="99" max="99" width="20.26953125" bestFit="1" customWidth="1"/>
    <col min="100" max="100" width="14.26953125" bestFit="1" customWidth="1"/>
    <col min="101" max="101" width="6.90625" bestFit="1" customWidth="1"/>
    <col min="102" max="102" width="5.81640625" bestFit="1" customWidth="1"/>
    <col min="103" max="103" width="13.26953125" bestFit="1" customWidth="1"/>
    <col min="104" max="104" width="8.54296875" bestFit="1" customWidth="1"/>
    <col min="105" max="105" width="8.453125" bestFit="1" customWidth="1"/>
    <col min="106" max="106" width="6.08984375" bestFit="1" customWidth="1"/>
    <col min="107" max="107" width="10" bestFit="1" customWidth="1"/>
    <col min="108" max="108" width="8.90625" bestFit="1" customWidth="1"/>
    <col min="109" max="109" width="11.08984375" bestFit="1" customWidth="1"/>
    <col min="110" max="110" width="6.90625" bestFit="1" customWidth="1"/>
    <col min="111" max="111" width="9.453125" bestFit="1" customWidth="1"/>
    <col min="112" max="112" width="15.26953125" bestFit="1" customWidth="1"/>
    <col min="113" max="113" width="5.7265625" bestFit="1" customWidth="1"/>
    <col min="114" max="114" width="10.7265625" bestFit="1" customWidth="1"/>
    <col min="115" max="115" width="16.26953125" bestFit="1" customWidth="1"/>
    <col min="116" max="116" width="12.08984375" bestFit="1" customWidth="1"/>
    <col min="117" max="117" width="5.7265625" bestFit="1" customWidth="1"/>
    <col min="118" max="118" width="10.6328125" bestFit="1" customWidth="1"/>
    <col min="119" max="119" width="9.36328125" bestFit="1" customWidth="1"/>
    <col min="120" max="120" width="7.6328125" bestFit="1" customWidth="1"/>
    <col min="121" max="121" width="10.36328125" bestFit="1" customWidth="1"/>
    <col min="122" max="122" width="10.81640625" bestFit="1" customWidth="1"/>
    <col min="123" max="123" width="8.453125" bestFit="1" customWidth="1"/>
    <col min="124" max="124" width="9.08984375" bestFit="1" customWidth="1"/>
    <col min="125" max="125" width="14.453125" bestFit="1" customWidth="1"/>
    <col min="126" max="126" width="8.453125" bestFit="1" customWidth="1"/>
    <col min="127" max="127" width="11.1796875" bestFit="1" customWidth="1"/>
    <col min="128" max="128" width="14.54296875" bestFit="1" customWidth="1"/>
    <col min="129" max="129" width="13.81640625" bestFit="1" customWidth="1"/>
    <col min="130" max="130" width="5.7265625" bestFit="1" customWidth="1"/>
    <col min="131" max="131" width="16" bestFit="1" customWidth="1"/>
    <col min="132" max="132" width="8.1796875" bestFit="1" customWidth="1"/>
    <col min="133" max="133" width="13.08984375" bestFit="1" customWidth="1"/>
    <col min="134" max="134" width="7.26953125" bestFit="1" customWidth="1"/>
    <col min="135" max="135" width="11" bestFit="1" customWidth="1"/>
    <col min="136" max="136" width="5.7265625" bestFit="1" customWidth="1"/>
    <col min="137" max="137" width="9.453125" bestFit="1" customWidth="1"/>
    <col min="138" max="138" width="10.7265625" bestFit="1" customWidth="1"/>
  </cols>
  <sheetData>
    <row r="2" spans="2:14" x14ac:dyDescent="0.35">
      <c r="B2" s="8" t="s">
        <v>3453</v>
      </c>
    </row>
    <row r="3" spans="2:14" x14ac:dyDescent="0.35">
      <c r="B3" s="8" t="s">
        <v>3447</v>
      </c>
    </row>
    <row r="5" spans="2:14" x14ac:dyDescent="0.35">
      <c r="C5" t="s">
        <v>3446</v>
      </c>
      <c r="D5" t="s">
        <v>3450</v>
      </c>
      <c r="E5" t="s">
        <v>3448</v>
      </c>
      <c r="F5" t="s">
        <v>3452</v>
      </c>
    </row>
    <row r="6" spans="2:14" x14ac:dyDescent="0.35">
      <c r="B6" s="10" t="s">
        <v>65</v>
      </c>
      <c r="C6" s="1">
        <v>100</v>
      </c>
      <c r="D6" s="13">
        <v>0.1016260162601626</v>
      </c>
      <c r="E6" s="1">
        <v>100</v>
      </c>
      <c r="F6" s="11">
        <v>1750.43</v>
      </c>
    </row>
    <row r="7" spans="2:14" x14ac:dyDescent="0.35">
      <c r="B7" s="10" t="s">
        <v>3394</v>
      </c>
      <c r="C7" s="1">
        <v>75</v>
      </c>
      <c r="D7" s="13">
        <v>7.621951219512195E-2</v>
      </c>
      <c r="E7" s="1">
        <v>75</v>
      </c>
      <c r="F7" s="11">
        <v>1356.9000000000005</v>
      </c>
    </row>
    <row r="8" spans="2:14" x14ac:dyDescent="0.35">
      <c r="B8" s="10" t="s">
        <v>242</v>
      </c>
      <c r="C8" s="1">
        <v>62</v>
      </c>
      <c r="D8" s="13">
        <v>6.3008130081300809E-2</v>
      </c>
      <c r="E8" s="1">
        <v>62</v>
      </c>
      <c r="F8" s="11">
        <v>1012.1099999999999</v>
      </c>
      <c r="M8" t="s">
        <v>3370</v>
      </c>
      <c r="N8" t="s">
        <v>3451</v>
      </c>
    </row>
    <row r="9" spans="2:14" x14ac:dyDescent="0.35">
      <c r="B9" s="10" t="s">
        <v>2915</v>
      </c>
      <c r="C9" s="1">
        <v>27</v>
      </c>
      <c r="D9" s="13">
        <v>2.7439024390243903E-2</v>
      </c>
      <c r="E9" s="1">
        <v>27</v>
      </c>
      <c r="F9" s="11">
        <v>476.51000000000005</v>
      </c>
      <c r="M9" t="str">
        <f>B6</f>
        <v>Nike</v>
      </c>
      <c r="N9">
        <f>C6</f>
        <v>100</v>
      </c>
    </row>
    <row r="10" spans="2:14" x14ac:dyDescent="0.35">
      <c r="B10" s="10" t="s">
        <v>1743</v>
      </c>
      <c r="C10" s="1">
        <v>23</v>
      </c>
      <c r="D10" s="13">
        <v>2.3373983739837397E-2</v>
      </c>
      <c r="E10" s="1">
        <v>23</v>
      </c>
      <c r="F10" s="11">
        <v>402.99</v>
      </c>
      <c r="M10" t="str">
        <f>B7</f>
        <v>Adidas Performance</v>
      </c>
      <c r="N10">
        <f>C7</f>
        <v>75</v>
      </c>
    </row>
    <row r="11" spans="2:14" x14ac:dyDescent="0.35">
      <c r="B11" s="10" t="s">
        <v>484</v>
      </c>
      <c r="C11" s="1">
        <v>20</v>
      </c>
      <c r="D11" s="13">
        <v>2.032520325203252E-2</v>
      </c>
      <c r="E11" s="1">
        <v>20</v>
      </c>
      <c r="F11" s="11">
        <v>320.57000000000005</v>
      </c>
      <c r="M11" t="str">
        <f>B8</f>
        <v>Tommy Hilfiger</v>
      </c>
      <c r="N11">
        <f>C8</f>
        <v>62</v>
      </c>
    </row>
    <row r="12" spans="2:14" x14ac:dyDescent="0.35">
      <c r="B12" s="10" t="s">
        <v>412</v>
      </c>
      <c r="C12" s="1">
        <v>20</v>
      </c>
      <c r="D12" s="13">
        <v>2.032520325203252E-2</v>
      </c>
      <c r="E12" s="1">
        <v>20</v>
      </c>
      <c r="F12" s="11">
        <v>298.39000000000004</v>
      </c>
      <c r="M12" t="str">
        <f>B9</f>
        <v>Only &amp; Sons</v>
      </c>
      <c r="N12">
        <f>C9</f>
        <v>27</v>
      </c>
    </row>
    <row r="13" spans="2:14" x14ac:dyDescent="0.35">
      <c r="B13" s="10" t="s">
        <v>25</v>
      </c>
      <c r="C13" s="1">
        <v>20</v>
      </c>
      <c r="D13" s="13">
        <v>2.032520325203252E-2</v>
      </c>
      <c r="E13" s="1">
        <v>20</v>
      </c>
      <c r="F13" s="11">
        <v>372.72</v>
      </c>
      <c r="M13" t="str">
        <f>B10</f>
        <v>Cars Jeans</v>
      </c>
      <c r="N13">
        <f>C10</f>
        <v>23</v>
      </c>
    </row>
    <row r="14" spans="2:14" x14ac:dyDescent="0.35">
      <c r="B14" s="10" t="s">
        <v>616</v>
      </c>
      <c r="C14" s="1">
        <v>18</v>
      </c>
      <c r="D14" s="13">
        <v>1.8292682926829267E-2</v>
      </c>
      <c r="E14" s="1">
        <v>18</v>
      </c>
      <c r="F14" s="11">
        <v>238.91000000000003</v>
      </c>
      <c r="M14" t="str">
        <f>B11</f>
        <v>Calvin Klein</v>
      </c>
      <c r="N14">
        <f>C11</f>
        <v>20</v>
      </c>
    </row>
    <row r="15" spans="2:14" x14ac:dyDescent="0.35">
      <c r="B15" s="10" t="s">
        <v>3433</v>
      </c>
      <c r="C15" s="1">
        <v>18</v>
      </c>
      <c r="D15" s="13">
        <v>1.8292682926829267E-2</v>
      </c>
      <c r="E15" s="1">
        <v>18</v>
      </c>
      <c r="F15" s="11">
        <v>309.60000000000002</v>
      </c>
      <c r="M15" t="str">
        <f>B12</f>
        <v>Produkt</v>
      </c>
      <c r="N15">
        <f>C12</f>
        <v>20</v>
      </c>
    </row>
    <row r="16" spans="2:14" x14ac:dyDescent="0.35">
      <c r="B16" s="10" t="s">
        <v>41</v>
      </c>
      <c r="C16" s="1">
        <v>17</v>
      </c>
      <c r="D16" s="13">
        <v>1.7276422764227643E-2</v>
      </c>
      <c r="E16" s="1">
        <v>17</v>
      </c>
      <c r="F16" s="11">
        <v>207.51999999999998</v>
      </c>
      <c r="M16" t="str">
        <f>B13</f>
        <v>Anerkjendt</v>
      </c>
      <c r="N16">
        <f>C13</f>
        <v>20</v>
      </c>
    </row>
    <row r="17" spans="2:14" x14ac:dyDescent="0.35">
      <c r="B17" s="10" t="s">
        <v>750</v>
      </c>
      <c r="C17" s="1">
        <v>16</v>
      </c>
      <c r="D17" s="13">
        <v>1.6260162601626018E-2</v>
      </c>
      <c r="E17" s="1">
        <v>16</v>
      </c>
      <c r="F17" s="11">
        <v>350.4</v>
      </c>
      <c r="M17" t="str">
        <f>B14</f>
        <v>Salomon</v>
      </c>
      <c r="N17">
        <f>C14</f>
        <v>18</v>
      </c>
    </row>
    <row r="18" spans="2:14" x14ac:dyDescent="0.35">
      <c r="B18" s="10" t="s">
        <v>108</v>
      </c>
      <c r="C18" s="1">
        <v>15</v>
      </c>
      <c r="D18" s="13">
        <v>1.524390243902439E-2</v>
      </c>
      <c r="E18" s="1">
        <v>15</v>
      </c>
      <c r="F18" s="11">
        <v>201.08999999999997</v>
      </c>
      <c r="M18" t="str">
        <f>B15</f>
        <v>Jack &amp; Jones Junior</v>
      </c>
      <c r="N18">
        <f>C15</f>
        <v>18</v>
      </c>
    </row>
    <row r="19" spans="2:14" x14ac:dyDescent="0.35">
      <c r="B19" s="10" t="s">
        <v>423</v>
      </c>
      <c r="C19" s="1">
        <v>14</v>
      </c>
      <c r="D19" s="13">
        <v>1.4227642276422764E-2</v>
      </c>
      <c r="E19" s="1">
        <v>14</v>
      </c>
      <c r="F19" s="11">
        <v>181.31</v>
      </c>
    </row>
    <row r="20" spans="2:14" x14ac:dyDescent="0.35">
      <c r="B20" s="10" t="s">
        <v>721</v>
      </c>
      <c r="C20" s="1">
        <v>13</v>
      </c>
      <c r="D20" s="13">
        <v>1.3211382113821139E-2</v>
      </c>
      <c r="E20" s="1">
        <v>13</v>
      </c>
      <c r="F20" s="11">
        <v>213.39999999999998</v>
      </c>
    </row>
    <row r="21" spans="2:14" x14ac:dyDescent="0.35">
      <c r="B21" s="10" t="s">
        <v>3410</v>
      </c>
      <c r="C21" s="1">
        <v>12</v>
      </c>
      <c r="D21" s="13">
        <v>1.2195121951219513E-2</v>
      </c>
      <c r="E21" s="1">
        <v>12</v>
      </c>
      <c r="F21" s="11">
        <v>139.33999999999997</v>
      </c>
    </row>
    <row r="22" spans="2:14" x14ac:dyDescent="0.35">
      <c r="B22" s="10" t="s">
        <v>1115</v>
      </c>
      <c r="C22" s="1">
        <v>12</v>
      </c>
      <c r="D22" s="13">
        <v>1.2195121951219513E-2</v>
      </c>
      <c r="E22" s="1">
        <v>12</v>
      </c>
      <c r="F22" s="11">
        <v>199.78999999999996</v>
      </c>
    </row>
    <row r="23" spans="2:14" x14ac:dyDescent="0.35">
      <c r="B23" s="10" t="s">
        <v>102</v>
      </c>
      <c r="C23" s="1">
        <v>12</v>
      </c>
      <c r="D23" s="13">
        <v>1.2195121951219513E-2</v>
      </c>
      <c r="E23" s="1">
        <v>12</v>
      </c>
      <c r="F23" s="11">
        <v>203.83</v>
      </c>
    </row>
    <row r="24" spans="2:14" x14ac:dyDescent="0.35">
      <c r="B24" s="10" t="s">
        <v>1747</v>
      </c>
      <c r="C24" s="1">
        <v>12</v>
      </c>
      <c r="D24" s="13">
        <v>1.2195121951219513E-2</v>
      </c>
      <c r="E24" s="1">
        <v>12</v>
      </c>
      <c r="F24" s="11">
        <v>216.01000000000002</v>
      </c>
    </row>
    <row r="25" spans="2:14" x14ac:dyDescent="0.35">
      <c r="B25" s="10" t="s">
        <v>333</v>
      </c>
      <c r="C25" s="1">
        <v>10</v>
      </c>
      <c r="D25" s="13">
        <v>1.016260162601626E-2</v>
      </c>
      <c r="E25" s="1">
        <v>10</v>
      </c>
      <c r="F25" s="11">
        <v>157.13999999999999</v>
      </c>
    </row>
    <row r="26" spans="2:14" x14ac:dyDescent="0.35">
      <c r="B26" s="10" t="s">
        <v>126</v>
      </c>
      <c r="C26" s="1">
        <v>10</v>
      </c>
      <c r="D26" s="13">
        <v>1.016260162601626E-2</v>
      </c>
      <c r="E26" s="1">
        <v>10</v>
      </c>
      <c r="F26" s="11">
        <v>121.50999999999999</v>
      </c>
    </row>
    <row r="27" spans="2:14" x14ac:dyDescent="0.35">
      <c r="B27" s="10" t="s">
        <v>318</v>
      </c>
      <c r="C27" s="1">
        <v>10</v>
      </c>
      <c r="D27" s="13">
        <v>1.016260162601626E-2</v>
      </c>
      <c r="E27" s="1">
        <v>10</v>
      </c>
      <c r="F27" s="11">
        <v>161.88</v>
      </c>
    </row>
    <row r="28" spans="2:14" x14ac:dyDescent="0.35">
      <c r="B28" s="10" t="s">
        <v>88</v>
      </c>
      <c r="C28" s="1">
        <v>10</v>
      </c>
      <c r="D28" s="13">
        <v>1.016260162601626E-2</v>
      </c>
      <c r="E28" s="1">
        <v>10</v>
      </c>
      <c r="F28" s="11">
        <v>129.16</v>
      </c>
    </row>
    <row r="29" spans="2:14" x14ac:dyDescent="0.35">
      <c r="B29" s="10" t="s">
        <v>306</v>
      </c>
      <c r="C29" s="1">
        <v>9</v>
      </c>
      <c r="D29" s="13">
        <v>9.1463414634146336E-3</v>
      </c>
      <c r="E29" s="1">
        <v>9</v>
      </c>
      <c r="F29" s="11">
        <v>101.58999999999997</v>
      </c>
    </row>
    <row r="30" spans="2:14" x14ac:dyDescent="0.35">
      <c r="B30" s="10" t="s">
        <v>569</v>
      </c>
      <c r="C30" s="1">
        <v>9</v>
      </c>
      <c r="D30" s="13">
        <v>9.1463414634146336E-3</v>
      </c>
      <c r="E30" s="1">
        <v>9</v>
      </c>
      <c r="F30" s="11">
        <v>125.31999999999998</v>
      </c>
    </row>
    <row r="31" spans="2:14" x14ac:dyDescent="0.35">
      <c r="B31" s="10" t="s">
        <v>585</v>
      </c>
      <c r="C31" s="1">
        <v>9</v>
      </c>
      <c r="D31" s="13">
        <v>9.1463414634146336E-3</v>
      </c>
      <c r="E31" s="1">
        <v>9</v>
      </c>
      <c r="F31" s="11">
        <v>160.35000000000002</v>
      </c>
    </row>
    <row r="32" spans="2:14" x14ac:dyDescent="0.35">
      <c r="B32" s="10" t="s">
        <v>703</v>
      </c>
      <c r="C32" s="1">
        <v>8</v>
      </c>
      <c r="D32" s="13">
        <v>8.130081300813009E-3</v>
      </c>
      <c r="E32" s="1">
        <v>8</v>
      </c>
      <c r="F32" s="11">
        <v>142.33000000000001</v>
      </c>
    </row>
    <row r="33" spans="2:6" x14ac:dyDescent="0.35">
      <c r="B33" s="10" t="s">
        <v>469</v>
      </c>
      <c r="C33" s="1">
        <v>8</v>
      </c>
      <c r="D33" s="13">
        <v>8.130081300813009E-3</v>
      </c>
      <c r="E33" s="1">
        <v>8</v>
      </c>
      <c r="F33" s="11">
        <v>147.15</v>
      </c>
    </row>
    <row r="34" spans="2:6" x14ac:dyDescent="0.35">
      <c r="B34" s="10" t="s">
        <v>387</v>
      </c>
      <c r="C34" s="1">
        <v>8</v>
      </c>
      <c r="D34" s="13">
        <v>8.130081300813009E-3</v>
      </c>
      <c r="E34" s="1">
        <v>8</v>
      </c>
      <c r="F34" s="11">
        <v>189.8</v>
      </c>
    </row>
    <row r="35" spans="2:6" x14ac:dyDescent="0.35">
      <c r="B35" s="10" t="s">
        <v>367</v>
      </c>
      <c r="C35" s="1">
        <v>8</v>
      </c>
      <c r="D35" s="13">
        <v>8.130081300813009E-3</v>
      </c>
      <c r="E35" s="1">
        <v>8</v>
      </c>
      <c r="F35" s="11">
        <v>184.12</v>
      </c>
    </row>
    <row r="36" spans="2:6" x14ac:dyDescent="0.35">
      <c r="B36" s="10" t="s">
        <v>995</v>
      </c>
      <c r="C36" s="1">
        <v>8</v>
      </c>
      <c r="D36" s="13">
        <v>8.130081300813009E-3</v>
      </c>
      <c r="E36" s="1">
        <v>8</v>
      </c>
      <c r="F36" s="11">
        <v>122.23</v>
      </c>
    </row>
    <row r="37" spans="2:6" x14ac:dyDescent="0.35">
      <c r="B37" s="10" t="s">
        <v>541</v>
      </c>
      <c r="C37" s="1">
        <v>8</v>
      </c>
      <c r="D37" s="13">
        <v>8.130081300813009E-3</v>
      </c>
      <c r="E37" s="1">
        <v>8</v>
      </c>
      <c r="F37" s="11">
        <v>123.49</v>
      </c>
    </row>
    <row r="38" spans="2:6" x14ac:dyDescent="0.35">
      <c r="B38" s="10" t="s">
        <v>323</v>
      </c>
      <c r="C38" s="1">
        <v>8</v>
      </c>
      <c r="D38" s="13">
        <v>8.130081300813009E-3</v>
      </c>
      <c r="E38" s="1">
        <v>8</v>
      </c>
      <c r="F38" s="11">
        <v>146.35000000000002</v>
      </c>
    </row>
    <row r="39" spans="2:6" x14ac:dyDescent="0.35">
      <c r="B39" s="10" t="s">
        <v>1010</v>
      </c>
      <c r="C39" s="1">
        <v>7</v>
      </c>
      <c r="D39" s="13">
        <v>7.1138211382113818E-3</v>
      </c>
      <c r="E39" s="1">
        <v>7</v>
      </c>
      <c r="F39" s="11">
        <v>112.91999999999999</v>
      </c>
    </row>
    <row r="40" spans="2:6" x14ac:dyDescent="0.35">
      <c r="B40" s="10" t="s">
        <v>200</v>
      </c>
      <c r="C40" s="1">
        <v>7</v>
      </c>
      <c r="D40" s="13">
        <v>7.1138211382113818E-3</v>
      </c>
      <c r="E40" s="1">
        <v>7</v>
      </c>
      <c r="F40" s="11">
        <v>81.53</v>
      </c>
    </row>
    <row r="41" spans="2:6" x14ac:dyDescent="0.35">
      <c r="B41" s="10" t="s">
        <v>1355</v>
      </c>
      <c r="C41" s="1">
        <v>7</v>
      </c>
      <c r="D41" s="13">
        <v>7.1138211382113818E-3</v>
      </c>
      <c r="E41" s="1">
        <v>7</v>
      </c>
      <c r="F41" s="11">
        <v>151.85999999999999</v>
      </c>
    </row>
    <row r="42" spans="2:6" x14ac:dyDescent="0.35">
      <c r="B42" s="10" t="s">
        <v>1314</v>
      </c>
      <c r="C42" s="1">
        <v>7</v>
      </c>
      <c r="D42" s="13">
        <v>7.1138211382113818E-3</v>
      </c>
      <c r="E42" s="1">
        <v>7</v>
      </c>
      <c r="F42" s="11">
        <v>112.13000000000001</v>
      </c>
    </row>
    <row r="43" spans="2:6" x14ac:dyDescent="0.35">
      <c r="B43" s="10" t="s">
        <v>246</v>
      </c>
      <c r="C43" s="1">
        <v>7</v>
      </c>
      <c r="D43" s="13">
        <v>7.1138211382113818E-3</v>
      </c>
      <c r="E43" s="1">
        <v>7</v>
      </c>
      <c r="F43" s="11">
        <v>74.45</v>
      </c>
    </row>
    <row r="44" spans="2:6" x14ac:dyDescent="0.35">
      <c r="B44" s="10" t="s">
        <v>3407</v>
      </c>
      <c r="C44" s="1">
        <v>7</v>
      </c>
      <c r="D44" s="13">
        <v>7.1138211382113818E-3</v>
      </c>
      <c r="E44" s="1">
        <v>7</v>
      </c>
      <c r="F44" s="11">
        <v>127.47</v>
      </c>
    </row>
    <row r="45" spans="2:6" x14ac:dyDescent="0.35">
      <c r="B45" s="10" t="s">
        <v>1421</v>
      </c>
      <c r="C45" s="1">
        <v>6</v>
      </c>
      <c r="D45" s="13">
        <v>6.0975609756097563E-3</v>
      </c>
      <c r="E45" s="1">
        <v>6</v>
      </c>
      <c r="F45" s="11">
        <v>84.19</v>
      </c>
    </row>
    <row r="46" spans="2:6" x14ac:dyDescent="0.35">
      <c r="B46" s="10" t="s">
        <v>1973</v>
      </c>
      <c r="C46" s="1">
        <v>6</v>
      </c>
      <c r="D46" s="13">
        <v>6.0975609756097563E-3</v>
      </c>
      <c r="E46" s="1">
        <v>6</v>
      </c>
      <c r="F46" s="11">
        <v>82.79</v>
      </c>
    </row>
    <row r="47" spans="2:6" x14ac:dyDescent="0.35">
      <c r="B47" s="10" t="s">
        <v>1090</v>
      </c>
      <c r="C47" s="1">
        <v>6</v>
      </c>
      <c r="D47" s="13">
        <v>6.0975609756097563E-3</v>
      </c>
      <c r="E47" s="1">
        <v>6</v>
      </c>
      <c r="F47" s="11">
        <v>81.650000000000006</v>
      </c>
    </row>
    <row r="48" spans="2:6" x14ac:dyDescent="0.35">
      <c r="B48" s="10" t="s">
        <v>3400</v>
      </c>
      <c r="C48" s="1">
        <v>6</v>
      </c>
      <c r="D48" s="13">
        <v>6.0975609756097563E-3</v>
      </c>
      <c r="E48" s="1">
        <v>6</v>
      </c>
      <c r="F48" s="11">
        <v>74.47</v>
      </c>
    </row>
    <row r="49" spans="2:6" x14ac:dyDescent="0.35">
      <c r="B49" s="10" t="s">
        <v>3417</v>
      </c>
      <c r="C49" s="1">
        <v>6</v>
      </c>
      <c r="D49" s="13">
        <v>6.0975609756097563E-3</v>
      </c>
      <c r="E49" s="1">
        <v>6</v>
      </c>
      <c r="F49" s="11">
        <v>89.22</v>
      </c>
    </row>
    <row r="50" spans="2:6" x14ac:dyDescent="0.35">
      <c r="B50" s="10" t="s">
        <v>399</v>
      </c>
      <c r="C50" s="1">
        <v>6</v>
      </c>
      <c r="D50" s="13">
        <v>6.0975609756097563E-3</v>
      </c>
      <c r="E50" s="1">
        <v>6</v>
      </c>
      <c r="F50" s="11">
        <v>88</v>
      </c>
    </row>
    <row r="51" spans="2:6" x14ac:dyDescent="0.35">
      <c r="B51" s="10" t="s">
        <v>565</v>
      </c>
      <c r="C51" s="1">
        <v>5</v>
      </c>
      <c r="D51" s="13">
        <v>5.08130081300813E-3</v>
      </c>
      <c r="E51" s="1">
        <v>5</v>
      </c>
      <c r="F51" s="11">
        <v>70.81</v>
      </c>
    </row>
    <row r="52" spans="2:6" x14ac:dyDescent="0.35">
      <c r="B52" s="10" t="s">
        <v>3414</v>
      </c>
      <c r="C52" s="1">
        <v>5</v>
      </c>
      <c r="D52" s="13">
        <v>5.08130081300813E-3</v>
      </c>
      <c r="E52" s="1">
        <v>5</v>
      </c>
      <c r="F52" s="11">
        <v>126.64000000000001</v>
      </c>
    </row>
    <row r="53" spans="2:6" x14ac:dyDescent="0.35">
      <c r="B53" s="10" t="s">
        <v>119</v>
      </c>
      <c r="C53" s="1">
        <v>5</v>
      </c>
      <c r="D53" s="13">
        <v>5.08130081300813E-3</v>
      </c>
      <c r="E53" s="1">
        <v>5</v>
      </c>
      <c r="F53" s="11">
        <v>96.99</v>
      </c>
    </row>
    <row r="54" spans="2:6" x14ac:dyDescent="0.35">
      <c r="B54" s="10" t="s">
        <v>3413</v>
      </c>
      <c r="C54" s="1">
        <v>5</v>
      </c>
      <c r="D54" s="13">
        <v>5.08130081300813E-3</v>
      </c>
      <c r="E54" s="1">
        <v>5</v>
      </c>
      <c r="F54" s="11">
        <v>112.80000000000001</v>
      </c>
    </row>
    <row r="55" spans="2:6" x14ac:dyDescent="0.35">
      <c r="B55" s="10" t="s">
        <v>561</v>
      </c>
      <c r="C55" s="1">
        <v>5</v>
      </c>
      <c r="D55" s="13">
        <v>5.08130081300813E-3</v>
      </c>
      <c r="E55" s="1">
        <v>5</v>
      </c>
      <c r="F55" s="11">
        <v>115.21999999999998</v>
      </c>
    </row>
    <row r="56" spans="2:6" x14ac:dyDescent="0.35">
      <c r="B56" s="10" t="s">
        <v>3406</v>
      </c>
      <c r="C56" s="1">
        <v>5</v>
      </c>
      <c r="D56" s="13">
        <v>5.08130081300813E-3</v>
      </c>
      <c r="E56" s="1">
        <v>5</v>
      </c>
      <c r="F56" s="11">
        <v>58.91</v>
      </c>
    </row>
    <row r="57" spans="2:6" x14ac:dyDescent="0.35">
      <c r="B57" s="10" t="s">
        <v>3398</v>
      </c>
      <c r="C57" s="1">
        <v>5</v>
      </c>
      <c r="D57" s="13">
        <v>5.08130081300813E-3</v>
      </c>
      <c r="E57" s="1">
        <v>5</v>
      </c>
      <c r="F57" s="11">
        <v>126.47</v>
      </c>
    </row>
    <row r="58" spans="2:6" x14ac:dyDescent="0.35">
      <c r="B58" s="10" t="s">
        <v>1242</v>
      </c>
      <c r="C58" s="1">
        <v>5</v>
      </c>
      <c r="D58" s="13">
        <v>5.08130081300813E-3</v>
      </c>
      <c r="E58" s="1">
        <v>5</v>
      </c>
      <c r="F58" s="11">
        <v>90.100000000000009</v>
      </c>
    </row>
    <row r="59" spans="2:6" x14ac:dyDescent="0.35">
      <c r="B59" s="10" t="s">
        <v>271</v>
      </c>
      <c r="C59" s="1">
        <v>5</v>
      </c>
      <c r="D59" s="13">
        <v>5.08130081300813E-3</v>
      </c>
      <c r="E59" s="1">
        <v>5</v>
      </c>
      <c r="F59" s="11">
        <v>58.17</v>
      </c>
    </row>
    <row r="60" spans="2:6" x14ac:dyDescent="0.35">
      <c r="B60" s="10" t="s">
        <v>999</v>
      </c>
      <c r="C60" s="1">
        <v>5</v>
      </c>
      <c r="D60" s="13">
        <v>5.08130081300813E-3</v>
      </c>
      <c r="E60" s="1">
        <v>5</v>
      </c>
      <c r="F60" s="11">
        <v>70.2</v>
      </c>
    </row>
    <row r="61" spans="2:6" x14ac:dyDescent="0.35">
      <c r="B61" s="10" t="s">
        <v>1670</v>
      </c>
      <c r="C61" s="1">
        <v>5</v>
      </c>
      <c r="D61" s="13">
        <v>5.08130081300813E-3</v>
      </c>
      <c r="E61" s="1">
        <v>5</v>
      </c>
      <c r="F61" s="11">
        <v>75.649999999999991</v>
      </c>
    </row>
    <row r="62" spans="2:6" x14ac:dyDescent="0.35">
      <c r="B62" s="10" t="s">
        <v>1425</v>
      </c>
      <c r="C62" s="1">
        <v>5</v>
      </c>
      <c r="D62" s="13">
        <v>5.08130081300813E-3</v>
      </c>
      <c r="E62" s="1">
        <v>5</v>
      </c>
      <c r="F62" s="11">
        <v>88.1</v>
      </c>
    </row>
    <row r="63" spans="2:6" x14ac:dyDescent="0.35">
      <c r="B63" s="10" t="s">
        <v>525</v>
      </c>
      <c r="C63" s="1">
        <v>5</v>
      </c>
      <c r="D63" s="13">
        <v>5.08130081300813E-3</v>
      </c>
      <c r="E63" s="1">
        <v>5</v>
      </c>
      <c r="F63" s="11">
        <v>66.69</v>
      </c>
    </row>
    <row r="64" spans="2:6" x14ac:dyDescent="0.35">
      <c r="B64" s="10" t="s">
        <v>3423</v>
      </c>
      <c r="C64" s="1">
        <v>4</v>
      </c>
      <c r="D64" s="13">
        <v>4.0650406504065045E-3</v>
      </c>
      <c r="E64" s="1">
        <v>4</v>
      </c>
      <c r="F64" s="11">
        <v>51.69</v>
      </c>
    </row>
    <row r="65" spans="2:6" x14ac:dyDescent="0.35">
      <c r="B65" s="10" t="s">
        <v>3396</v>
      </c>
      <c r="C65" s="1">
        <v>4</v>
      </c>
      <c r="D65" s="13">
        <v>4.0650406504065045E-3</v>
      </c>
      <c r="E65" s="1">
        <v>4</v>
      </c>
      <c r="F65" s="11">
        <v>35.5</v>
      </c>
    </row>
    <row r="66" spans="2:6" x14ac:dyDescent="0.35">
      <c r="B66" s="10" t="s">
        <v>2409</v>
      </c>
      <c r="C66" s="1">
        <v>4</v>
      </c>
      <c r="D66" s="13">
        <v>4.0650406504065045E-3</v>
      </c>
      <c r="E66" s="1">
        <v>4</v>
      </c>
      <c r="F66" s="11">
        <v>101.56</v>
      </c>
    </row>
    <row r="67" spans="2:6" x14ac:dyDescent="0.35">
      <c r="B67" s="10" t="s">
        <v>132</v>
      </c>
      <c r="C67" s="1">
        <v>4</v>
      </c>
      <c r="D67" s="13">
        <v>4.0650406504065045E-3</v>
      </c>
      <c r="E67" s="1">
        <v>4</v>
      </c>
      <c r="F67" s="11">
        <v>60.879999999999995</v>
      </c>
    </row>
    <row r="68" spans="2:6" x14ac:dyDescent="0.35">
      <c r="B68" s="10" t="s">
        <v>1143</v>
      </c>
      <c r="C68" s="1">
        <v>4</v>
      </c>
      <c r="D68" s="13">
        <v>4.0650406504065045E-3</v>
      </c>
      <c r="E68" s="1">
        <v>4</v>
      </c>
      <c r="F68" s="11">
        <v>94.19</v>
      </c>
    </row>
    <row r="69" spans="2:6" x14ac:dyDescent="0.35">
      <c r="B69" s="10" t="s">
        <v>2781</v>
      </c>
      <c r="C69" s="1">
        <v>4</v>
      </c>
      <c r="D69" s="13">
        <v>4.0650406504065045E-3</v>
      </c>
      <c r="E69" s="1">
        <v>4</v>
      </c>
      <c r="F69" s="11">
        <v>80.259999999999991</v>
      </c>
    </row>
    <row r="70" spans="2:6" x14ac:dyDescent="0.35">
      <c r="B70" s="10" t="s">
        <v>1839</v>
      </c>
      <c r="C70" s="1">
        <v>4</v>
      </c>
      <c r="D70" s="13">
        <v>4.0650406504065045E-3</v>
      </c>
      <c r="E70" s="1">
        <v>4</v>
      </c>
      <c r="F70" s="11">
        <v>47.79</v>
      </c>
    </row>
    <row r="71" spans="2:6" x14ac:dyDescent="0.35">
      <c r="B71" s="10" t="s">
        <v>1797</v>
      </c>
      <c r="C71" s="1">
        <v>4</v>
      </c>
      <c r="D71" s="13">
        <v>4.0650406504065045E-3</v>
      </c>
      <c r="E71" s="1">
        <v>4</v>
      </c>
      <c r="F71" s="11">
        <v>75.600000000000009</v>
      </c>
    </row>
    <row r="72" spans="2:6" x14ac:dyDescent="0.35">
      <c r="B72" s="10" t="s">
        <v>505</v>
      </c>
      <c r="C72" s="1">
        <v>4</v>
      </c>
      <c r="D72" s="13">
        <v>4.0650406504065045E-3</v>
      </c>
      <c r="E72" s="1">
        <v>4</v>
      </c>
      <c r="F72" s="11">
        <v>55.01</v>
      </c>
    </row>
    <row r="73" spans="2:6" x14ac:dyDescent="0.35">
      <c r="B73" s="10" t="s">
        <v>454</v>
      </c>
      <c r="C73" s="1">
        <v>4</v>
      </c>
      <c r="D73" s="13">
        <v>4.0650406504065045E-3</v>
      </c>
      <c r="E73" s="1">
        <v>4</v>
      </c>
      <c r="F73" s="11">
        <v>61.73</v>
      </c>
    </row>
    <row r="74" spans="2:6" x14ac:dyDescent="0.35">
      <c r="B74" s="10" t="s">
        <v>80</v>
      </c>
      <c r="C74" s="1">
        <v>4</v>
      </c>
      <c r="D74" s="13">
        <v>4.0650406504065045E-3</v>
      </c>
      <c r="E74" s="1">
        <v>4</v>
      </c>
      <c r="F74" s="11">
        <v>70.14</v>
      </c>
    </row>
    <row r="75" spans="2:6" x14ac:dyDescent="0.35">
      <c r="B75" s="10" t="s">
        <v>2</v>
      </c>
      <c r="C75" s="1">
        <v>4</v>
      </c>
      <c r="D75" s="13">
        <v>4.0650406504065045E-3</v>
      </c>
      <c r="E75" s="1">
        <v>4</v>
      </c>
      <c r="F75" s="11">
        <v>90.58</v>
      </c>
    </row>
    <row r="76" spans="2:6" x14ac:dyDescent="0.35">
      <c r="B76" s="10" t="s">
        <v>219</v>
      </c>
      <c r="C76" s="1">
        <v>3</v>
      </c>
      <c r="D76" s="13">
        <v>3.0487804878048782E-3</v>
      </c>
      <c r="E76" s="1">
        <v>3</v>
      </c>
      <c r="F76" s="11">
        <v>48.639999999999993</v>
      </c>
    </row>
    <row r="77" spans="2:6" x14ac:dyDescent="0.35">
      <c r="B77" s="10" t="s">
        <v>1402</v>
      </c>
      <c r="C77" s="1">
        <v>3</v>
      </c>
      <c r="D77" s="13">
        <v>3.0487804878048782E-3</v>
      </c>
      <c r="E77" s="1">
        <v>3</v>
      </c>
      <c r="F77" s="11">
        <v>16.52</v>
      </c>
    </row>
    <row r="78" spans="2:6" x14ac:dyDescent="0.35">
      <c r="B78" s="10" t="s">
        <v>96</v>
      </c>
      <c r="C78" s="1">
        <v>3</v>
      </c>
      <c r="D78" s="13">
        <v>3.0487804878048782E-3</v>
      </c>
      <c r="E78" s="1">
        <v>3</v>
      </c>
      <c r="F78" s="11">
        <v>26.889999999999997</v>
      </c>
    </row>
    <row r="79" spans="2:6" x14ac:dyDescent="0.35">
      <c r="B79" s="10" t="s">
        <v>1888</v>
      </c>
      <c r="C79" s="1">
        <v>3</v>
      </c>
      <c r="D79" s="13">
        <v>3.0487804878048782E-3</v>
      </c>
      <c r="E79" s="1">
        <v>3</v>
      </c>
      <c r="F79" s="11">
        <v>45.33</v>
      </c>
    </row>
    <row r="80" spans="2:6" x14ac:dyDescent="0.35">
      <c r="B80" s="10" t="s">
        <v>3434</v>
      </c>
      <c r="C80" s="1">
        <v>3</v>
      </c>
      <c r="D80" s="13">
        <v>3.0487804878048782E-3</v>
      </c>
      <c r="E80" s="1">
        <v>3</v>
      </c>
      <c r="F80" s="11">
        <v>39.64</v>
      </c>
    </row>
    <row r="81" spans="2:6" x14ac:dyDescent="0.35">
      <c r="B81" s="10" t="s">
        <v>3401</v>
      </c>
      <c r="C81" s="1">
        <v>3</v>
      </c>
      <c r="D81" s="13">
        <v>3.0487804878048782E-3</v>
      </c>
      <c r="E81" s="1">
        <v>3</v>
      </c>
      <c r="F81" s="11">
        <v>63.91</v>
      </c>
    </row>
    <row r="82" spans="2:6" x14ac:dyDescent="0.35">
      <c r="B82" s="10" t="s">
        <v>886</v>
      </c>
      <c r="C82" s="1">
        <v>3</v>
      </c>
      <c r="D82" s="13">
        <v>3.0487804878048782E-3</v>
      </c>
      <c r="E82" s="1">
        <v>3</v>
      </c>
      <c r="F82" s="11">
        <v>26.77</v>
      </c>
    </row>
    <row r="83" spans="2:6" x14ac:dyDescent="0.35">
      <c r="B83" s="10" t="s">
        <v>1359</v>
      </c>
      <c r="C83" s="1">
        <v>3</v>
      </c>
      <c r="D83" s="13">
        <v>3.0487804878048782E-3</v>
      </c>
      <c r="E83" s="1">
        <v>3</v>
      </c>
      <c r="F83" s="11">
        <v>40.520000000000003</v>
      </c>
    </row>
    <row r="84" spans="2:6" x14ac:dyDescent="0.35">
      <c r="B84" s="10" t="s">
        <v>1615</v>
      </c>
      <c r="C84" s="1">
        <v>3</v>
      </c>
      <c r="D84" s="13">
        <v>3.0487804878048782E-3</v>
      </c>
      <c r="E84" s="1">
        <v>3</v>
      </c>
      <c r="F84" s="11">
        <v>88.169999999999987</v>
      </c>
    </row>
    <row r="85" spans="2:6" x14ac:dyDescent="0.35">
      <c r="B85" s="10" t="s">
        <v>252</v>
      </c>
      <c r="C85" s="1">
        <v>3</v>
      </c>
      <c r="D85" s="13">
        <v>3.0487804878048782E-3</v>
      </c>
      <c r="E85" s="1">
        <v>3</v>
      </c>
      <c r="F85" s="11">
        <v>27.770000000000003</v>
      </c>
    </row>
    <row r="86" spans="2:6" x14ac:dyDescent="0.35">
      <c r="B86" s="10" t="s">
        <v>300</v>
      </c>
      <c r="C86" s="1">
        <v>3</v>
      </c>
      <c r="D86" s="13">
        <v>3.0487804878048782E-3</v>
      </c>
      <c r="E86" s="1">
        <v>3</v>
      </c>
      <c r="F86" s="11">
        <v>48.83</v>
      </c>
    </row>
    <row r="87" spans="2:6" x14ac:dyDescent="0.35">
      <c r="B87" s="10" t="s">
        <v>963</v>
      </c>
      <c r="C87" s="1">
        <v>3</v>
      </c>
      <c r="D87" s="13">
        <v>3.0487804878048782E-3</v>
      </c>
      <c r="E87" s="1">
        <v>3</v>
      </c>
      <c r="F87" s="11">
        <v>35.510000000000005</v>
      </c>
    </row>
    <row r="88" spans="2:6" x14ac:dyDescent="0.35">
      <c r="B88" s="10" t="s">
        <v>3420</v>
      </c>
      <c r="C88" s="1">
        <v>3</v>
      </c>
      <c r="D88" s="13">
        <v>3.0487804878048782E-3</v>
      </c>
      <c r="E88" s="1">
        <v>3</v>
      </c>
      <c r="F88" s="11">
        <v>29.79</v>
      </c>
    </row>
    <row r="89" spans="2:6" x14ac:dyDescent="0.35">
      <c r="B89" s="10" t="s">
        <v>797</v>
      </c>
      <c r="C89" s="1">
        <v>3</v>
      </c>
      <c r="D89" s="13">
        <v>3.0487804878048782E-3</v>
      </c>
      <c r="E89" s="1">
        <v>3</v>
      </c>
      <c r="F89" s="11">
        <v>82.8</v>
      </c>
    </row>
    <row r="90" spans="2:6" x14ac:dyDescent="0.35">
      <c r="B90" s="10" t="s">
        <v>1481</v>
      </c>
      <c r="C90" s="1">
        <v>3</v>
      </c>
      <c r="D90" s="13">
        <v>3.0487804878048782E-3</v>
      </c>
      <c r="E90" s="1">
        <v>3</v>
      </c>
      <c r="F90" s="11">
        <v>21.57</v>
      </c>
    </row>
    <row r="91" spans="2:6" x14ac:dyDescent="0.35">
      <c r="B91" s="10" t="s">
        <v>682</v>
      </c>
      <c r="C91" s="1">
        <v>3</v>
      </c>
      <c r="D91" s="13">
        <v>3.0487804878048782E-3</v>
      </c>
      <c r="E91" s="1">
        <v>3</v>
      </c>
      <c r="F91" s="11">
        <v>37.050000000000004</v>
      </c>
    </row>
    <row r="92" spans="2:6" x14ac:dyDescent="0.35">
      <c r="B92" s="10" t="s">
        <v>1822</v>
      </c>
      <c r="C92" s="1">
        <v>3</v>
      </c>
      <c r="D92" s="13">
        <v>3.0487804878048782E-3</v>
      </c>
      <c r="E92" s="1">
        <v>3</v>
      </c>
      <c r="F92" s="11">
        <v>41.45</v>
      </c>
    </row>
    <row r="93" spans="2:6" x14ac:dyDescent="0.35">
      <c r="B93" s="10" t="s">
        <v>265</v>
      </c>
      <c r="C93" s="1">
        <v>3</v>
      </c>
      <c r="D93" s="13">
        <v>3.0487804878048782E-3</v>
      </c>
      <c r="E93" s="1">
        <v>3</v>
      </c>
      <c r="F93" s="11">
        <v>33.43</v>
      </c>
    </row>
    <row r="94" spans="2:6" x14ac:dyDescent="0.35">
      <c r="B94" s="10" t="s">
        <v>786</v>
      </c>
      <c r="C94" s="1">
        <v>3</v>
      </c>
      <c r="D94" s="13">
        <v>3.0487804878048782E-3</v>
      </c>
      <c r="E94" s="1">
        <v>3</v>
      </c>
      <c r="F94" s="11">
        <v>32.29</v>
      </c>
    </row>
    <row r="95" spans="2:6" x14ac:dyDescent="0.35">
      <c r="B95" s="10" t="s">
        <v>57</v>
      </c>
      <c r="C95" s="1">
        <v>3</v>
      </c>
      <c r="D95" s="13">
        <v>3.0487804878048782E-3</v>
      </c>
      <c r="E95" s="1">
        <v>3</v>
      </c>
      <c r="F95" s="11">
        <v>27.81</v>
      </c>
    </row>
    <row r="96" spans="2:6" x14ac:dyDescent="0.35">
      <c r="B96" s="10" t="s">
        <v>114</v>
      </c>
      <c r="C96" s="1">
        <v>3</v>
      </c>
      <c r="D96" s="13">
        <v>3.0487804878048782E-3</v>
      </c>
      <c r="E96" s="1">
        <v>3</v>
      </c>
      <c r="F96" s="11">
        <v>47.230000000000004</v>
      </c>
    </row>
    <row r="97" spans="2:6" x14ac:dyDescent="0.35">
      <c r="B97" s="10" t="s">
        <v>3412</v>
      </c>
      <c r="C97" s="1">
        <v>3</v>
      </c>
      <c r="D97" s="13">
        <v>3.0487804878048782E-3</v>
      </c>
      <c r="E97" s="1">
        <v>3</v>
      </c>
      <c r="F97" s="11">
        <v>43.379999999999995</v>
      </c>
    </row>
    <row r="98" spans="2:6" x14ac:dyDescent="0.35">
      <c r="B98" s="10" t="s">
        <v>2179</v>
      </c>
      <c r="C98" s="1">
        <v>3</v>
      </c>
      <c r="D98" s="13">
        <v>3.0487804878048782E-3</v>
      </c>
      <c r="E98" s="1">
        <v>3</v>
      </c>
      <c r="F98" s="11">
        <v>52.6</v>
      </c>
    </row>
    <row r="99" spans="2:6" x14ac:dyDescent="0.35">
      <c r="B99" s="10" t="s">
        <v>690</v>
      </c>
      <c r="C99" s="1">
        <v>3</v>
      </c>
      <c r="D99" s="13">
        <v>3.0487804878048782E-3</v>
      </c>
      <c r="E99" s="1">
        <v>3</v>
      </c>
      <c r="F99" s="11">
        <v>85.24</v>
      </c>
    </row>
    <row r="100" spans="2:6" x14ac:dyDescent="0.35">
      <c r="B100" s="10" t="s">
        <v>1549</v>
      </c>
      <c r="C100" s="1">
        <v>3</v>
      </c>
      <c r="D100" s="13">
        <v>3.0487804878048782E-3</v>
      </c>
      <c r="E100" s="1">
        <v>3</v>
      </c>
      <c r="F100" s="11">
        <v>50.03</v>
      </c>
    </row>
    <row r="101" spans="2:6" x14ac:dyDescent="0.35">
      <c r="B101" s="10" t="s">
        <v>2374</v>
      </c>
      <c r="C101" s="1">
        <v>3</v>
      </c>
      <c r="D101" s="13">
        <v>3.0487804878048782E-3</v>
      </c>
      <c r="E101" s="1">
        <v>3</v>
      </c>
      <c r="F101" s="11">
        <v>74.38</v>
      </c>
    </row>
    <row r="102" spans="2:6" x14ac:dyDescent="0.35">
      <c r="B102" s="10" t="s">
        <v>1154</v>
      </c>
      <c r="C102" s="1">
        <v>3</v>
      </c>
      <c r="D102" s="13">
        <v>3.0487804878048782E-3</v>
      </c>
      <c r="E102" s="1">
        <v>3</v>
      </c>
      <c r="F102" s="11">
        <v>63.559999999999995</v>
      </c>
    </row>
    <row r="103" spans="2:6" x14ac:dyDescent="0.35">
      <c r="B103" s="10" t="s">
        <v>746</v>
      </c>
      <c r="C103" s="1">
        <v>3</v>
      </c>
      <c r="D103" s="13">
        <v>3.0487804878048782E-3</v>
      </c>
      <c r="E103" s="1">
        <v>3</v>
      </c>
      <c r="F103" s="11">
        <v>52.17</v>
      </c>
    </row>
    <row r="104" spans="2:6" x14ac:dyDescent="0.35">
      <c r="B104" s="10" t="s">
        <v>1784</v>
      </c>
      <c r="C104" s="1">
        <v>3</v>
      </c>
      <c r="D104" s="13">
        <v>3.0487804878048782E-3</v>
      </c>
      <c r="E104" s="1">
        <v>3</v>
      </c>
      <c r="F104" s="11">
        <v>42.89</v>
      </c>
    </row>
    <row r="105" spans="2:6" x14ac:dyDescent="0.35">
      <c r="B105" s="10" t="s">
        <v>213</v>
      </c>
      <c r="C105" s="1">
        <v>3</v>
      </c>
      <c r="D105" s="13">
        <v>3.0487804878048782E-3</v>
      </c>
      <c r="E105" s="1">
        <v>3</v>
      </c>
      <c r="F105" s="11">
        <v>37.49</v>
      </c>
    </row>
    <row r="106" spans="2:6" x14ac:dyDescent="0.35">
      <c r="B106" s="10" t="s">
        <v>985</v>
      </c>
      <c r="C106" s="1">
        <v>3</v>
      </c>
      <c r="D106" s="13">
        <v>3.0487804878048782E-3</v>
      </c>
      <c r="E106" s="1">
        <v>3</v>
      </c>
      <c r="F106" s="11">
        <v>88.02000000000001</v>
      </c>
    </row>
    <row r="107" spans="2:6" x14ac:dyDescent="0.35">
      <c r="B107" s="10" t="s">
        <v>48</v>
      </c>
      <c r="C107" s="1">
        <v>3</v>
      </c>
      <c r="D107" s="13">
        <v>3.0487804878048782E-3</v>
      </c>
      <c r="E107" s="1">
        <v>3</v>
      </c>
      <c r="F107" s="11">
        <v>62.86</v>
      </c>
    </row>
    <row r="108" spans="2:6" x14ac:dyDescent="0.35">
      <c r="B108" s="10" t="s">
        <v>1594</v>
      </c>
      <c r="C108" s="1">
        <v>3</v>
      </c>
      <c r="D108" s="13">
        <v>3.0487804878048782E-3</v>
      </c>
      <c r="E108" s="1">
        <v>3</v>
      </c>
      <c r="F108" s="11">
        <v>66.67</v>
      </c>
    </row>
    <row r="109" spans="2:6" x14ac:dyDescent="0.35">
      <c r="B109" s="10" t="s">
        <v>1581</v>
      </c>
      <c r="C109" s="1">
        <v>3</v>
      </c>
      <c r="D109" s="13">
        <v>3.0487804878048782E-3</v>
      </c>
      <c r="E109" s="1">
        <v>3</v>
      </c>
      <c r="F109" s="11">
        <v>32.33</v>
      </c>
    </row>
    <row r="110" spans="2:6" x14ac:dyDescent="0.35">
      <c r="B110" s="10" t="s">
        <v>901</v>
      </c>
      <c r="C110" s="1">
        <v>3</v>
      </c>
      <c r="D110" s="13">
        <v>3.0487804878048782E-3</v>
      </c>
      <c r="E110" s="1">
        <v>3</v>
      </c>
      <c r="F110" s="11">
        <v>54.55</v>
      </c>
    </row>
    <row r="111" spans="2:6" x14ac:dyDescent="0.35">
      <c r="B111" s="10" t="s">
        <v>461</v>
      </c>
      <c r="C111" s="1">
        <v>3</v>
      </c>
      <c r="D111" s="13">
        <v>3.0487804878048782E-3</v>
      </c>
      <c r="E111" s="1">
        <v>3</v>
      </c>
      <c r="F111" s="11">
        <v>69.289999999999992</v>
      </c>
    </row>
    <row r="112" spans="2:6" x14ac:dyDescent="0.35">
      <c r="B112" s="10" t="s">
        <v>489</v>
      </c>
      <c r="C112" s="1">
        <v>3</v>
      </c>
      <c r="D112" s="13">
        <v>3.0487804878048782E-3</v>
      </c>
      <c r="E112" s="1">
        <v>3</v>
      </c>
      <c r="F112" s="11">
        <v>103.55000000000001</v>
      </c>
    </row>
    <row r="113" spans="2:6" x14ac:dyDescent="0.35">
      <c r="B113" s="10" t="s">
        <v>383</v>
      </c>
      <c r="C113" s="1">
        <v>3</v>
      </c>
      <c r="D113" s="13">
        <v>3.0487804878048782E-3</v>
      </c>
      <c r="E113" s="1">
        <v>3</v>
      </c>
      <c r="F113" s="11">
        <v>46.57</v>
      </c>
    </row>
    <row r="114" spans="2:6" x14ac:dyDescent="0.35">
      <c r="B114" s="10" t="s">
        <v>741</v>
      </c>
      <c r="C114" s="1">
        <v>3</v>
      </c>
      <c r="D114" s="13">
        <v>3.0487804878048782E-3</v>
      </c>
      <c r="E114" s="1">
        <v>3</v>
      </c>
      <c r="F114" s="11">
        <v>82.35</v>
      </c>
    </row>
    <row r="115" spans="2:6" x14ac:dyDescent="0.35">
      <c r="B115" s="10" t="s">
        <v>790</v>
      </c>
      <c r="C115" s="1">
        <v>2</v>
      </c>
      <c r="D115" s="13">
        <v>2.0325203252032522E-3</v>
      </c>
      <c r="E115" s="1">
        <v>2</v>
      </c>
      <c r="F115" s="11">
        <v>20.6</v>
      </c>
    </row>
    <row r="116" spans="2:6" x14ac:dyDescent="0.35">
      <c r="B116" s="10" t="s">
        <v>3430</v>
      </c>
      <c r="C116" s="1">
        <v>2</v>
      </c>
      <c r="D116" s="13">
        <v>2.0325203252032522E-3</v>
      </c>
      <c r="E116" s="1">
        <v>2</v>
      </c>
      <c r="F116" s="11">
        <v>35.99</v>
      </c>
    </row>
    <row r="117" spans="2:6" x14ac:dyDescent="0.35">
      <c r="B117" s="10" t="s">
        <v>1542</v>
      </c>
      <c r="C117" s="1">
        <v>2</v>
      </c>
      <c r="D117" s="13">
        <v>2.0325203252032522E-3</v>
      </c>
      <c r="E117" s="1">
        <v>2</v>
      </c>
      <c r="F117" s="11">
        <v>21.939999999999998</v>
      </c>
    </row>
    <row r="118" spans="2:6" x14ac:dyDescent="0.35">
      <c r="B118" s="10" t="s">
        <v>1468</v>
      </c>
      <c r="C118" s="1">
        <v>2</v>
      </c>
      <c r="D118" s="13">
        <v>2.0325203252032522E-3</v>
      </c>
      <c r="E118" s="1">
        <v>2</v>
      </c>
      <c r="F118" s="11">
        <v>14.45</v>
      </c>
    </row>
    <row r="119" spans="2:6" x14ac:dyDescent="0.35">
      <c r="B119" s="10" t="s">
        <v>1073</v>
      </c>
      <c r="C119" s="1">
        <v>2</v>
      </c>
      <c r="D119" s="13">
        <v>2.0325203252032522E-3</v>
      </c>
      <c r="E119" s="1">
        <v>2</v>
      </c>
      <c r="F119" s="11">
        <v>15.780000000000001</v>
      </c>
    </row>
    <row r="120" spans="2:6" x14ac:dyDescent="0.35">
      <c r="B120" s="10" t="s">
        <v>3405</v>
      </c>
      <c r="C120" s="1">
        <v>2</v>
      </c>
      <c r="D120" s="13">
        <v>2.0325203252032522E-3</v>
      </c>
      <c r="E120" s="1">
        <v>2</v>
      </c>
      <c r="F120" s="11">
        <v>32.36</v>
      </c>
    </row>
    <row r="121" spans="2:6" x14ac:dyDescent="0.35">
      <c r="B121" s="10" t="s">
        <v>1028</v>
      </c>
      <c r="C121" s="1">
        <v>2</v>
      </c>
      <c r="D121" s="13">
        <v>2.0325203252032522E-3</v>
      </c>
      <c r="E121" s="1">
        <v>2</v>
      </c>
      <c r="F121" s="11">
        <v>18.09</v>
      </c>
    </row>
    <row r="122" spans="2:6" x14ac:dyDescent="0.35">
      <c r="B122" s="10" t="s">
        <v>698</v>
      </c>
      <c r="C122" s="1">
        <v>2</v>
      </c>
      <c r="D122" s="13">
        <v>2.0325203252032522E-3</v>
      </c>
      <c r="E122" s="1">
        <v>2</v>
      </c>
      <c r="F122" s="11">
        <v>24.86</v>
      </c>
    </row>
    <row r="123" spans="2:6" x14ac:dyDescent="0.35">
      <c r="B123" s="10" t="s">
        <v>1281</v>
      </c>
      <c r="C123" s="1">
        <v>2</v>
      </c>
      <c r="D123" s="13">
        <v>2.0325203252032522E-3</v>
      </c>
      <c r="E123" s="1">
        <v>2</v>
      </c>
      <c r="F123" s="11">
        <v>31.450000000000003</v>
      </c>
    </row>
    <row r="124" spans="2:6" x14ac:dyDescent="0.35">
      <c r="B124" s="10" t="s">
        <v>1628</v>
      </c>
      <c r="C124" s="1">
        <v>2</v>
      </c>
      <c r="D124" s="13">
        <v>2.0325203252032522E-3</v>
      </c>
      <c r="E124" s="1">
        <v>2</v>
      </c>
      <c r="F124" s="11">
        <v>38.299999999999997</v>
      </c>
    </row>
    <row r="125" spans="2:6" x14ac:dyDescent="0.35">
      <c r="B125" s="10" t="s">
        <v>546</v>
      </c>
      <c r="C125" s="1">
        <v>2</v>
      </c>
      <c r="D125" s="13">
        <v>2.0325203252032522E-3</v>
      </c>
      <c r="E125" s="1">
        <v>2</v>
      </c>
      <c r="F125" s="11">
        <v>48.89</v>
      </c>
    </row>
    <row r="126" spans="2:6" x14ac:dyDescent="0.35">
      <c r="B126" s="10" t="s">
        <v>1086</v>
      </c>
      <c r="C126" s="1">
        <v>2</v>
      </c>
      <c r="D126" s="13">
        <v>2.0325203252032522E-3</v>
      </c>
      <c r="E126" s="1">
        <v>2</v>
      </c>
      <c r="F126" s="11">
        <v>26.520000000000003</v>
      </c>
    </row>
    <row r="127" spans="2:6" x14ac:dyDescent="0.35">
      <c r="B127" s="10" t="s">
        <v>157</v>
      </c>
      <c r="C127" s="1">
        <v>2</v>
      </c>
      <c r="D127" s="13">
        <v>2.0325203252032522E-3</v>
      </c>
      <c r="E127" s="1">
        <v>2</v>
      </c>
      <c r="F127" s="11">
        <v>26.22</v>
      </c>
    </row>
    <row r="128" spans="2:6" x14ac:dyDescent="0.35">
      <c r="B128" s="10" t="s">
        <v>3419</v>
      </c>
      <c r="C128" s="1">
        <v>2</v>
      </c>
      <c r="D128" s="13">
        <v>2.0325203252032522E-3</v>
      </c>
      <c r="E128" s="1">
        <v>2</v>
      </c>
      <c r="F128" s="11">
        <v>40.44</v>
      </c>
    </row>
    <row r="129" spans="2:6" x14ac:dyDescent="0.35">
      <c r="B129" s="10" t="s">
        <v>1237</v>
      </c>
      <c r="C129" s="1">
        <v>2</v>
      </c>
      <c r="D129" s="13">
        <v>2.0325203252032522E-3</v>
      </c>
      <c r="E129" s="1">
        <v>2</v>
      </c>
      <c r="F129" s="11">
        <v>33.4</v>
      </c>
    </row>
    <row r="130" spans="2:6" x14ac:dyDescent="0.35">
      <c r="B130" s="10" t="s">
        <v>3404</v>
      </c>
      <c r="C130" s="1">
        <v>2</v>
      </c>
      <c r="D130" s="13">
        <v>2.0325203252032522E-3</v>
      </c>
      <c r="E130" s="1">
        <v>2</v>
      </c>
      <c r="F130" s="11">
        <v>18.100000000000001</v>
      </c>
    </row>
    <row r="131" spans="2:6" x14ac:dyDescent="0.35">
      <c r="B131" s="10" t="s">
        <v>1180</v>
      </c>
      <c r="C131" s="1">
        <v>2</v>
      </c>
      <c r="D131" s="13">
        <v>2.0325203252032522E-3</v>
      </c>
      <c r="E131" s="1">
        <v>2</v>
      </c>
      <c r="F131" s="11">
        <v>22.54</v>
      </c>
    </row>
    <row r="132" spans="2:6" x14ac:dyDescent="0.35">
      <c r="B132" s="10" t="s">
        <v>3409</v>
      </c>
      <c r="C132" s="1">
        <v>2</v>
      </c>
      <c r="D132" s="13">
        <v>2.0325203252032522E-3</v>
      </c>
      <c r="E132" s="1">
        <v>2</v>
      </c>
      <c r="F132" s="11">
        <v>22.36</v>
      </c>
    </row>
    <row r="133" spans="2:6" x14ac:dyDescent="0.35">
      <c r="B133" s="10" t="s">
        <v>1135</v>
      </c>
      <c r="C133" s="1">
        <v>2</v>
      </c>
      <c r="D133" s="13">
        <v>2.0325203252032522E-3</v>
      </c>
      <c r="E133" s="1">
        <v>2</v>
      </c>
      <c r="F133" s="11">
        <v>36.15</v>
      </c>
    </row>
    <row r="134" spans="2:6" x14ac:dyDescent="0.35">
      <c r="B134" s="10" t="s">
        <v>978</v>
      </c>
      <c r="C134" s="1">
        <v>2</v>
      </c>
      <c r="D134" s="13">
        <v>2.0325203252032522E-3</v>
      </c>
      <c r="E134" s="1">
        <v>2</v>
      </c>
      <c r="F134" s="11">
        <v>19.03</v>
      </c>
    </row>
    <row r="135" spans="2:6" x14ac:dyDescent="0.35">
      <c r="B135" s="10" t="s">
        <v>733</v>
      </c>
      <c r="C135" s="1">
        <v>2</v>
      </c>
      <c r="D135" s="13">
        <v>2.0325203252032522E-3</v>
      </c>
      <c r="E135" s="1">
        <v>2</v>
      </c>
      <c r="F135" s="11">
        <v>52.19</v>
      </c>
    </row>
    <row r="136" spans="2:6" x14ac:dyDescent="0.35">
      <c r="B136" s="10" t="s">
        <v>3426</v>
      </c>
      <c r="C136" s="1">
        <v>1</v>
      </c>
      <c r="D136" s="13">
        <v>1.0162601626016261E-3</v>
      </c>
      <c r="E136" s="1">
        <v>1</v>
      </c>
      <c r="F136" s="11">
        <v>8.99</v>
      </c>
    </row>
    <row r="137" spans="2:6" x14ac:dyDescent="0.35">
      <c r="B137" s="10" t="s">
        <v>2210</v>
      </c>
      <c r="C137" s="1">
        <v>1</v>
      </c>
      <c r="D137" s="13">
        <v>1.0162601626016261E-3</v>
      </c>
      <c r="E137" s="1">
        <v>1</v>
      </c>
      <c r="F137" s="11">
        <v>8.99</v>
      </c>
    </row>
    <row r="138" spans="2:6" x14ac:dyDescent="0.35">
      <c r="B138" s="10" t="s">
        <v>1372</v>
      </c>
      <c r="C138" s="1">
        <v>1</v>
      </c>
      <c r="D138" s="13">
        <v>1.0162601626016261E-3</v>
      </c>
      <c r="E138" s="1">
        <v>1</v>
      </c>
      <c r="F138" s="11">
        <v>5.89</v>
      </c>
    </row>
    <row r="139" spans="2:6" x14ac:dyDescent="0.35">
      <c r="B139" s="10" t="s">
        <v>510</v>
      </c>
      <c r="C139" s="1">
        <v>1</v>
      </c>
      <c r="D139" s="13">
        <v>1.0162601626016261E-3</v>
      </c>
      <c r="E139" s="1">
        <v>1</v>
      </c>
      <c r="F139" s="11">
        <v>14.01</v>
      </c>
    </row>
    <row r="140" spans="2:6" x14ac:dyDescent="0.35">
      <c r="B140" s="10" t="s">
        <v>1392</v>
      </c>
      <c r="C140" s="1">
        <v>1</v>
      </c>
      <c r="D140" s="13">
        <v>1.0162601626016261E-3</v>
      </c>
      <c r="E140" s="1">
        <v>1</v>
      </c>
      <c r="F140" s="11">
        <v>21.61</v>
      </c>
    </row>
    <row r="141" spans="2:6" x14ac:dyDescent="0.35">
      <c r="B141" s="10" t="s">
        <v>3440</v>
      </c>
      <c r="C141" s="1">
        <v>984</v>
      </c>
      <c r="D141" s="13">
        <v>1</v>
      </c>
      <c r="E141" s="1">
        <v>984</v>
      </c>
      <c r="F141" s="11">
        <v>16235.599999999979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FE53-591D-4F7C-B0E9-4B6D3A921746}">
  <dimension ref="A1:AC986"/>
  <sheetViews>
    <sheetView tabSelected="1" topLeftCell="A953" workbookViewId="0">
      <selection activeCell="Z1" sqref="Z1"/>
    </sheetView>
  </sheetViews>
  <sheetFormatPr defaultRowHeight="14.5" x14ac:dyDescent="0.35"/>
  <cols>
    <col min="1" max="1" width="8.54296875" bestFit="1" customWidth="1"/>
    <col min="2" max="2" width="79.08984375" hidden="1" customWidth="1"/>
    <col min="3" max="3" width="23.26953125" bestFit="1" customWidth="1"/>
    <col min="4" max="4" width="31.54296875" bestFit="1" customWidth="1"/>
    <col min="5" max="5" width="19.54296875" bestFit="1" customWidth="1"/>
    <col min="6" max="6" width="13.36328125" bestFit="1" customWidth="1"/>
    <col min="7" max="7" width="17.36328125" bestFit="1" customWidth="1"/>
    <col min="8" max="8" width="12.36328125" bestFit="1" customWidth="1"/>
    <col min="9" max="9" width="12" bestFit="1" customWidth="1"/>
    <col min="10" max="10" width="12.54296875" bestFit="1" customWidth="1"/>
    <col min="11" max="11" width="14.36328125" bestFit="1" customWidth="1"/>
    <col min="12" max="12" width="12.1796875" bestFit="1" customWidth="1"/>
    <col min="13" max="13" width="10.54296875" bestFit="1" customWidth="1"/>
    <col min="14" max="14" width="16.90625" bestFit="1" customWidth="1"/>
    <col min="15" max="15" width="8.36328125" bestFit="1" customWidth="1"/>
    <col min="16" max="16" width="15.7265625" bestFit="1" customWidth="1"/>
    <col min="17" max="17" width="12.08984375" bestFit="1" customWidth="1"/>
    <col min="18" max="18" width="13" bestFit="1" customWidth="1"/>
    <col min="19" max="19" width="10.1796875" bestFit="1" customWidth="1"/>
    <col min="20" max="20" width="11.7265625" bestFit="1" customWidth="1"/>
    <col min="21" max="21" width="37.1796875" hidden="1" customWidth="1"/>
    <col min="22" max="22" width="11.453125" style="5" bestFit="1" customWidth="1"/>
    <col min="23" max="23" width="16.1796875" bestFit="1" customWidth="1"/>
    <col min="25" max="25" width="18.7265625" bestFit="1" customWidth="1"/>
    <col min="26" max="26" width="11.26953125" customWidth="1"/>
    <col min="27" max="27" width="10.26953125" bestFit="1" customWidth="1"/>
    <col min="29" max="29" width="16.54296875" bestFit="1" customWidth="1"/>
  </cols>
  <sheetData>
    <row r="1" spans="1:29" x14ac:dyDescent="0.35">
      <c r="A1" t="s">
        <v>3368</v>
      </c>
      <c r="B1" t="s">
        <v>3369</v>
      </c>
      <c r="C1" t="s">
        <v>3370</v>
      </c>
      <c r="D1" t="s">
        <v>3371</v>
      </c>
      <c r="E1" t="s">
        <v>3372</v>
      </c>
      <c r="F1" t="s">
        <v>3373</v>
      </c>
      <c r="G1" t="s">
        <v>3374</v>
      </c>
      <c r="H1" t="s">
        <v>3375</v>
      </c>
      <c r="I1" t="s">
        <v>3376</v>
      </c>
      <c r="J1" t="s">
        <v>3377</v>
      </c>
      <c r="K1" t="s">
        <v>3378</v>
      </c>
      <c r="L1" t="s">
        <v>3379</v>
      </c>
      <c r="M1" t="s">
        <v>3380</v>
      </c>
      <c r="N1" t="s">
        <v>3381</v>
      </c>
      <c r="O1" t="s">
        <v>3382</v>
      </c>
      <c r="P1" t="s">
        <v>3383</v>
      </c>
      <c r="Q1" t="s">
        <v>3384</v>
      </c>
      <c r="R1" t="s">
        <v>3385</v>
      </c>
      <c r="S1" t="s">
        <v>3386</v>
      </c>
      <c r="T1" t="s">
        <v>3387</v>
      </c>
      <c r="U1" t="s">
        <v>3388</v>
      </c>
      <c r="V1" t="s">
        <v>3435</v>
      </c>
      <c r="W1" t="s">
        <v>3436</v>
      </c>
      <c r="X1" t="s">
        <v>3441</v>
      </c>
      <c r="Y1" t="s">
        <v>3460</v>
      </c>
      <c r="Z1" t="s">
        <v>3461</v>
      </c>
    </row>
    <row r="2" spans="1:29" ht="15" x14ac:dyDescent="0.4">
      <c r="A2" s="2" t="s">
        <v>244</v>
      </c>
      <c r="B2" s="2" t="s">
        <v>245</v>
      </c>
      <c r="C2" s="2" t="s">
        <v>246</v>
      </c>
      <c r="D2" s="2" t="s">
        <v>247</v>
      </c>
      <c r="E2" s="2" t="s">
        <v>4</v>
      </c>
      <c r="F2" s="2" t="s">
        <v>17</v>
      </c>
      <c r="G2" s="2" t="s">
        <v>67</v>
      </c>
      <c r="H2" s="2" t="s">
        <v>68</v>
      </c>
      <c r="I2" s="2" t="s">
        <v>3393</v>
      </c>
      <c r="J2" s="3">
        <v>6.99</v>
      </c>
      <c r="K2" s="3">
        <v>6.99</v>
      </c>
      <c r="L2" s="2" t="s">
        <v>248</v>
      </c>
      <c r="M2" s="2" t="s">
        <v>9</v>
      </c>
      <c r="N2" s="3">
        <v>355</v>
      </c>
      <c r="O2" s="2" t="s">
        <v>91</v>
      </c>
      <c r="P2" s="2" t="s">
        <v>92</v>
      </c>
      <c r="Q2" s="3"/>
      <c r="R2" s="3"/>
      <c r="S2" s="2" t="s">
        <v>12</v>
      </c>
      <c r="T2" s="4">
        <v>44955</v>
      </c>
      <c r="U2" s="2" t="s">
        <v>249</v>
      </c>
      <c r="V2" s="6">
        <f>(Real_Sales[[#This Row],[Price_retail]]-Real_Sales[[#This Row],[Price_current]])/Real_Sales[[#This Row],[Price_retail]]</f>
        <v>0</v>
      </c>
      <c r="W2" s="3" t="str" cm="1">
        <f t="array" ref="W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" s="2" t="str">
        <f>IF(Real_Sales[[#This Row],[Price_retail]]&gt;$AC$3,"Premium","Average")</f>
        <v>Average</v>
      </c>
      <c r="Y2" s="2" t="str">
        <f>IF(ISNUMBER(SEARCH("Basic",Real_Sales[[#This Row],[Product_name]])),"Yes","No")</f>
        <v>No</v>
      </c>
      <c r="Z2" s="2" cm="1">
        <f t="array" ref="Z2">_xlfn.IFS(Real_Sales[[#This Row],[Price_retail]]&lt;=15,1, Real_Sales[[#This Row],[Price_retail]]&lt;=30,2, Real_Sales[[#This Row],[Price_retail]]&lt;=50,3,Real_Sales[[#This Row],[Price_retail]]&gt;50,4)</f>
        <v>1</v>
      </c>
      <c r="AC2" s="14" t="s">
        <v>3449</v>
      </c>
    </row>
    <row r="3" spans="1:29" x14ac:dyDescent="0.35">
      <c r="A3" s="2" t="s">
        <v>1400</v>
      </c>
      <c r="B3" s="2" t="s">
        <v>1401</v>
      </c>
      <c r="C3" s="2" t="s">
        <v>1402</v>
      </c>
      <c r="D3" s="2" t="s">
        <v>363</v>
      </c>
      <c r="E3" s="2" t="s">
        <v>4</v>
      </c>
      <c r="F3" s="2" t="s">
        <v>17</v>
      </c>
      <c r="G3" s="2" t="s">
        <v>27</v>
      </c>
      <c r="H3" s="2" t="s">
        <v>59</v>
      </c>
      <c r="I3" s="2" t="s">
        <v>3390</v>
      </c>
      <c r="J3" s="3">
        <v>8.99</v>
      </c>
      <c r="K3" s="3">
        <v>3.99</v>
      </c>
      <c r="L3" s="2" t="s">
        <v>8</v>
      </c>
      <c r="M3" s="2" t="s">
        <v>9</v>
      </c>
      <c r="N3" s="3">
        <v>892</v>
      </c>
      <c r="O3" s="2" t="s">
        <v>69</v>
      </c>
      <c r="P3" s="2" t="s">
        <v>169</v>
      </c>
      <c r="Q3" s="3"/>
      <c r="R3" s="3"/>
      <c r="S3" s="2" t="s">
        <v>21</v>
      </c>
      <c r="T3" s="4">
        <v>44955</v>
      </c>
      <c r="U3" s="2" t="s">
        <v>1403</v>
      </c>
      <c r="V3" s="6">
        <f>(Real_Sales[[#This Row],[Price_retail]]-Real_Sales[[#This Row],[Price_current]])/Real_Sales[[#This Row],[Price_retail]]</f>
        <v>0.55617352614015569</v>
      </c>
      <c r="W3" s="3" t="str" cm="1">
        <f t="array" ref="W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3" s="2" t="str">
        <f>IF(Real_Sales[[#This Row],[Price_retail]]&gt;$AC$3,"Premium","Average")</f>
        <v>Average</v>
      </c>
      <c r="Y3" s="2" t="str">
        <f>IF(ISNUMBER(SEARCH("Basic",Real_Sales[[#This Row],[Product_name]])),"Yes","No")</f>
        <v>No</v>
      </c>
      <c r="Z3" s="2" cm="1">
        <f t="array" ref="Z3">_xlfn.IFS(Real_Sales[[#This Row],[Price_retail]]&lt;=15,1, Real_Sales[[#This Row],[Price_retail]]&lt;=30,2, Real_Sales[[#This Row],[Price_retail]]&lt;=50,3,Real_Sales[[#This Row],[Price_retail]]&gt;50,4)</f>
        <v>1</v>
      </c>
      <c r="AC3" s="15">
        <f>AVERAGEA(Real_Sales[Price_retail])</f>
        <v>19.112347560975596</v>
      </c>
    </row>
    <row r="4" spans="1:29" x14ac:dyDescent="0.35">
      <c r="A4" s="2" t="s">
        <v>1659</v>
      </c>
      <c r="B4" s="2" t="s">
        <v>1660</v>
      </c>
      <c r="C4" s="2" t="s">
        <v>242</v>
      </c>
      <c r="D4" s="2" t="s">
        <v>109</v>
      </c>
      <c r="E4" s="2" t="s">
        <v>4</v>
      </c>
      <c r="F4" s="2" t="s">
        <v>5</v>
      </c>
      <c r="G4" s="2" t="s">
        <v>82</v>
      </c>
      <c r="H4" s="2" t="s">
        <v>110</v>
      </c>
      <c r="I4" s="2" t="s">
        <v>3393</v>
      </c>
      <c r="J4" s="3">
        <v>8.99</v>
      </c>
      <c r="K4" s="3">
        <v>3.99</v>
      </c>
      <c r="L4" s="2" t="s">
        <v>8</v>
      </c>
      <c r="M4" s="2" t="s">
        <v>9</v>
      </c>
      <c r="N4" s="3">
        <v>362</v>
      </c>
      <c r="O4" s="2" t="s">
        <v>359</v>
      </c>
      <c r="P4" s="2" t="s">
        <v>238</v>
      </c>
      <c r="Q4" s="3"/>
      <c r="R4" s="3"/>
      <c r="S4" s="2" t="s">
        <v>21</v>
      </c>
      <c r="T4" s="4">
        <v>44955</v>
      </c>
      <c r="U4" s="2" t="s">
        <v>1661</v>
      </c>
      <c r="V4" s="6">
        <f>(Real_Sales[[#This Row],[Price_retail]]-Real_Sales[[#This Row],[Price_current]])/Real_Sales[[#This Row],[Price_retail]]</f>
        <v>0.55617352614015569</v>
      </c>
      <c r="W4" s="3" t="str" cm="1">
        <f t="array" ref="W4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" s="2" t="str">
        <f>IF(Real_Sales[[#This Row],[Price_retail]]&gt;$AC$3,"Premium","Average")</f>
        <v>Average</v>
      </c>
      <c r="Y4" s="2" t="str">
        <f>IF(ISNUMBER(SEARCH("Basic",Real_Sales[[#This Row],[Product_name]])),"Yes","No")</f>
        <v>Yes</v>
      </c>
      <c r="Z4" s="2" cm="1">
        <f t="array" ref="Z4">_xlfn.IFS(Real_Sales[[#This Row],[Price_retail]]&lt;=15,1, Real_Sales[[#This Row],[Price_retail]]&lt;=30,2, Real_Sales[[#This Row],[Price_retail]]&lt;=50,3,Real_Sales[[#This Row],[Price_retail]]&gt;50,4)</f>
        <v>1</v>
      </c>
    </row>
    <row r="5" spans="1:29" x14ac:dyDescent="0.35">
      <c r="A5" s="2" t="s">
        <v>2379</v>
      </c>
      <c r="B5" s="2" t="s">
        <v>2380</v>
      </c>
      <c r="C5" s="2" t="s">
        <v>1090</v>
      </c>
      <c r="D5" s="2" t="s">
        <v>1723</v>
      </c>
      <c r="E5" s="2" t="s">
        <v>4</v>
      </c>
      <c r="F5" s="2" t="s">
        <v>17</v>
      </c>
      <c r="G5" s="2" t="s">
        <v>27</v>
      </c>
      <c r="H5" s="2" t="s">
        <v>139</v>
      </c>
      <c r="I5" s="2" t="s">
        <v>3393</v>
      </c>
      <c r="J5" s="3">
        <v>8.99</v>
      </c>
      <c r="K5" s="3">
        <v>3.99</v>
      </c>
      <c r="L5" s="2" t="s">
        <v>8</v>
      </c>
      <c r="M5" s="2" t="s">
        <v>9</v>
      </c>
      <c r="N5" s="3">
        <v>197</v>
      </c>
      <c r="O5" s="2" t="s">
        <v>91</v>
      </c>
      <c r="P5" s="2" t="s">
        <v>128</v>
      </c>
      <c r="Q5" s="3"/>
      <c r="R5" s="3"/>
      <c r="S5" s="2" t="s">
        <v>21</v>
      </c>
      <c r="T5" s="4">
        <v>44955</v>
      </c>
      <c r="U5" s="2" t="s">
        <v>2381</v>
      </c>
      <c r="V5" s="6">
        <f>(Real_Sales[[#This Row],[Price_retail]]-Real_Sales[[#This Row],[Price_current]])/Real_Sales[[#This Row],[Price_retail]]</f>
        <v>0.55617352614015569</v>
      </c>
      <c r="W5" s="3" t="str" cm="1">
        <f t="array" ref="W5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5" s="2" t="str">
        <f>IF(Real_Sales[[#This Row],[Price_retail]]&gt;$AC$3,"Premium","Average")</f>
        <v>Average</v>
      </c>
      <c r="Y5" s="2" t="str">
        <f>IF(ISNUMBER(SEARCH("Basic",Real_Sales[[#This Row],[Product_name]])),"Yes","No")</f>
        <v>No</v>
      </c>
      <c r="Z5" s="2" cm="1">
        <f t="array" ref="Z5">_xlfn.IFS(Real_Sales[[#This Row],[Price_retail]]&lt;=15,1, Real_Sales[[#This Row],[Price_retail]]&lt;=30,2, Real_Sales[[#This Row],[Price_retail]]&lt;=50,3,Real_Sales[[#This Row],[Price_retail]]&gt;50,4)</f>
        <v>1</v>
      </c>
    </row>
    <row r="6" spans="1:29" x14ac:dyDescent="0.35">
      <c r="A6" s="2" t="s">
        <v>2544</v>
      </c>
      <c r="B6" s="2" t="s">
        <v>2545</v>
      </c>
      <c r="C6" s="2" t="s">
        <v>484</v>
      </c>
      <c r="D6" s="2" t="s">
        <v>432</v>
      </c>
      <c r="E6" s="2" t="s">
        <v>4</v>
      </c>
      <c r="F6" s="2" t="s">
        <v>5</v>
      </c>
      <c r="G6" s="2" t="s">
        <v>121</v>
      </c>
      <c r="H6" s="2" t="s">
        <v>35</v>
      </c>
      <c r="I6" s="2" t="s">
        <v>3390</v>
      </c>
      <c r="J6" s="3">
        <v>8.99</v>
      </c>
      <c r="K6" s="3">
        <v>3.99</v>
      </c>
      <c r="L6" s="2" t="s">
        <v>8</v>
      </c>
      <c r="M6" s="2" t="s">
        <v>9</v>
      </c>
      <c r="N6" s="3">
        <v>339</v>
      </c>
      <c r="O6" s="2" t="s">
        <v>3392</v>
      </c>
      <c r="P6" s="2" t="s">
        <v>61</v>
      </c>
      <c r="Q6" s="3"/>
      <c r="R6" s="3"/>
      <c r="S6" s="2" t="s">
        <v>21</v>
      </c>
      <c r="T6" s="4">
        <v>44955</v>
      </c>
      <c r="U6" s="2" t="s">
        <v>2546</v>
      </c>
      <c r="V6" s="6">
        <f>(Real_Sales[[#This Row],[Price_retail]]-Real_Sales[[#This Row],[Price_current]])/Real_Sales[[#This Row],[Price_retail]]</f>
        <v>0.55617352614015569</v>
      </c>
      <c r="W6" s="3" t="str" cm="1">
        <f t="array" ref="W6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6" s="2" t="str">
        <f>IF(Real_Sales[[#This Row],[Price_retail]]&gt;$AC$3,"Premium","Average")</f>
        <v>Average</v>
      </c>
      <c r="Y6" s="2" t="str">
        <f>IF(ISNUMBER(SEARCH("Basic",Real_Sales[[#This Row],[Product_name]])),"Yes","No")</f>
        <v>Yes</v>
      </c>
      <c r="Z6" s="2" cm="1">
        <f t="array" ref="Z6">_xlfn.IFS(Real_Sales[[#This Row],[Price_retail]]&lt;=15,1, Real_Sales[[#This Row],[Price_retail]]&lt;=30,2, Real_Sales[[#This Row],[Price_retail]]&lt;=50,3,Real_Sales[[#This Row],[Price_retail]]&gt;50,4)</f>
        <v>1</v>
      </c>
    </row>
    <row r="7" spans="1:29" x14ac:dyDescent="0.35">
      <c r="A7" s="2" t="s">
        <v>2990</v>
      </c>
      <c r="B7" s="2" t="s">
        <v>2991</v>
      </c>
      <c r="C7" s="2" t="s">
        <v>3409</v>
      </c>
      <c r="D7" s="2" t="s">
        <v>842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3390</v>
      </c>
      <c r="J7" s="3">
        <v>8.99</v>
      </c>
      <c r="K7" s="3">
        <v>4.04</v>
      </c>
      <c r="L7" s="2" t="s">
        <v>8</v>
      </c>
      <c r="M7" s="2" t="s">
        <v>9</v>
      </c>
      <c r="N7" s="3">
        <v>280</v>
      </c>
      <c r="O7" s="2" t="s">
        <v>52</v>
      </c>
      <c r="P7" s="2" t="s">
        <v>3392</v>
      </c>
      <c r="Q7" s="3"/>
      <c r="R7" s="3"/>
      <c r="S7" s="2" t="s">
        <v>21</v>
      </c>
      <c r="T7" s="4">
        <v>44955</v>
      </c>
      <c r="U7" s="2" t="s">
        <v>2992</v>
      </c>
      <c r="V7" s="6">
        <f>(Real_Sales[[#This Row],[Price_retail]]-Real_Sales[[#This Row],[Price_current]])/Real_Sales[[#This Row],[Price_retail]]</f>
        <v>0.55061179087875423</v>
      </c>
      <c r="W7" s="3" t="str" cm="1">
        <f t="array" ref="W7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" s="2" t="str">
        <f>IF(Real_Sales[[#This Row],[Price_retail]]&gt;$AC$3,"Premium","Average")</f>
        <v>Average</v>
      </c>
      <c r="Y7" s="2" t="str">
        <f>IF(ISNUMBER(SEARCH("Basic",Real_Sales[[#This Row],[Product_name]])),"Yes","No")</f>
        <v>No</v>
      </c>
      <c r="Z7" s="2" cm="1">
        <f t="array" ref="Z7">_xlfn.IFS(Real_Sales[[#This Row],[Price_retail]]&lt;=15,1, Real_Sales[[#This Row],[Price_retail]]&lt;=30,2, Real_Sales[[#This Row],[Price_retail]]&lt;=50,3,Real_Sales[[#This Row],[Price_retail]]&gt;50,4)</f>
        <v>1</v>
      </c>
    </row>
    <row r="8" spans="1:29" x14ac:dyDescent="0.35">
      <c r="A8" s="2" t="s">
        <v>1600</v>
      </c>
      <c r="B8" s="2" t="s">
        <v>1601</v>
      </c>
      <c r="C8" s="2" t="s">
        <v>3394</v>
      </c>
      <c r="D8" s="2" t="s">
        <v>1602</v>
      </c>
      <c r="E8" s="2" t="s">
        <v>4</v>
      </c>
      <c r="F8" s="2" t="s">
        <v>5</v>
      </c>
      <c r="G8" s="2" t="s">
        <v>82</v>
      </c>
      <c r="H8" s="2" t="s">
        <v>418</v>
      </c>
      <c r="I8" s="2" t="s">
        <v>3390</v>
      </c>
      <c r="J8" s="3">
        <v>8.99</v>
      </c>
      <c r="K8" s="3">
        <v>4.2300000000000004</v>
      </c>
      <c r="L8" s="2" t="s">
        <v>8</v>
      </c>
      <c r="M8" s="2" t="s">
        <v>9</v>
      </c>
      <c r="N8" s="3">
        <v>590</v>
      </c>
      <c r="O8" s="2" t="s">
        <v>43</v>
      </c>
      <c r="P8" s="2" t="s">
        <v>169</v>
      </c>
      <c r="Q8" s="3"/>
      <c r="R8" s="3"/>
      <c r="S8" s="2" t="s">
        <v>21</v>
      </c>
      <c r="T8" s="4">
        <v>44955</v>
      </c>
      <c r="U8" s="2" t="s">
        <v>1603</v>
      </c>
      <c r="V8" s="6">
        <f>(Real_Sales[[#This Row],[Price_retail]]-Real_Sales[[#This Row],[Price_current]])/Real_Sales[[#This Row],[Price_retail]]</f>
        <v>0.52947719688542827</v>
      </c>
      <c r="W8" s="3" t="str" cm="1">
        <f t="array" ref="W8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" s="2" t="str">
        <f>IF(Real_Sales[[#This Row],[Price_retail]]&gt;$AC$3,"Premium","Average")</f>
        <v>Average</v>
      </c>
      <c r="Y8" s="2" t="str">
        <f>IF(ISNUMBER(SEARCH("Basic",Real_Sales[[#This Row],[Product_name]])),"Yes","No")</f>
        <v>No</v>
      </c>
      <c r="Z8" s="2" cm="1">
        <f t="array" ref="Z8">_xlfn.IFS(Real_Sales[[#This Row],[Price_retail]]&lt;=15,1, Real_Sales[[#This Row],[Price_retail]]&lt;=30,2, Real_Sales[[#This Row],[Price_retail]]&lt;=50,3,Real_Sales[[#This Row],[Price_retail]]&gt;50,4)</f>
        <v>1</v>
      </c>
    </row>
    <row r="9" spans="1:29" x14ac:dyDescent="0.35">
      <c r="A9" s="2" t="s">
        <v>993</v>
      </c>
      <c r="B9" s="2" t="s">
        <v>994</v>
      </c>
      <c r="C9" s="2" t="s">
        <v>995</v>
      </c>
      <c r="D9" s="2" t="s">
        <v>847</v>
      </c>
      <c r="E9" s="2" t="s">
        <v>4</v>
      </c>
      <c r="F9" s="2" t="s">
        <v>5</v>
      </c>
      <c r="G9" s="2" t="s">
        <v>82</v>
      </c>
      <c r="H9" s="2" t="s">
        <v>237</v>
      </c>
      <c r="I9" s="2" t="s">
        <v>3395</v>
      </c>
      <c r="J9" s="3">
        <v>8.99</v>
      </c>
      <c r="K9" s="3">
        <v>4.34</v>
      </c>
      <c r="L9" s="2" t="s">
        <v>8</v>
      </c>
      <c r="M9" s="2" t="s">
        <v>9</v>
      </c>
      <c r="N9" s="3">
        <v>871</v>
      </c>
      <c r="O9" s="2" t="s">
        <v>98</v>
      </c>
      <c r="P9" s="2" t="s">
        <v>53</v>
      </c>
      <c r="Q9" s="3"/>
      <c r="R9" s="3"/>
      <c r="S9" s="2" t="s">
        <v>21</v>
      </c>
      <c r="T9" s="4">
        <v>44955</v>
      </c>
      <c r="U9" s="2" t="s">
        <v>996</v>
      </c>
      <c r="V9" s="6">
        <f>(Real_Sales[[#This Row],[Price_retail]]-Real_Sales[[#This Row],[Price_current]])/Real_Sales[[#This Row],[Price_retail]]</f>
        <v>0.51724137931034486</v>
      </c>
      <c r="W9" s="3" t="str" cm="1">
        <f t="array" ref="W9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9" s="2" t="str">
        <f>IF(Real_Sales[[#This Row],[Price_retail]]&gt;$AC$3,"Premium","Average")</f>
        <v>Average</v>
      </c>
      <c r="Y9" s="2" t="str">
        <f>IF(ISNUMBER(SEARCH("Basic",Real_Sales[[#This Row],[Product_name]])),"Yes","No")</f>
        <v>No</v>
      </c>
      <c r="Z9" s="2" cm="1">
        <f t="array" ref="Z9">_xlfn.IFS(Real_Sales[[#This Row],[Price_retail]]&lt;=15,1, Real_Sales[[#This Row],[Price_retail]]&lt;=30,2, Real_Sales[[#This Row],[Price_retail]]&lt;=50,3,Real_Sales[[#This Row],[Price_retail]]&gt;50,4)</f>
        <v>1</v>
      </c>
    </row>
    <row r="10" spans="1:29" x14ac:dyDescent="0.35">
      <c r="A10" s="2" t="s">
        <v>1926</v>
      </c>
      <c r="B10" s="2" t="s">
        <v>1927</v>
      </c>
      <c r="C10" s="2" t="s">
        <v>65</v>
      </c>
      <c r="D10" s="2" t="s">
        <v>138</v>
      </c>
      <c r="E10" s="2" t="s">
        <v>4</v>
      </c>
      <c r="F10" s="2" t="s">
        <v>5</v>
      </c>
      <c r="G10" s="2" t="s">
        <v>82</v>
      </c>
      <c r="H10" s="2" t="s">
        <v>139</v>
      </c>
      <c r="I10" s="2" t="s">
        <v>3393</v>
      </c>
      <c r="J10" s="3">
        <v>8.99</v>
      </c>
      <c r="K10" s="3">
        <v>4.4800000000000004</v>
      </c>
      <c r="L10" s="2" t="s">
        <v>8</v>
      </c>
      <c r="M10" s="2" t="s">
        <v>9</v>
      </c>
      <c r="N10" s="3">
        <v>798</v>
      </c>
      <c r="O10" s="2" t="s">
        <v>98</v>
      </c>
      <c r="P10" s="2" t="s">
        <v>192</v>
      </c>
      <c r="Q10" s="3"/>
      <c r="R10" s="3"/>
      <c r="S10" s="2"/>
      <c r="T10" s="4">
        <v>44955</v>
      </c>
      <c r="U10" s="2" t="s">
        <v>1928</v>
      </c>
      <c r="V10" s="6">
        <f>(Real_Sales[[#This Row],[Price_retail]]-Real_Sales[[#This Row],[Price_current]])/Real_Sales[[#This Row],[Price_retail]]</f>
        <v>0.50166852057842048</v>
      </c>
      <c r="W10" s="3" t="str" cm="1">
        <f t="array" ref="W10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10" s="2" t="str">
        <f>IF(Real_Sales[[#This Row],[Price_retail]]&gt;$AC$3,"Premium","Average")</f>
        <v>Average</v>
      </c>
      <c r="Y10" s="2" t="str">
        <f>IF(ISNUMBER(SEARCH("Basic",Real_Sales[[#This Row],[Product_name]])),"Yes","No")</f>
        <v>Yes</v>
      </c>
      <c r="Z10" s="2" cm="1">
        <f t="array" ref="Z10">_xlfn.IFS(Real_Sales[[#This Row],[Price_retail]]&lt;=15,1, Real_Sales[[#This Row],[Price_retail]]&lt;=30,2, Real_Sales[[#This Row],[Price_retail]]&lt;=50,3,Real_Sales[[#This Row],[Price_retail]]&gt;50,4)</f>
        <v>1</v>
      </c>
    </row>
    <row r="11" spans="1:29" x14ac:dyDescent="0.35">
      <c r="A11" s="2" t="s">
        <v>666</v>
      </c>
      <c r="B11" s="2" t="s">
        <v>667</v>
      </c>
      <c r="C11" s="2" t="s">
        <v>318</v>
      </c>
      <c r="D11" s="2" t="s">
        <v>660</v>
      </c>
      <c r="E11" s="2" t="s">
        <v>4</v>
      </c>
      <c r="F11" s="2" t="s">
        <v>5</v>
      </c>
      <c r="G11" s="2" t="s">
        <v>6</v>
      </c>
      <c r="H11" s="2" t="s">
        <v>237</v>
      </c>
      <c r="I11" s="2" t="s">
        <v>3390</v>
      </c>
      <c r="J11" s="3">
        <v>8.99</v>
      </c>
      <c r="K11" s="3">
        <v>4.59</v>
      </c>
      <c r="L11" s="2" t="s">
        <v>8</v>
      </c>
      <c r="M11" s="2" t="s">
        <v>9</v>
      </c>
      <c r="N11" s="3">
        <v>267</v>
      </c>
      <c r="O11" s="2" t="s">
        <v>140</v>
      </c>
      <c r="P11" s="2" t="s">
        <v>328</v>
      </c>
      <c r="Q11" s="3"/>
      <c r="R11" s="3"/>
      <c r="S11" s="2" t="s">
        <v>21</v>
      </c>
      <c r="T11" s="4">
        <v>44955</v>
      </c>
      <c r="U11" s="2" t="s">
        <v>668</v>
      </c>
      <c r="V11" s="6">
        <f>(Real_Sales[[#This Row],[Price_retail]]-Real_Sales[[#This Row],[Price_current]])/Real_Sales[[#This Row],[Price_retail]]</f>
        <v>0.48943270300333708</v>
      </c>
      <c r="W11" s="3" t="str" cm="1">
        <f t="array" ref="W1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1" s="2" t="str">
        <f>IF(Real_Sales[[#This Row],[Price_retail]]&gt;$AC$3,"Premium","Average")</f>
        <v>Average</v>
      </c>
      <c r="Y11" s="2" t="str">
        <f>IF(ISNUMBER(SEARCH("Basic",Real_Sales[[#This Row],[Product_name]])),"Yes","No")</f>
        <v>No</v>
      </c>
      <c r="Z11" s="2" cm="1">
        <f t="array" ref="Z11">_xlfn.IFS(Real_Sales[[#This Row],[Price_retail]]&lt;=15,1, Real_Sales[[#This Row],[Price_retail]]&lt;=30,2, Real_Sales[[#This Row],[Price_retail]]&lt;=50,3,Real_Sales[[#This Row],[Price_retail]]&gt;50,4)</f>
        <v>1</v>
      </c>
    </row>
    <row r="12" spans="1:29" x14ac:dyDescent="0.35">
      <c r="A12" s="2" t="s">
        <v>924</v>
      </c>
      <c r="B12" s="2" t="s">
        <v>925</v>
      </c>
      <c r="C12" s="2" t="s">
        <v>41</v>
      </c>
      <c r="D12" s="2" t="s">
        <v>153</v>
      </c>
      <c r="E12" s="2" t="s">
        <v>4</v>
      </c>
      <c r="F12" s="2" t="s">
        <v>17</v>
      </c>
      <c r="G12" s="2" t="s">
        <v>50</v>
      </c>
      <c r="H12" s="2" t="s">
        <v>28</v>
      </c>
      <c r="I12" s="2" t="s">
        <v>3393</v>
      </c>
      <c r="J12" s="3">
        <v>8.99</v>
      </c>
      <c r="K12" s="3">
        <v>4.59</v>
      </c>
      <c r="L12" s="2" t="s">
        <v>8</v>
      </c>
      <c r="M12" s="2" t="s">
        <v>9</v>
      </c>
      <c r="N12" s="3">
        <v>779</v>
      </c>
      <c r="O12" s="2" t="s">
        <v>3392</v>
      </c>
      <c r="P12" s="2" t="s">
        <v>221</v>
      </c>
      <c r="Q12" s="3"/>
      <c r="R12" s="3"/>
      <c r="S12" s="2" t="s">
        <v>12</v>
      </c>
      <c r="T12" s="4">
        <v>44955</v>
      </c>
      <c r="U12" s="2" t="s">
        <v>926</v>
      </c>
      <c r="V12" s="6">
        <f>(Real_Sales[[#This Row],[Price_retail]]-Real_Sales[[#This Row],[Price_current]])/Real_Sales[[#This Row],[Price_retail]]</f>
        <v>0.48943270300333708</v>
      </c>
      <c r="W12" s="3" t="str" cm="1">
        <f t="array" ref="W1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2" s="2" t="str">
        <f>IF(Real_Sales[[#This Row],[Price_retail]]&gt;$AC$3,"Premium","Average")</f>
        <v>Average</v>
      </c>
      <c r="Y12" s="2" t="str">
        <f>IF(ISNUMBER(SEARCH("Basic",Real_Sales[[#This Row],[Product_name]])),"Yes","No")</f>
        <v>No</v>
      </c>
      <c r="Z12" s="2" cm="1">
        <f t="array" ref="Z12">_xlfn.IFS(Real_Sales[[#This Row],[Price_retail]]&lt;=15,1, Real_Sales[[#This Row],[Price_retail]]&lt;=30,2, Real_Sales[[#This Row],[Price_retail]]&lt;=50,3,Real_Sales[[#This Row],[Price_retail]]&gt;50,4)</f>
        <v>1</v>
      </c>
    </row>
    <row r="13" spans="1:29" x14ac:dyDescent="0.35">
      <c r="A13" s="2" t="s">
        <v>1929</v>
      </c>
      <c r="B13" s="2" t="s">
        <v>1930</v>
      </c>
      <c r="C13" s="2" t="s">
        <v>3394</v>
      </c>
      <c r="D13" s="2" t="s">
        <v>494</v>
      </c>
      <c r="E13" s="2" t="s">
        <v>4</v>
      </c>
      <c r="F13" s="2" t="s">
        <v>17</v>
      </c>
      <c r="G13" s="2" t="s">
        <v>27</v>
      </c>
      <c r="H13" s="2" t="s">
        <v>83</v>
      </c>
      <c r="I13" s="2" t="s">
        <v>3390</v>
      </c>
      <c r="J13" s="3">
        <v>8.99</v>
      </c>
      <c r="K13" s="3">
        <v>4.6100000000000003</v>
      </c>
      <c r="L13" s="2" t="s">
        <v>8</v>
      </c>
      <c r="M13" s="2" t="s">
        <v>9</v>
      </c>
      <c r="N13" s="3">
        <v>780</v>
      </c>
      <c r="O13" s="2" t="s">
        <v>140</v>
      </c>
      <c r="P13" s="2" t="s">
        <v>186</v>
      </c>
      <c r="Q13" s="3"/>
      <c r="R13" s="3"/>
      <c r="S13" s="2" t="s">
        <v>21</v>
      </c>
      <c r="T13" s="4">
        <v>44955</v>
      </c>
      <c r="U13" s="2" t="s">
        <v>1931</v>
      </c>
      <c r="V13" s="6">
        <f>(Real_Sales[[#This Row],[Price_retail]]-Real_Sales[[#This Row],[Price_current]])/Real_Sales[[#This Row],[Price_retail]]</f>
        <v>0.48720800889877641</v>
      </c>
      <c r="W13" s="3" t="str" cm="1">
        <f t="array" ref="W1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3" s="2" t="str">
        <f>IF(Real_Sales[[#This Row],[Price_retail]]&gt;$AC$3,"Premium","Average")</f>
        <v>Average</v>
      </c>
      <c r="Y13" s="2" t="str">
        <f>IF(ISNUMBER(SEARCH("Basic",Real_Sales[[#This Row],[Product_name]])),"Yes","No")</f>
        <v>Yes</v>
      </c>
      <c r="Z13" s="2" cm="1">
        <f t="array" ref="Z13">_xlfn.IFS(Real_Sales[[#This Row],[Price_retail]]&lt;=15,1, Real_Sales[[#This Row],[Price_retail]]&lt;=30,2, Real_Sales[[#This Row],[Price_retail]]&lt;=50,3,Real_Sales[[#This Row],[Price_retail]]&gt;50,4)</f>
        <v>1</v>
      </c>
    </row>
    <row r="14" spans="1:29" x14ac:dyDescent="0.35">
      <c r="A14" s="2" t="s">
        <v>1509</v>
      </c>
      <c r="B14" s="2" t="s">
        <v>1510</v>
      </c>
      <c r="C14" s="2" t="s">
        <v>541</v>
      </c>
      <c r="D14" s="2" t="s">
        <v>1011</v>
      </c>
      <c r="E14" s="2" t="s">
        <v>4</v>
      </c>
      <c r="F14" s="2" t="s">
        <v>17</v>
      </c>
      <c r="G14" s="2" t="s">
        <v>67</v>
      </c>
      <c r="H14" s="2" t="s">
        <v>68</v>
      </c>
      <c r="I14" s="2" t="s">
        <v>3395</v>
      </c>
      <c r="J14" s="3">
        <v>8.99</v>
      </c>
      <c r="K14" s="3">
        <v>4.66</v>
      </c>
      <c r="L14" s="2" t="s">
        <v>8</v>
      </c>
      <c r="M14" s="2" t="s">
        <v>9</v>
      </c>
      <c r="N14" s="3">
        <v>235</v>
      </c>
      <c r="O14" s="2" t="s">
        <v>3392</v>
      </c>
      <c r="P14" s="2" t="s">
        <v>192</v>
      </c>
      <c r="Q14" s="3"/>
      <c r="R14" s="3"/>
      <c r="S14" s="2" t="s">
        <v>21</v>
      </c>
      <c r="T14" s="4">
        <v>44955</v>
      </c>
      <c r="U14" s="2" t="s">
        <v>1511</v>
      </c>
      <c r="V14" s="6">
        <f>(Real_Sales[[#This Row],[Price_retail]]-Real_Sales[[#This Row],[Price_current]])/Real_Sales[[#This Row],[Price_retail]]</f>
        <v>0.48164627363737483</v>
      </c>
      <c r="W14" s="3" t="str" cm="1">
        <f t="array" ref="W1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4" s="2" t="str">
        <f>IF(Real_Sales[[#This Row],[Price_retail]]&gt;$AC$3,"Premium","Average")</f>
        <v>Average</v>
      </c>
      <c r="Y14" s="2" t="str">
        <f>IF(ISNUMBER(SEARCH("Basic",Real_Sales[[#This Row],[Product_name]])),"Yes","No")</f>
        <v>No</v>
      </c>
      <c r="Z14" s="2" cm="1">
        <f t="array" ref="Z14">_xlfn.IFS(Real_Sales[[#This Row],[Price_retail]]&lt;=15,1, Real_Sales[[#This Row],[Price_retail]]&lt;=30,2, Real_Sales[[#This Row],[Price_retail]]&lt;=50,3,Real_Sales[[#This Row],[Price_retail]]&gt;50,4)</f>
        <v>1</v>
      </c>
    </row>
    <row r="15" spans="1:29" x14ac:dyDescent="0.35">
      <c r="A15" s="2" t="s">
        <v>1217</v>
      </c>
      <c r="B15" s="2" t="s">
        <v>1218</v>
      </c>
      <c r="C15" s="2" t="s">
        <v>246</v>
      </c>
      <c r="D15" s="2" t="s">
        <v>699</v>
      </c>
      <c r="E15" s="2" t="s">
        <v>4</v>
      </c>
      <c r="F15" s="2" t="s">
        <v>5</v>
      </c>
      <c r="G15" s="2" t="s">
        <v>121</v>
      </c>
      <c r="H15" s="2" t="s">
        <v>68</v>
      </c>
      <c r="I15" s="2" t="s">
        <v>3393</v>
      </c>
      <c r="J15" s="3">
        <v>8.99</v>
      </c>
      <c r="K15" s="3">
        <v>4.7</v>
      </c>
      <c r="L15" s="2" t="s">
        <v>8</v>
      </c>
      <c r="M15" s="2" t="s">
        <v>9</v>
      </c>
      <c r="N15" s="3">
        <v>957</v>
      </c>
      <c r="O15" s="2" t="s">
        <v>261</v>
      </c>
      <c r="P15" s="2" t="s">
        <v>334</v>
      </c>
      <c r="Q15" s="3"/>
      <c r="R15" s="3"/>
      <c r="S15" s="2" t="s">
        <v>21</v>
      </c>
      <c r="T15" s="4">
        <v>44955</v>
      </c>
      <c r="U15" s="2" t="s">
        <v>1219</v>
      </c>
      <c r="V15" s="6">
        <f>(Real_Sales[[#This Row],[Price_retail]]-Real_Sales[[#This Row],[Price_current]])/Real_Sales[[#This Row],[Price_retail]]</f>
        <v>0.47719688542825361</v>
      </c>
      <c r="W15" s="3" t="str" cm="1">
        <f t="array" ref="W1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5" s="2" t="str">
        <f>IF(Real_Sales[[#This Row],[Price_retail]]&gt;$AC$3,"Premium","Average")</f>
        <v>Average</v>
      </c>
      <c r="Y15" s="2" t="str">
        <f>IF(ISNUMBER(SEARCH("Basic",Real_Sales[[#This Row],[Product_name]])),"Yes","No")</f>
        <v>No</v>
      </c>
      <c r="Z15" s="2" cm="1">
        <f t="array" ref="Z15">_xlfn.IFS(Real_Sales[[#This Row],[Price_retail]]&lt;=15,1, Real_Sales[[#This Row],[Price_retail]]&lt;=30,2, Real_Sales[[#This Row],[Price_retail]]&lt;=50,3,Real_Sales[[#This Row],[Price_retail]]&gt;50,4)</f>
        <v>1</v>
      </c>
    </row>
    <row r="16" spans="1:29" x14ac:dyDescent="0.35">
      <c r="A16" s="2" t="s">
        <v>2581</v>
      </c>
      <c r="B16" s="2" t="s">
        <v>2582</v>
      </c>
      <c r="C16" s="2" t="s">
        <v>569</v>
      </c>
      <c r="D16" s="2" t="s">
        <v>1139</v>
      </c>
      <c r="E16" s="2" t="s">
        <v>4</v>
      </c>
      <c r="F16" s="2" t="s">
        <v>17</v>
      </c>
      <c r="G16" s="2" t="s">
        <v>50</v>
      </c>
      <c r="H16" s="2" t="s">
        <v>418</v>
      </c>
      <c r="I16" s="2" t="s">
        <v>3393</v>
      </c>
      <c r="J16" s="3">
        <v>8.99</v>
      </c>
      <c r="K16" s="3">
        <v>4.82</v>
      </c>
      <c r="L16" s="2" t="s">
        <v>8</v>
      </c>
      <c r="M16" s="2" t="s">
        <v>9</v>
      </c>
      <c r="N16" s="3">
        <v>452</v>
      </c>
      <c r="O16" s="2" t="s">
        <v>347</v>
      </c>
      <c r="P16" s="2" t="s">
        <v>11</v>
      </c>
      <c r="Q16" s="3"/>
      <c r="R16" s="3"/>
      <c r="S16" s="2" t="s">
        <v>21</v>
      </c>
      <c r="T16" s="4">
        <v>44955</v>
      </c>
      <c r="U16" s="2" t="s">
        <v>2583</v>
      </c>
      <c r="V16" s="6">
        <f>(Real_Sales[[#This Row],[Price_retail]]-Real_Sales[[#This Row],[Price_current]])/Real_Sales[[#This Row],[Price_retail]]</f>
        <v>0.46384872080088985</v>
      </c>
      <c r="W16" s="3" t="str" cm="1">
        <f t="array" ref="W1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6" s="2" t="str">
        <f>IF(Real_Sales[[#This Row],[Price_retail]]&gt;$AC$3,"Premium","Average")</f>
        <v>Average</v>
      </c>
      <c r="Y16" s="2" t="str">
        <f>IF(ISNUMBER(SEARCH("Basic",Real_Sales[[#This Row],[Product_name]])),"Yes","No")</f>
        <v>No</v>
      </c>
      <c r="Z16" s="2" cm="1">
        <f t="array" ref="Z16">_xlfn.IFS(Real_Sales[[#This Row],[Price_retail]]&lt;=15,1, Real_Sales[[#This Row],[Price_retail]]&lt;=30,2, Real_Sales[[#This Row],[Price_retail]]&lt;=50,3,Real_Sales[[#This Row],[Price_retail]]&gt;50,4)</f>
        <v>1</v>
      </c>
    </row>
    <row r="17" spans="1:26" x14ac:dyDescent="0.35">
      <c r="A17" s="2" t="s">
        <v>1033</v>
      </c>
      <c r="B17" s="2" t="s">
        <v>1034</v>
      </c>
      <c r="C17" s="2" t="s">
        <v>423</v>
      </c>
      <c r="D17" s="2" t="s">
        <v>608</v>
      </c>
      <c r="E17" s="2" t="s">
        <v>4</v>
      </c>
      <c r="F17" s="2" t="s">
        <v>17</v>
      </c>
      <c r="G17" s="2" t="s">
        <v>50</v>
      </c>
      <c r="H17" s="2" t="s">
        <v>51</v>
      </c>
      <c r="I17" s="2" t="s">
        <v>3390</v>
      </c>
      <c r="J17" s="3">
        <v>8.99</v>
      </c>
      <c r="K17" s="3">
        <v>4.8899999999999997</v>
      </c>
      <c r="L17" s="2" t="s">
        <v>8</v>
      </c>
      <c r="M17" s="2" t="s">
        <v>9</v>
      </c>
      <c r="N17" s="3">
        <v>478</v>
      </c>
      <c r="O17" s="2" t="s">
        <v>20</v>
      </c>
      <c r="P17" s="2" t="s">
        <v>70</v>
      </c>
      <c r="Q17" s="3"/>
      <c r="R17" s="3"/>
      <c r="S17" s="2" t="s">
        <v>12</v>
      </c>
      <c r="T17" s="4">
        <v>44955</v>
      </c>
      <c r="U17" s="2" t="s">
        <v>1035</v>
      </c>
      <c r="V17" s="6">
        <f>(Real_Sales[[#This Row],[Price_retail]]-Real_Sales[[#This Row],[Price_current]])/Real_Sales[[#This Row],[Price_retail]]</f>
        <v>0.45606229143492777</v>
      </c>
      <c r="W17" s="3" t="str" cm="1">
        <f t="array" ref="W1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7" s="2" t="str">
        <f>IF(Real_Sales[[#This Row],[Price_retail]]&gt;$AC$3,"Premium","Average")</f>
        <v>Average</v>
      </c>
      <c r="Y17" s="2" t="str">
        <f>IF(ISNUMBER(SEARCH("Basic",Real_Sales[[#This Row],[Product_name]])),"Yes","No")</f>
        <v>No</v>
      </c>
      <c r="Z17" s="2" cm="1">
        <f t="array" ref="Z17">_xlfn.IFS(Real_Sales[[#This Row],[Price_retail]]&lt;=15,1, Real_Sales[[#This Row],[Price_retail]]&lt;=30,2, Real_Sales[[#This Row],[Price_retail]]&lt;=50,3,Real_Sales[[#This Row],[Price_retail]]&gt;50,4)</f>
        <v>1</v>
      </c>
    </row>
    <row r="18" spans="1:26" x14ac:dyDescent="0.35">
      <c r="A18" s="2" t="s">
        <v>2838</v>
      </c>
      <c r="B18" s="2" t="s">
        <v>2839</v>
      </c>
      <c r="C18" s="2" t="s">
        <v>750</v>
      </c>
      <c r="D18" s="2" t="s">
        <v>153</v>
      </c>
      <c r="E18" s="2" t="s">
        <v>4</v>
      </c>
      <c r="F18" s="2" t="s">
        <v>17</v>
      </c>
      <c r="G18" s="2" t="s">
        <v>27</v>
      </c>
      <c r="H18" s="2" t="s">
        <v>28</v>
      </c>
      <c r="I18" s="2" t="s">
        <v>3395</v>
      </c>
      <c r="J18" s="3">
        <v>8.99</v>
      </c>
      <c r="K18" s="3">
        <v>5.04</v>
      </c>
      <c r="L18" s="2" t="s">
        <v>8</v>
      </c>
      <c r="M18" s="2" t="s">
        <v>9</v>
      </c>
      <c r="N18" s="3">
        <v>702</v>
      </c>
      <c r="O18" s="2" t="s">
        <v>3392</v>
      </c>
      <c r="P18" s="2" t="s">
        <v>37</v>
      </c>
      <c r="Q18" s="3"/>
      <c r="R18" s="3"/>
      <c r="S18" s="2" t="s">
        <v>21</v>
      </c>
      <c r="T18" s="4">
        <v>44955</v>
      </c>
      <c r="U18" s="2" t="s">
        <v>2840</v>
      </c>
      <c r="V18" s="6">
        <f>(Real_Sales[[#This Row],[Price_retail]]-Real_Sales[[#This Row],[Price_current]])/Real_Sales[[#This Row],[Price_retail]]</f>
        <v>0.43937708565072303</v>
      </c>
      <c r="W18" s="3" t="str" cm="1">
        <f t="array" ref="W1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8" s="2" t="str">
        <f>IF(Real_Sales[[#This Row],[Price_retail]]&gt;$AC$3,"Premium","Average")</f>
        <v>Average</v>
      </c>
      <c r="Y18" s="2" t="str">
        <f>IF(ISNUMBER(SEARCH("Basic",Real_Sales[[#This Row],[Product_name]])),"Yes","No")</f>
        <v>No</v>
      </c>
      <c r="Z18" s="2" cm="1">
        <f t="array" ref="Z18">_xlfn.IFS(Real_Sales[[#This Row],[Price_retail]]&lt;=15,1, Real_Sales[[#This Row],[Price_retail]]&lt;=30,2, Real_Sales[[#This Row],[Price_retail]]&lt;=50,3,Real_Sales[[#This Row],[Price_retail]]&gt;50,4)</f>
        <v>1</v>
      </c>
    </row>
    <row r="19" spans="1:26" x14ac:dyDescent="0.35">
      <c r="A19" s="2" t="s">
        <v>1554</v>
      </c>
      <c r="B19" s="2" t="s">
        <v>1555</v>
      </c>
      <c r="C19" s="2" t="s">
        <v>3394</v>
      </c>
      <c r="D19" s="2" t="s">
        <v>1165</v>
      </c>
      <c r="E19" s="2" t="s">
        <v>4</v>
      </c>
      <c r="F19" s="2" t="s">
        <v>17</v>
      </c>
      <c r="G19" s="2" t="s">
        <v>67</v>
      </c>
      <c r="H19" s="2"/>
      <c r="I19" s="2" t="s">
        <v>3390</v>
      </c>
      <c r="J19" s="3">
        <v>8.99</v>
      </c>
      <c r="K19" s="3">
        <v>5.0999999999999996</v>
      </c>
      <c r="L19" s="2" t="s">
        <v>8</v>
      </c>
      <c r="M19" s="2" t="s">
        <v>9</v>
      </c>
      <c r="N19" s="3">
        <v>45</v>
      </c>
      <c r="O19" s="2" t="s">
        <v>52</v>
      </c>
      <c r="P19" s="2" t="s">
        <v>177</v>
      </c>
      <c r="Q19" s="3"/>
      <c r="R19" s="3"/>
      <c r="S19" s="2" t="s">
        <v>21</v>
      </c>
      <c r="T19" s="4">
        <v>44955</v>
      </c>
      <c r="U19" s="2" t="s">
        <v>1556</v>
      </c>
      <c r="V19" s="6">
        <f>(Real_Sales[[#This Row],[Price_retail]]-Real_Sales[[#This Row],[Price_current]])/Real_Sales[[#This Row],[Price_retail]]</f>
        <v>0.4327030033370412</v>
      </c>
      <c r="W19" s="3" t="str" cm="1">
        <f t="array" ref="W1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9" s="2" t="str">
        <f>IF(Real_Sales[[#This Row],[Price_retail]]&gt;$AC$3,"Premium","Average")</f>
        <v>Average</v>
      </c>
      <c r="Y19" s="2" t="str">
        <f>IF(ISNUMBER(SEARCH("Basic",Real_Sales[[#This Row],[Product_name]])),"Yes","No")</f>
        <v>No</v>
      </c>
      <c r="Z19" s="2" cm="1">
        <f t="array" ref="Z19">_xlfn.IFS(Real_Sales[[#This Row],[Price_retail]]&lt;=15,1, Real_Sales[[#This Row],[Price_retail]]&lt;=30,2, Real_Sales[[#This Row],[Price_retail]]&lt;=50,3,Real_Sales[[#This Row],[Price_retail]]&gt;50,4)</f>
        <v>1</v>
      </c>
    </row>
    <row r="20" spans="1:26" x14ac:dyDescent="0.35">
      <c r="A20" s="2" t="s">
        <v>3143</v>
      </c>
      <c r="B20" s="2" t="s">
        <v>3144</v>
      </c>
      <c r="C20" s="2" t="s">
        <v>1115</v>
      </c>
      <c r="D20" s="2" t="s">
        <v>1823</v>
      </c>
      <c r="E20" s="2" t="s">
        <v>4</v>
      </c>
      <c r="F20" s="2" t="s">
        <v>17</v>
      </c>
      <c r="G20" s="2" t="s">
        <v>18</v>
      </c>
      <c r="H20" s="2" t="s">
        <v>168</v>
      </c>
      <c r="I20" s="2" t="s">
        <v>3395</v>
      </c>
      <c r="J20" s="3">
        <v>8.99</v>
      </c>
      <c r="K20" s="3">
        <v>5.12</v>
      </c>
      <c r="L20" s="2" t="s">
        <v>8</v>
      </c>
      <c r="M20" s="2" t="s">
        <v>9</v>
      </c>
      <c r="N20" s="3">
        <v>890</v>
      </c>
      <c r="O20" s="2" t="s">
        <v>3392</v>
      </c>
      <c r="P20" s="2" t="s">
        <v>192</v>
      </c>
      <c r="Q20" s="3"/>
      <c r="R20" s="3"/>
      <c r="S20" s="2" t="s">
        <v>12</v>
      </c>
      <c r="T20" s="4">
        <v>44955</v>
      </c>
      <c r="U20" s="2" t="s">
        <v>3145</v>
      </c>
      <c r="V20" s="6">
        <f>(Real_Sales[[#This Row],[Price_retail]]-Real_Sales[[#This Row],[Price_current]])/Real_Sales[[#This Row],[Price_retail]]</f>
        <v>0.43047830923248054</v>
      </c>
      <c r="W20" s="3" t="str" cm="1">
        <f t="array" ref="W2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0" s="2" t="str">
        <f>IF(Real_Sales[[#This Row],[Price_retail]]&gt;$AC$3,"Premium","Average")</f>
        <v>Average</v>
      </c>
      <c r="Y20" s="2" t="str">
        <f>IF(ISNUMBER(SEARCH("Basic",Real_Sales[[#This Row],[Product_name]])),"Yes","No")</f>
        <v>No</v>
      </c>
      <c r="Z20" s="2" cm="1">
        <f t="array" ref="Z20">_xlfn.IFS(Real_Sales[[#This Row],[Price_retail]]&lt;=15,1, Real_Sales[[#This Row],[Price_retail]]&lt;=30,2, Real_Sales[[#This Row],[Price_retail]]&lt;=50,3,Real_Sales[[#This Row],[Price_retail]]&gt;50,4)</f>
        <v>1</v>
      </c>
    </row>
    <row r="21" spans="1:26" x14ac:dyDescent="0.35">
      <c r="A21" s="2" t="s">
        <v>227</v>
      </c>
      <c r="B21" s="2" t="s">
        <v>228</v>
      </c>
      <c r="C21" s="2" t="s">
        <v>119</v>
      </c>
      <c r="D21" s="2" t="s">
        <v>229</v>
      </c>
      <c r="E21" s="2" t="s">
        <v>4</v>
      </c>
      <c r="F21" s="2" t="s">
        <v>5</v>
      </c>
      <c r="G21" s="2" t="s">
        <v>82</v>
      </c>
      <c r="H21" s="2" t="s">
        <v>168</v>
      </c>
      <c r="I21" s="2" t="s">
        <v>3395</v>
      </c>
      <c r="J21" s="3">
        <v>8.99</v>
      </c>
      <c r="K21" s="3">
        <v>5.17</v>
      </c>
      <c r="L21" s="2" t="s">
        <v>8</v>
      </c>
      <c r="M21" s="2" t="s">
        <v>9</v>
      </c>
      <c r="N21" s="3">
        <v>143</v>
      </c>
      <c r="O21" s="2" t="s">
        <v>75</v>
      </c>
      <c r="P21" s="2" t="s">
        <v>192</v>
      </c>
      <c r="Q21" s="3"/>
      <c r="R21" s="3"/>
      <c r="S21" s="2" t="s">
        <v>21</v>
      </c>
      <c r="T21" s="4">
        <v>44955</v>
      </c>
      <c r="U21" s="2" t="s">
        <v>230</v>
      </c>
      <c r="V21" s="6">
        <f>(Real_Sales[[#This Row],[Price_retail]]-Real_Sales[[#This Row],[Price_current]])/Real_Sales[[#This Row],[Price_retail]]</f>
        <v>0.42491657397107901</v>
      </c>
      <c r="W21" s="3" t="str" cm="1">
        <f t="array" ref="W2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" s="2" t="str">
        <f>IF(Real_Sales[[#This Row],[Price_retail]]&gt;$AC$3,"Premium","Average")</f>
        <v>Average</v>
      </c>
      <c r="Y21" s="2" t="str">
        <f>IF(ISNUMBER(SEARCH("Basic",Real_Sales[[#This Row],[Product_name]])),"Yes","No")</f>
        <v>No</v>
      </c>
      <c r="Z21" s="2" cm="1">
        <f t="array" ref="Z21">_xlfn.IFS(Real_Sales[[#This Row],[Price_retail]]&lt;=15,1, Real_Sales[[#This Row],[Price_retail]]&lt;=30,2, Real_Sales[[#This Row],[Price_retail]]&lt;=50,3,Real_Sales[[#This Row],[Price_retail]]&gt;50,4)</f>
        <v>1</v>
      </c>
    </row>
    <row r="22" spans="1:26" x14ac:dyDescent="0.35">
      <c r="A22" s="2" t="s">
        <v>263</v>
      </c>
      <c r="B22" s="2" t="s">
        <v>264</v>
      </c>
      <c r="C22" s="2" t="s">
        <v>265</v>
      </c>
      <c r="D22" s="2" t="s">
        <v>266</v>
      </c>
      <c r="E22" s="2" t="s">
        <v>4</v>
      </c>
      <c r="F22" s="2" t="s">
        <v>17</v>
      </c>
      <c r="G22" s="2" t="s">
        <v>18</v>
      </c>
      <c r="H22" s="2" t="s">
        <v>237</v>
      </c>
      <c r="I22" s="2" t="s">
        <v>3393</v>
      </c>
      <c r="J22" s="3">
        <v>8.99</v>
      </c>
      <c r="K22" s="3">
        <v>5.17</v>
      </c>
      <c r="L22" s="2" t="s">
        <v>8</v>
      </c>
      <c r="M22" s="2" t="s">
        <v>9</v>
      </c>
      <c r="N22" s="3">
        <v>548</v>
      </c>
      <c r="O22" s="2" t="s">
        <v>267</v>
      </c>
      <c r="P22" s="2" t="s">
        <v>215</v>
      </c>
      <c r="Q22" s="3"/>
      <c r="R22" s="3"/>
      <c r="S22" s="2" t="s">
        <v>21</v>
      </c>
      <c r="T22" s="4">
        <v>44955</v>
      </c>
      <c r="U22" s="2" t="s">
        <v>268</v>
      </c>
      <c r="V22" s="6">
        <f>(Real_Sales[[#This Row],[Price_retail]]-Real_Sales[[#This Row],[Price_current]])/Real_Sales[[#This Row],[Price_retail]]</f>
        <v>0.42491657397107901</v>
      </c>
      <c r="W22" s="3" t="str" cm="1">
        <f t="array" ref="W2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2" s="2" t="str">
        <f>IF(Real_Sales[[#This Row],[Price_retail]]&gt;$AC$3,"Premium","Average")</f>
        <v>Average</v>
      </c>
      <c r="Y22" s="2" t="str">
        <f>IF(ISNUMBER(SEARCH("Basic",Real_Sales[[#This Row],[Product_name]])),"Yes","No")</f>
        <v>No</v>
      </c>
      <c r="Z22" s="2" cm="1">
        <f t="array" ref="Z22">_xlfn.IFS(Real_Sales[[#This Row],[Price_retail]]&lt;=15,1, Real_Sales[[#This Row],[Price_retail]]&lt;=30,2, Real_Sales[[#This Row],[Price_retail]]&lt;=50,3,Real_Sales[[#This Row],[Price_retail]]&gt;50,4)</f>
        <v>1</v>
      </c>
    </row>
    <row r="23" spans="1:26" x14ac:dyDescent="0.35">
      <c r="A23" s="2" t="s">
        <v>1544</v>
      </c>
      <c r="B23" s="2" t="s">
        <v>1545</v>
      </c>
      <c r="C23" s="2" t="s">
        <v>1402</v>
      </c>
      <c r="D23" s="2" t="s">
        <v>272</v>
      </c>
      <c r="E23" s="2" t="s">
        <v>4</v>
      </c>
      <c r="F23" s="2" t="s">
        <v>5</v>
      </c>
      <c r="G23" s="2" t="s">
        <v>82</v>
      </c>
      <c r="H23" s="2" t="s">
        <v>51</v>
      </c>
      <c r="I23" s="2" t="s">
        <v>3390</v>
      </c>
      <c r="J23" s="3">
        <v>8.99</v>
      </c>
      <c r="K23" s="3">
        <v>5.26</v>
      </c>
      <c r="L23" s="2" t="s">
        <v>8</v>
      </c>
      <c r="M23" s="2" t="s">
        <v>9</v>
      </c>
      <c r="N23" s="3">
        <v>775</v>
      </c>
      <c r="O23" s="2" t="s">
        <v>75</v>
      </c>
      <c r="P23" s="2" t="s">
        <v>76</v>
      </c>
      <c r="Q23" s="3"/>
      <c r="R23" s="3"/>
      <c r="S23" s="2" t="s">
        <v>12</v>
      </c>
      <c r="T23" s="4">
        <v>44955</v>
      </c>
      <c r="U23" s="2" t="s">
        <v>1546</v>
      </c>
      <c r="V23" s="6">
        <f>(Real_Sales[[#This Row],[Price_retail]]-Real_Sales[[#This Row],[Price_current]])/Real_Sales[[#This Row],[Price_retail]]</f>
        <v>0.41490545050055622</v>
      </c>
      <c r="W23" s="3" t="str" cm="1">
        <f t="array" ref="W2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3" s="2" t="str">
        <f>IF(Real_Sales[[#This Row],[Price_retail]]&gt;$AC$3,"Premium","Average")</f>
        <v>Average</v>
      </c>
      <c r="Y23" s="2" t="str">
        <f>IF(ISNUMBER(SEARCH("Basic",Real_Sales[[#This Row],[Product_name]])),"Yes","No")</f>
        <v>No</v>
      </c>
      <c r="Z23" s="2" cm="1">
        <f t="array" ref="Z23">_xlfn.IFS(Real_Sales[[#This Row],[Price_retail]]&lt;=15,1, Real_Sales[[#This Row],[Price_retail]]&lt;=30,2, Real_Sales[[#This Row],[Price_retail]]&lt;=50,3,Real_Sales[[#This Row],[Price_retail]]&gt;50,4)</f>
        <v>1</v>
      </c>
    </row>
    <row r="24" spans="1:26" x14ac:dyDescent="0.35">
      <c r="A24" s="2" t="s">
        <v>2005</v>
      </c>
      <c r="B24" s="2" t="s">
        <v>2006</v>
      </c>
      <c r="C24" s="2" t="s">
        <v>3394</v>
      </c>
      <c r="D24" s="2" t="s">
        <v>1169</v>
      </c>
      <c r="E24" s="2" t="s">
        <v>4</v>
      </c>
      <c r="F24" s="2" t="s">
        <v>5</v>
      </c>
      <c r="G24" s="2" t="s">
        <v>121</v>
      </c>
      <c r="H24" s="2" t="s">
        <v>237</v>
      </c>
      <c r="I24" s="2" t="s">
        <v>3393</v>
      </c>
      <c r="J24" s="3">
        <v>8.99</v>
      </c>
      <c r="K24" s="3">
        <v>5.3</v>
      </c>
      <c r="L24" s="2" t="s">
        <v>8</v>
      </c>
      <c r="M24" s="2" t="s">
        <v>9</v>
      </c>
      <c r="N24" s="3">
        <v>794</v>
      </c>
      <c r="O24" s="2" t="s">
        <v>36</v>
      </c>
      <c r="P24" s="2" t="s">
        <v>128</v>
      </c>
      <c r="Q24" s="3"/>
      <c r="R24" s="3"/>
      <c r="S24" s="2" t="s">
        <v>21</v>
      </c>
      <c r="T24" s="4">
        <v>44955</v>
      </c>
      <c r="U24" s="2" t="s">
        <v>2007</v>
      </c>
      <c r="V24" s="6">
        <f>(Real_Sales[[#This Row],[Price_retail]]-Real_Sales[[#This Row],[Price_current]])/Real_Sales[[#This Row],[Price_retail]]</f>
        <v>0.41045606229143494</v>
      </c>
      <c r="W24" s="3" t="str" cm="1">
        <f t="array" ref="W2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4" s="2" t="str">
        <f>IF(Real_Sales[[#This Row],[Price_retail]]&gt;$AC$3,"Premium","Average")</f>
        <v>Average</v>
      </c>
      <c r="Y24" s="2" t="str">
        <f>IF(ISNUMBER(SEARCH("Basic",Real_Sales[[#This Row],[Product_name]])),"Yes","No")</f>
        <v>No</v>
      </c>
      <c r="Z24" s="2" cm="1">
        <f t="array" ref="Z24">_xlfn.IFS(Real_Sales[[#This Row],[Price_retail]]&lt;=15,1, Real_Sales[[#This Row],[Price_retail]]&lt;=30,2, Real_Sales[[#This Row],[Price_retail]]&lt;=50,3,Real_Sales[[#This Row],[Price_retail]]&gt;50,4)</f>
        <v>1</v>
      </c>
    </row>
    <row r="25" spans="1:26" x14ac:dyDescent="0.35">
      <c r="A25" s="2" t="s">
        <v>3098</v>
      </c>
      <c r="B25" s="2" t="s">
        <v>3099</v>
      </c>
      <c r="C25" s="2" t="s">
        <v>616</v>
      </c>
      <c r="D25" s="2" t="s">
        <v>314</v>
      </c>
      <c r="E25" s="2" t="s">
        <v>4</v>
      </c>
      <c r="F25" s="2" t="s">
        <v>17</v>
      </c>
      <c r="G25" s="2" t="s">
        <v>67</v>
      </c>
      <c r="H25" s="2" t="s">
        <v>59</v>
      </c>
      <c r="I25" s="2" t="s">
        <v>3390</v>
      </c>
      <c r="J25" s="3">
        <v>8.99</v>
      </c>
      <c r="K25" s="3">
        <v>5.34</v>
      </c>
      <c r="L25" s="2" t="s">
        <v>8</v>
      </c>
      <c r="M25" s="2" t="s">
        <v>9</v>
      </c>
      <c r="N25" s="3">
        <v>282</v>
      </c>
      <c r="O25" s="2" t="s">
        <v>98</v>
      </c>
      <c r="P25" s="2" t="s">
        <v>84</v>
      </c>
      <c r="Q25" s="3"/>
      <c r="R25" s="3"/>
      <c r="S25" s="2" t="s">
        <v>12</v>
      </c>
      <c r="T25" s="4">
        <v>44955</v>
      </c>
      <c r="U25" s="2" t="s">
        <v>3100</v>
      </c>
      <c r="V25" s="6">
        <f>(Real_Sales[[#This Row],[Price_retail]]-Real_Sales[[#This Row],[Price_current]])/Real_Sales[[#This Row],[Price_retail]]</f>
        <v>0.40600667408231372</v>
      </c>
      <c r="W25" s="3" t="str" cm="1">
        <f t="array" ref="W2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5" s="2" t="str">
        <f>IF(Real_Sales[[#This Row],[Price_retail]]&gt;$AC$3,"Premium","Average")</f>
        <v>Average</v>
      </c>
      <c r="Y25" s="2" t="str">
        <f>IF(ISNUMBER(SEARCH("Basic",Real_Sales[[#This Row],[Product_name]])),"Yes","No")</f>
        <v>No</v>
      </c>
      <c r="Z25" s="2" cm="1">
        <f t="array" ref="Z25">_xlfn.IFS(Real_Sales[[#This Row],[Price_retail]]&lt;=15,1, Real_Sales[[#This Row],[Price_retail]]&lt;=30,2, Real_Sales[[#This Row],[Price_retail]]&lt;=50,3,Real_Sales[[#This Row],[Price_retail]]&gt;50,4)</f>
        <v>1</v>
      </c>
    </row>
    <row r="26" spans="1:26" x14ac:dyDescent="0.35">
      <c r="A26" s="2" t="s">
        <v>3302</v>
      </c>
      <c r="B26" s="2" t="s">
        <v>3303</v>
      </c>
      <c r="C26" s="2" t="s">
        <v>242</v>
      </c>
      <c r="D26" s="2" t="s">
        <v>470</v>
      </c>
      <c r="E26" s="2" t="s">
        <v>4</v>
      </c>
      <c r="F26" s="2" t="s">
        <v>17</v>
      </c>
      <c r="G26" s="2" t="s">
        <v>67</v>
      </c>
      <c r="H26" s="2" t="s">
        <v>185</v>
      </c>
      <c r="I26" s="2" t="s">
        <v>3390</v>
      </c>
      <c r="J26" s="3">
        <v>8.99</v>
      </c>
      <c r="K26" s="3">
        <v>5.54</v>
      </c>
      <c r="L26" s="2" t="s">
        <v>8</v>
      </c>
      <c r="M26" s="2" t="s">
        <v>9</v>
      </c>
      <c r="N26" s="3">
        <v>451</v>
      </c>
      <c r="O26" s="2" t="s">
        <v>261</v>
      </c>
      <c r="P26" s="2" t="s">
        <v>169</v>
      </c>
      <c r="Q26" s="3"/>
      <c r="R26" s="3"/>
      <c r="S26" s="2" t="s">
        <v>21</v>
      </c>
      <c r="T26" s="4">
        <v>44955</v>
      </c>
      <c r="U26" s="2" t="s">
        <v>3304</v>
      </c>
      <c r="V26" s="6">
        <f>(Real_Sales[[#This Row],[Price_retail]]-Real_Sales[[#This Row],[Price_current]])/Real_Sales[[#This Row],[Price_retail]]</f>
        <v>0.38375973303670746</v>
      </c>
      <c r="W26" s="3" t="str" cm="1">
        <f t="array" ref="W2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6" s="2" t="str">
        <f>IF(Real_Sales[[#This Row],[Price_retail]]&gt;$AC$3,"Premium","Average")</f>
        <v>Average</v>
      </c>
      <c r="Y26" s="2" t="str">
        <f>IF(ISNUMBER(SEARCH("Basic",Real_Sales[[#This Row],[Product_name]])),"Yes","No")</f>
        <v>No</v>
      </c>
      <c r="Z26" s="2" cm="1">
        <f t="array" ref="Z26">_xlfn.IFS(Real_Sales[[#This Row],[Price_retail]]&lt;=15,1, Real_Sales[[#This Row],[Price_retail]]&lt;=30,2, Real_Sales[[#This Row],[Price_retail]]&lt;=50,3,Real_Sales[[#This Row],[Price_retail]]&gt;50,4)</f>
        <v>1</v>
      </c>
    </row>
    <row r="27" spans="1:26" x14ac:dyDescent="0.35">
      <c r="A27" s="2" t="s">
        <v>437</v>
      </c>
      <c r="B27" s="2" t="s">
        <v>438</v>
      </c>
      <c r="C27" s="2" t="s">
        <v>126</v>
      </c>
      <c r="D27" s="2" t="s">
        <v>220</v>
      </c>
      <c r="E27" s="2" t="s">
        <v>4</v>
      </c>
      <c r="F27" s="2" t="s">
        <v>17</v>
      </c>
      <c r="G27" s="2" t="s">
        <v>27</v>
      </c>
      <c r="H27" s="2" t="s">
        <v>139</v>
      </c>
      <c r="I27" s="2" t="s">
        <v>3393</v>
      </c>
      <c r="J27" s="3">
        <v>8.99</v>
      </c>
      <c r="K27" s="3">
        <v>5.64</v>
      </c>
      <c r="L27" s="2" t="s">
        <v>8</v>
      </c>
      <c r="M27" s="2" t="s">
        <v>9</v>
      </c>
      <c r="N27" s="3">
        <v>244</v>
      </c>
      <c r="O27" s="2" t="s">
        <v>287</v>
      </c>
      <c r="P27" s="2" t="s">
        <v>37</v>
      </c>
      <c r="Q27" s="3"/>
      <c r="R27" s="3"/>
      <c r="S27" s="2" t="s">
        <v>12</v>
      </c>
      <c r="T27" s="4">
        <v>44955</v>
      </c>
      <c r="U27" s="2" t="s">
        <v>439</v>
      </c>
      <c r="V27" s="6">
        <f>(Real_Sales[[#This Row],[Price_retail]]-Real_Sales[[#This Row],[Price_current]])/Real_Sales[[#This Row],[Price_retail]]</f>
        <v>0.37263626251390441</v>
      </c>
      <c r="W27" s="3" t="str" cm="1">
        <f t="array" ref="W2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7" s="2" t="str">
        <f>IF(Real_Sales[[#This Row],[Price_retail]]&gt;$AC$3,"Premium","Average")</f>
        <v>Average</v>
      </c>
      <c r="Y27" s="2" t="str">
        <f>IF(ISNUMBER(SEARCH("Basic",Real_Sales[[#This Row],[Product_name]])),"Yes","No")</f>
        <v>No</v>
      </c>
      <c r="Z27" s="2" cm="1">
        <f t="array" ref="Z27">_xlfn.IFS(Real_Sales[[#This Row],[Price_retail]]&lt;=15,1, Real_Sales[[#This Row],[Price_retail]]&lt;=30,2, Real_Sales[[#This Row],[Price_retail]]&lt;=50,3,Real_Sales[[#This Row],[Price_retail]]&gt;50,4)</f>
        <v>1</v>
      </c>
    </row>
    <row r="28" spans="1:26" x14ac:dyDescent="0.35">
      <c r="A28" s="2" t="s">
        <v>2002</v>
      </c>
      <c r="B28" s="2" t="s">
        <v>2003</v>
      </c>
      <c r="C28" s="2" t="s">
        <v>306</v>
      </c>
      <c r="D28" s="2" t="s">
        <v>674</v>
      </c>
      <c r="E28" s="2" t="s">
        <v>4</v>
      </c>
      <c r="F28" s="2" t="s">
        <v>5</v>
      </c>
      <c r="G28" s="2" t="s">
        <v>6</v>
      </c>
      <c r="H28" s="2" t="s">
        <v>333</v>
      </c>
      <c r="I28" s="2" t="s">
        <v>3389</v>
      </c>
      <c r="J28" s="3">
        <v>8.99</v>
      </c>
      <c r="K28" s="3">
        <v>5.65</v>
      </c>
      <c r="L28" s="2" t="s">
        <v>8</v>
      </c>
      <c r="M28" s="2" t="s">
        <v>9</v>
      </c>
      <c r="N28" s="3">
        <v>788</v>
      </c>
      <c r="O28" s="2" t="s">
        <v>267</v>
      </c>
      <c r="P28" s="2" t="s">
        <v>221</v>
      </c>
      <c r="Q28" s="3"/>
      <c r="R28" s="3"/>
      <c r="S28" s="2" t="s">
        <v>12</v>
      </c>
      <c r="T28" s="4">
        <v>44955</v>
      </c>
      <c r="U28" s="2" t="s">
        <v>2004</v>
      </c>
      <c r="V28" s="6">
        <f>(Real_Sales[[#This Row],[Price_retail]]-Real_Sales[[#This Row],[Price_current]])/Real_Sales[[#This Row],[Price_retail]]</f>
        <v>0.371523915461624</v>
      </c>
      <c r="W28" s="3" t="str" cm="1">
        <f t="array" ref="W2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8" s="2" t="str">
        <f>IF(Real_Sales[[#This Row],[Price_retail]]&gt;$AC$3,"Premium","Average")</f>
        <v>Average</v>
      </c>
      <c r="Y28" s="2" t="str">
        <f>IF(ISNUMBER(SEARCH("Basic",Real_Sales[[#This Row],[Product_name]])),"Yes","No")</f>
        <v>No</v>
      </c>
      <c r="Z28" s="2" cm="1">
        <f t="array" ref="Z28">_xlfn.IFS(Real_Sales[[#This Row],[Price_retail]]&lt;=15,1, Real_Sales[[#This Row],[Price_retail]]&lt;=30,2, Real_Sales[[#This Row],[Price_retail]]&lt;=50,3,Real_Sales[[#This Row],[Price_retail]]&gt;50,4)</f>
        <v>1</v>
      </c>
    </row>
    <row r="29" spans="1:26" x14ac:dyDescent="0.35">
      <c r="A29" s="2" t="s">
        <v>3263</v>
      </c>
      <c r="B29" s="2" t="s">
        <v>3264</v>
      </c>
      <c r="C29" s="2" t="s">
        <v>1542</v>
      </c>
      <c r="D29" s="2" t="s">
        <v>2370</v>
      </c>
      <c r="E29" s="2" t="s">
        <v>4</v>
      </c>
      <c r="F29" s="2" t="s">
        <v>5</v>
      </c>
      <c r="G29" s="2" t="s">
        <v>121</v>
      </c>
      <c r="H29" s="2" t="s">
        <v>185</v>
      </c>
      <c r="I29" s="2" t="s">
        <v>3390</v>
      </c>
      <c r="J29" s="3">
        <v>8.99</v>
      </c>
      <c r="K29" s="3">
        <v>5.7</v>
      </c>
      <c r="L29" s="2" t="s">
        <v>8</v>
      </c>
      <c r="M29" s="2" t="s">
        <v>9</v>
      </c>
      <c r="N29" s="3">
        <v>129</v>
      </c>
      <c r="O29" s="2" t="s">
        <v>3392</v>
      </c>
      <c r="P29" s="2" t="s">
        <v>328</v>
      </c>
      <c r="Q29" s="3"/>
      <c r="R29" s="3"/>
      <c r="S29" s="2" t="s">
        <v>21</v>
      </c>
      <c r="T29" s="4">
        <v>44955</v>
      </c>
      <c r="U29" s="2" t="s">
        <v>3265</v>
      </c>
      <c r="V29" s="6">
        <f>(Real_Sales[[#This Row],[Price_retail]]-Real_Sales[[#This Row],[Price_current]])/Real_Sales[[#This Row],[Price_retail]]</f>
        <v>0.36596218020022248</v>
      </c>
      <c r="W29" s="3" t="str" cm="1">
        <f t="array" ref="W2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9" s="2" t="str">
        <f>IF(Real_Sales[[#This Row],[Price_retail]]&gt;$AC$3,"Premium","Average")</f>
        <v>Average</v>
      </c>
      <c r="Y29" s="2" t="str">
        <f>IF(ISNUMBER(SEARCH("Basic",Real_Sales[[#This Row],[Product_name]])),"Yes","No")</f>
        <v>No</v>
      </c>
      <c r="Z29" s="2" cm="1">
        <f t="array" ref="Z29">_xlfn.IFS(Real_Sales[[#This Row],[Price_retail]]&lt;=15,1, Real_Sales[[#This Row],[Price_retail]]&lt;=30,2, Real_Sales[[#This Row],[Price_retail]]&lt;=50,3,Real_Sales[[#This Row],[Price_retail]]&gt;50,4)</f>
        <v>1</v>
      </c>
    </row>
    <row r="30" spans="1:26" x14ac:dyDescent="0.35">
      <c r="A30" s="2" t="s">
        <v>875</v>
      </c>
      <c r="B30" s="2" t="s">
        <v>876</v>
      </c>
      <c r="C30" s="2" t="s">
        <v>3413</v>
      </c>
      <c r="D30" s="2" t="s">
        <v>804</v>
      </c>
      <c r="E30" s="2" t="s">
        <v>4</v>
      </c>
      <c r="F30" s="2" t="s">
        <v>5</v>
      </c>
      <c r="G30" s="2" t="s">
        <v>121</v>
      </c>
      <c r="H30" s="2" t="s">
        <v>19</v>
      </c>
      <c r="I30" s="2" t="s">
        <v>3390</v>
      </c>
      <c r="J30" s="3">
        <v>8.99</v>
      </c>
      <c r="K30" s="3">
        <v>5.81</v>
      </c>
      <c r="L30" s="2" t="s">
        <v>8</v>
      </c>
      <c r="M30" s="2" t="s">
        <v>9</v>
      </c>
      <c r="N30" s="3">
        <v>795</v>
      </c>
      <c r="O30" s="2" t="s">
        <v>267</v>
      </c>
      <c r="P30" s="2" t="s">
        <v>53</v>
      </c>
      <c r="Q30" s="3"/>
      <c r="R30" s="3"/>
      <c r="S30" s="2" t="s">
        <v>12</v>
      </c>
      <c r="T30" s="4">
        <v>44955</v>
      </c>
      <c r="U30" s="2" t="s">
        <v>877</v>
      </c>
      <c r="V30" s="6">
        <f>(Real_Sales[[#This Row],[Price_retail]]-Real_Sales[[#This Row],[Price_current]])/Real_Sales[[#This Row],[Price_retail]]</f>
        <v>0.35372636262513912</v>
      </c>
      <c r="W30" s="3" t="str" cm="1">
        <f t="array" ref="W3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0" s="2" t="str">
        <f>IF(Real_Sales[[#This Row],[Price_retail]]&gt;$AC$3,"Premium","Average")</f>
        <v>Average</v>
      </c>
      <c r="Y30" s="2" t="str">
        <f>IF(ISNUMBER(SEARCH("Basic",Real_Sales[[#This Row],[Product_name]])),"Yes","No")</f>
        <v>No</v>
      </c>
      <c r="Z30" s="2" cm="1">
        <f t="array" ref="Z30">_xlfn.IFS(Real_Sales[[#This Row],[Price_retail]]&lt;=15,1, Real_Sales[[#This Row],[Price_retail]]&lt;=30,2, Real_Sales[[#This Row],[Price_retail]]&lt;=50,3,Real_Sales[[#This Row],[Price_retail]]&gt;50,4)</f>
        <v>1</v>
      </c>
    </row>
    <row r="31" spans="1:26" x14ac:dyDescent="0.35">
      <c r="A31" s="2" t="s">
        <v>356</v>
      </c>
      <c r="B31" s="2" t="s">
        <v>357</v>
      </c>
      <c r="C31" s="2" t="s">
        <v>65</v>
      </c>
      <c r="D31" s="2" t="s">
        <v>358</v>
      </c>
      <c r="E31" s="2" t="s">
        <v>4</v>
      </c>
      <c r="F31" s="2" t="s">
        <v>5</v>
      </c>
      <c r="G31" s="2" t="s">
        <v>6</v>
      </c>
      <c r="H31" s="2" t="s">
        <v>333</v>
      </c>
      <c r="I31" s="2" t="s">
        <v>3395</v>
      </c>
      <c r="J31" s="3">
        <v>8.99</v>
      </c>
      <c r="K31" s="3">
        <v>5.83</v>
      </c>
      <c r="L31" s="2" t="s">
        <v>8</v>
      </c>
      <c r="M31" s="2" t="s">
        <v>9</v>
      </c>
      <c r="N31" s="3">
        <v>533</v>
      </c>
      <c r="O31" s="2" t="s">
        <v>359</v>
      </c>
      <c r="P31" s="2" t="s">
        <v>128</v>
      </c>
      <c r="Q31" s="3"/>
      <c r="R31" s="3"/>
      <c r="S31" s="2" t="s">
        <v>21</v>
      </c>
      <c r="T31" s="4">
        <v>44955</v>
      </c>
      <c r="U31" s="2" t="s">
        <v>360</v>
      </c>
      <c r="V31" s="6">
        <f>(Real_Sales[[#This Row],[Price_retail]]-Real_Sales[[#This Row],[Price_current]])/Real_Sales[[#This Row],[Price_retail]]</f>
        <v>0.3515016685205784</v>
      </c>
      <c r="W31" s="3" t="str" cm="1">
        <f t="array" ref="W3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1" s="2" t="str">
        <f>IF(Real_Sales[[#This Row],[Price_retail]]&gt;$AC$3,"Premium","Average")</f>
        <v>Average</v>
      </c>
      <c r="Y31" s="2" t="str">
        <f>IF(ISNUMBER(SEARCH("Basic",Real_Sales[[#This Row],[Product_name]])),"Yes","No")</f>
        <v>No</v>
      </c>
      <c r="Z31" s="2" cm="1">
        <f t="array" ref="Z31">_xlfn.IFS(Real_Sales[[#This Row],[Price_retail]]&lt;=15,1, Real_Sales[[#This Row],[Price_retail]]&lt;=30,2, Real_Sales[[#This Row],[Price_retail]]&lt;=50,3,Real_Sales[[#This Row],[Price_retail]]&gt;50,4)</f>
        <v>1</v>
      </c>
    </row>
    <row r="32" spans="1:26" x14ac:dyDescent="0.35">
      <c r="A32" s="2" t="s">
        <v>3041</v>
      </c>
      <c r="B32" s="2" t="s">
        <v>3042</v>
      </c>
      <c r="C32" s="2" t="s">
        <v>65</v>
      </c>
      <c r="D32" s="2" t="s">
        <v>490</v>
      </c>
      <c r="E32" s="2" t="s">
        <v>4</v>
      </c>
      <c r="F32" s="2" t="s">
        <v>17</v>
      </c>
      <c r="G32" s="2" t="s">
        <v>27</v>
      </c>
      <c r="H32" s="2" t="s">
        <v>185</v>
      </c>
      <c r="I32" s="2" t="s">
        <v>3390</v>
      </c>
      <c r="J32" s="3">
        <v>8.99</v>
      </c>
      <c r="K32" s="3">
        <v>5.83</v>
      </c>
      <c r="L32" s="2" t="s">
        <v>8</v>
      </c>
      <c r="M32" s="2" t="s">
        <v>9</v>
      </c>
      <c r="N32" s="3">
        <v>933</v>
      </c>
      <c r="O32" s="2" t="s">
        <v>261</v>
      </c>
      <c r="P32" s="2" t="s">
        <v>3392</v>
      </c>
      <c r="Q32" s="3"/>
      <c r="R32" s="3"/>
      <c r="S32" s="2" t="s">
        <v>12</v>
      </c>
      <c r="T32" s="4">
        <v>44955</v>
      </c>
      <c r="U32" s="2" t="s">
        <v>3043</v>
      </c>
      <c r="V32" s="6">
        <f>(Real_Sales[[#This Row],[Price_retail]]-Real_Sales[[#This Row],[Price_current]])/Real_Sales[[#This Row],[Price_retail]]</f>
        <v>0.3515016685205784</v>
      </c>
      <c r="W32" s="3" t="str" cm="1">
        <f t="array" ref="W3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" s="2" t="str">
        <f>IF(Real_Sales[[#This Row],[Price_retail]]&gt;$AC$3,"Premium","Average")</f>
        <v>Average</v>
      </c>
      <c r="Y32" s="2" t="str">
        <f>IF(ISNUMBER(SEARCH("Basic",Real_Sales[[#This Row],[Product_name]])),"Yes","No")</f>
        <v>No</v>
      </c>
      <c r="Z32" s="2" cm="1">
        <f t="array" ref="Z32">_xlfn.IFS(Real_Sales[[#This Row],[Price_retail]]&lt;=15,1, Real_Sales[[#This Row],[Price_retail]]&lt;=30,2, Real_Sales[[#This Row],[Price_retail]]&lt;=50,3,Real_Sales[[#This Row],[Price_retail]]&gt;50,4)</f>
        <v>1</v>
      </c>
    </row>
    <row r="33" spans="1:26" x14ac:dyDescent="0.35">
      <c r="A33" s="2" t="s">
        <v>2429</v>
      </c>
      <c r="B33" s="2" t="s">
        <v>2430</v>
      </c>
      <c r="C33" s="2" t="s">
        <v>3433</v>
      </c>
      <c r="D33" s="2" t="s">
        <v>363</v>
      </c>
      <c r="E33" s="2" t="s">
        <v>4</v>
      </c>
      <c r="F33" s="2" t="s">
        <v>17</v>
      </c>
      <c r="G33" s="2" t="s">
        <v>18</v>
      </c>
      <c r="H33" s="2" t="s">
        <v>59</v>
      </c>
      <c r="I33" s="2" t="s">
        <v>3393</v>
      </c>
      <c r="J33" s="3">
        <v>8.99</v>
      </c>
      <c r="K33" s="3">
        <v>5.86</v>
      </c>
      <c r="L33" s="2" t="s">
        <v>8</v>
      </c>
      <c r="M33" s="2" t="s">
        <v>9</v>
      </c>
      <c r="N33" s="3">
        <v>565</v>
      </c>
      <c r="O33" s="2" t="s">
        <v>91</v>
      </c>
      <c r="P33" s="2" t="s">
        <v>70</v>
      </c>
      <c r="Q33" s="3"/>
      <c r="R33" s="3"/>
      <c r="S33" s="2" t="s">
        <v>21</v>
      </c>
      <c r="T33" s="4">
        <v>44955</v>
      </c>
      <c r="U33" s="2" t="s">
        <v>2431</v>
      </c>
      <c r="V33" s="6">
        <f>(Real_Sales[[#This Row],[Price_retail]]-Real_Sales[[#This Row],[Price_current]])/Real_Sales[[#This Row],[Price_retail]]</f>
        <v>0.34816462736373749</v>
      </c>
      <c r="W33" s="3" t="str" cm="1">
        <f t="array" ref="W3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3" s="2" t="str">
        <f>IF(Real_Sales[[#This Row],[Price_retail]]&gt;$AC$3,"Premium","Average")</f>
        <v>Average</v>
      </c>
      <c r="Y33" s="2" t="str">
        <f>IF(ISNUMBER(SEARCH("Basic",Real_Sales[[#This Row],[Product_name]])),"Yes","No")</f>
        <v>No</v>
      </c>
      <c r="Z33" s="2" cm="1">
        <f t="array" ref="Z33">_xlfn.IFS(Real_Sales[[#This Row],[Price_retail]]&lt;=15,1, Real_Sales[[#This Row],[Price_retail]]&lt;=30,2, Real_Sales[[#This Row],[Price_retail]]&lt;=50,3,Real_Sales[[#This Row],[Price_retail]]&gt;50,4)</f>
        <v>1</v>
      </c>
    </row>
    <row r="34" spans="1:26" x14ac:dyDescent="0.35">
      <c r="A34" s="2" t="s">
        <v>3095</v>
      </c>
      <c r="B34" s="2" t="s">
        <v>3096</v>
      </c>
      <c r="C34" s="2" t="s">
        <v>2179</v>
      </c>
      <c r="D34" s="2" t="s">
        <v>1060</v>
      </c>
      <c r="E34" s="2" t="s">
        <v>4</v>
      </c>
      <c r="F34" s="2" t="s">
        <v>17</v>
      </c>
      <c r="G34" s="2" t="s">
        <v>67</v>
      </c>
      <c r="H34" s="2" t="s">
        <v>418</v>
      </c>
      <c r="I34" s="2" t="s">
        <v>3390</v>
      </c>
      <c r="J34" s="3">
        <v>8.99</v>
      </c>
      <c r="K34" s="3">
        <v>5.86</v>
      </c>
      <c r="L34" s="2" t="s">
        <v>8</v>
      </c>
      <c r="M34" s="2" t="s">
        <v>9</v>
      </c>
      <c r="N34" s="3">
        <v>883</v>
      </c>
      <c r="O34" s="2" t="s">
        <v>267</v>
      </c>
      <c r="P34" s="2" t="s">
        <v>128</v>
      </c>
      <c r="Q34" s="3"/>
      <c r="R34" s="3"/>
      <c r="S34" s="2" t="s">
        <v>21</v>
      </c>
      <c r="T34" s="4">
        <v>44955</v>
      </c>
      <c r="U34" s="2" t="s">
        <v>3097</v>
      </c>
      <c r="V34" s="6">
        <f>(Real_Sales[[#This Row],[Price_retail]]-Real_Sales[[#This Row],[Price_current]])/Real_Sales[[#This Row],[Price_retail]]</f>
        <v>0.34816462736373749</v>
      </c>
      <c r="W34" s="3" t="str" cm="1">
        <f t="array" ref="W3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4" s="2" t="str">
        <f>IF(Real_Sales[[#This Row],[Price_retail]]&gt;$AC$3,"Premium","Average")</f>
        <v>Average</v>
      </c>
      <c r="Y34" s="2" t="str">
        <f>IF(ISNUMBER(SEARCH("Basic",Real_Sales[[#This Row],[Product_name]])),"Yes","No")</f>
        <v>No</v>
      </c>
      <c r="Z34" s="2" cm="1">
        <f t="array" ref="Z34">_xlfn.IFS(Real_Sales[[#This Row],[Price_retail]]&lt;=15,1, Real_Sales[[#This Row],[Price_retail]]&lt;=30,2, Real_Sales[[#This Row],[Price_retail]]&lt;=50,3,Real_Sales[[#This Row],[Price_retail]]&gt;50,4)</f>
        <v>1</v>
      </c>
    </row>
    <row r="35" spans="1:26" x14ac:dyDescent="0.35">
      <c r="A35" s="2" t="s">
        <v>1370</v>
      </c>
      <c r="B35" s="2" t="s">
        <v>1371</v>
      </c>
      <c r="C35" s="2" t="s">
        <v>1372</v>
      </c>
      <c r="D35" s="2" t="s">
        <v>704</v>
      </c>
      <c r="E35" s="2" t="s">
        <v>4</v>
      </c>
      <c r="F35" s="2" t="s">
        <v>17</v>
      </c>
      <c r="G35" s="2" t="s">
        <v>67</v>
      </c>
      <c r="H35" s="2" t="s">
        <v>51</v>
      </c>
      <c r="I35" s="2" t="s">
        <v>3395</v>
      </c>
      <c r="J35" s="3">
        <v>8.99</v>
      </c>
      <c r="K35" s="3">
        <v>5.89</v>
      </c>
      <c r="L35" s="2" t="s">
        <v>8</v>
      </c>
      <c r="M35" s="2" t="s">
        <v>9</v>
      </c>
      <c r="N35" s="3">
        <v>269</v>
      </c>
      <c r="O35" s="2" t="s">
        <v>163</v>
      </c>
      <c r="P35" s="2" t="s">
        <v>37</v>
      </c>
      <c r="Q35" s="3"/>
      <c r="R35" s="3"/>
      <c r="S35" s="2" t="s">
        <v>21</v>
      </c>
      <c r="T35" s="4">
        <v>44955</v>
      </c>
      <c r="U35" s="2" t="s">
        <v>1373</v>
      </c>
      <c r="V35" s="6">
        <f>(Real_Sales[[#This Row],[Price_retail]]-Real_Sales[[#This Row],[Price_current]])/Real_Sales[[#This Row],[Price_retail]]</f>
        <v>0.34482758620689663</v>
      </c>
      <c r="W35" s="3" t="str" cm="1">
        <f t="array" ref="W3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" s="2" t="str">
        <f>IF(Real_Sales[[#This Row],[Price_retail]]&gt;$AC$3,"Premium","Average")</f>
        <v>Average</v>
      </c>
      <c r="Y35" s="2" t="str">
        <f>IF(ISNUMBER(SEARCH("Basic",Real_Sales[[#This Row],[Product_name]])),"Yes","No")</f>
        <v>No</v>
      </c>
      <c r="Z35" s="2" cm="1">
        <f t="array" ref="Z35">_xlfn.IFS(Real_Sales[[#This Row],[Price_retail]]&lt;=15,1, Real_Sales[[#This Row],[Price_retail]]&lt;=30,2, Real_Sales[[#This Row],[Price_retail]]&lt;=50,3,Real_Sales[[#This Row],[Price_retail]]&gt;50,4)</f>
        <v>1</v>
      </c>
    </row>
    <row r="36" spans="1:26" x14ac:dyDescent="0.35">
      <c r="A36" s="2" t="s">
        <v>130</v>
      </c>
      <c r="B36" s="2" t="s">
        <v>131</v>
      </c>
      <c r="C36" s="2" t="s">
        <v>132</v>
      </c>
      <c r="D36" s="2" t="s">
        <v>133</v>
      </c>
      <c r="E36" s="2" t="s">
        <v>4</v>
      </c>
      <c r="F36" s="2" t="s">
        <v>17</v>
      </c>
      <c r="G36" s="2" t="s">
        <v>27</v>
      </c>
      <c r="H36" s="2" t="s">
        <v>134</v>
      </c>
      <c r="I36" s="2" t="s">
        <v>3395</v>
      </c>
      <c r="J36" s="3">
        <v>8.99</v>
      </c>
      <c r="K36" s="3">
        <v>5.93</v>
      </c>
      <c r="L36" s="2" t="s">
        <v>8</v>
      </c>
      <c r="M36" s="2" t="s">
        <v>9</v>
      </c>
      <c r="N36" s="3">
        <v>435</v>
      </c>
      <c r="O36" s="2" t="s">
        <v>3392</v>
      </c>
      <c r="P36" s="2" t="s">
        <v>70</v>
      </c>
      <c r="Q36" s="3"/>
      <c r="R36" s="3"/>
      <c r="S36" s="2" t="s">
        <v>21</v>
      </c>
      <c r="T36" s="4">
        <v>44955</v>
      </c>
      <c r="U36" s="2" t="s">
        <v>135</v>
      </c>
      <c r="V36" s="6">
        <f>(Real_Sales[[#This Row],[Price_retail]]-Real_Sales[[#This Row],[Price_current]])/Real_Sales[[#This Row],[Price_retail]]</f>
        <v>0.34037819799777536</v>
      </c>
      <c r="W36" s="3" t="str" cm="1">
        <f t="array" ref="W3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6" s="2" t="str">
        <f>IF(Real_Sales[[#This Row],[Price_retail]]&gt;$AC$3,"Premium","Average")</f>
        <v>Average</v>
      </c>
      <c r="Y36" s="2" t="str">
        <f>IF(ISNUMBER(SEARCH("Basic",Real_Sales[[#This Row],[Product_name]])),"Yes","No")</f>
        <v>No</v>
      </c>
      <c r="Z36" s="2" cm="1">
        <f t="array" ref="Z36">_xlfn.IFS(Real_Sales[[#This Row],[Price_retail]]&lt;=15,1, Real_Sales[[#This Row],[Price_retail]]&lt;=30,2, Real_Sales[[#This Row],[Price_retail]]&lt;=50,3,Real_Sales[[#This Row],[Price_retail]]&gt;50,4)</f>
        <v>1</v>
      </c>
    </row>
    <row r="37" spans="1:26" x14ac:dyDescent="0.35">
      <c r="A37" s="2" t="s">
        <v>3221</v>
      </c>
      <c r="B37" s="2" t="s">
        <v>3222</v>
      </c>
      <c r="C37" s="2" t="s">
        <v>271</v>
      </c>
      <c r="D37" s="2" t="s">
        <v>446</v>
      </c>
      <c r="E37" s="2" t="s">
        <v>4</v>
      </c>
      <c r="F37" s="2" t="s">
        <v>17</v>
      </c>
      <c r="G37" s="2" t="s">
        <v>27</v>
      </c>
      <c r="H37" s="2" t="s">
        <v>145</v>
      </c>
      <c r="I37" s="2" t="s">
        <v>3390</v>
      </c>
      <c r="J37" s="3">
        <v>8.99</v>
      </c>
      <c r="K37" s="3">
        <v>6</v>
      </c>
      <c r="L37" s="2" t="s">
        <v>8</v>
      </c>
      <c r="M37" s="2" t="s">
        <v>9</v>
      </c>
      <c r="N37" s="3">
        <v>984</v>
      </c>
      <c r="O37" s="2" t="s">
        <v>29</v>
      </c>
      <c r="P37" s="2" t="s">
        <v>53</v>
      </c>
      <c r="Q37" s="3"/>
      <c r="R37" s="3"/>
      <c r="S37" s="2" t="s">
        <v>21</v>
      </c>
      <c r="T37" s="4">
        <v>44955</v>
      </c>
      <c r="U37" s="2" t="s">
        <v>3223</v>
      </c>
      <c r="V37" s="6">
        <f>(Real_Sales[[#This Row],[Price_retail]]-Real_Sales[[#This Row],[Price_current]])/Real_Sales[[#This Row],[Price_retail]]</f>
        <v>0.33259176863181317</v>
      </c>
      <c r="W37" s="3" t="str" cm="1">
        <f t="array" ref="W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" s="2" t="str">
        <f>IF(Real_Sales[[#This Row],[Price_retail]]&gt;$AC$3,"Premium","Average")</f>
        <v>Average</v>
      </c>
      <c r="Y37" s="2" t="str">
        <f>IF(ISNUMBER(SEARCH("Basic",Real_Sales[[#This Row],[Product_name]])),"Yes","No")</f>
        <v>Yes</v>
      </c>
      <c r="Z37" s="2" cm="1">
        <f t="array" ref="Z37">_xlfn.IFS(Real_Sales[[#This Row],[Price_retail]]&lt;=15,1, Real_Sales[[#This Row],[Price_retail]]&lt;=30,2, Real_Sales[[#This Row],[Price_retail]]&lt;=50,3,Real_Sales[[#This Row],[Price_retail]]&gt;50,4)</f>
        <v>1</v>
      </c>
    </row>
    <row r="38" spans="1:26" x14ac:dyDescent="0.35">
      <c r="A38" s="2" t="s">
        <v>951</v>
      </c>
      <c r="B38" s="2" t="s">
        <v>952</v>
      </c>
      <c r="C38" s="2" t="s">
        <v>412</v>
      </c>
      <c r="D38" s="2" t="s">
        <v>279</v>
      </c>
      <c r="E38" s="2" t="s">
        <v>4</v>
      </c>
      <c r="F38" s="2" t="s">
        <v>17</v>
      </c>
      <c r="G38" s="2" t="s">
        <v>50</v>
      </c>
      <c r="H38" s="2" t="s">
        <v>28</v>
      </c>
      <c r="I38" s="2" t="s">
        <v>3393</v>
      </c>
      <c r="J38" s="3">
        <v>8.99</v>
      </c>
      <c r="K38" s="3">
        <v>6.02</v>
      </c>
      <c r="L38" s="2" t="s">
        <v>8</v>
      </c>
      <c r="M38" s="2" t="s">
        <v>9</v>
      </c>
      <c r="N38" s="3">
        <v>400</v>
      </c>
      <c r="O38" s="2" t="s">
        <v>140</v>
      </c>
      <c r="P38" s="2" t="s">
        <v>30</v>
      </c>
      <c r="Q38" s="3"/>
      <c r="R38" s="3"/>
      <c r="S38" s="2" t="s">
        <v>12</v>
      </c>
      <c r="T38" s="4">
        <v>44955</v>
      </c>
      <c r="U38" s="2" t="s">
        <v>953</v>
      </c>
      <c r="V38" s="6">
        <f>(Real_Sales[[#This Row],[Price_retail]]-Real_Sales[[#This Row],[Price_current]])/Real_Sales[[#This Row],[Price_retail]]</f>
        <v>0.33036707452725256</v>
      </c>
      <c r="W38" s="3" t="str" cm="1">
        <f t="array" ref="W3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8" s="2" t="str">
        <f>IF(Real_Sales[[#This Row],[Price_retail]]&gt;$AC$3,"Premium","Average")</f>
        <v>Average</v>
      </c>
      <c r="Y38" s="2" t="str">
        <f>IF(ISNUMBER(SEARCH("Basic",Real_Sales[[#This Row],[Product_name]])),"Yes","No")</f>
        <v>No</v>
      </c>
      <c r="Z38" s="2" cm="1">
        <f t="array" ref="Z38">_xlfn.IFS(Real_Sales[[#This Row],[Price_retail]]&lt;=15,1, Real_Sales[[#This Row],[Price_retail]]&lt;=30,2, Real_Sales[[#This Row],[Price_retail]]&lt;=50,3,Real_Sales[[#This Row],[Price_retail]]&gt;50,4)</f>
        <v>1</v>
      </c>
    </row>
    <row r="39" spans="1:26" x14ac:dyDescent="0.35">
      <c r="A39" s="2" t="s">
        <v>217</v>
      </c>
      <c r="B39" s="2" t="s">
        <v>218</v>
      </c>
      <c r="C39" s="2" t="s">
        <v>219</v>
      </c>
      <c r="D39" s="2" t="s">
        <v>220</v>
      </c>
      <c r="E39" s="2" t="s">
        <v>4</v>
      </c>
      <c r="F39" s="2" t="s">
        <v>17</v>
      </c>
      <c r="G39" s="2" t="s">
        <v>27</v>
      </c>
      <c r="H39" s="2" t="s">
        <v>139</v>
      </c>
      <c r="I39" s="2" t="s">
        <v>3393</v>
      </c>
      <c r="J39" s="3">
        <v>8.99</v>
      </c>
      <c r="K39" s="3">
        <v>6.41</v>
      </c>
      <c r="L39" s="2" t="s">
        <v>8</v>
      </c>
      <c r="M39" s="2" t="s">
        <v>9</v>
      </c>
      <c r="N39" s="3">
        <v>922</v>
      </c>
      <c r="O39" s="2" t="s">
        <v>52</v>
      </c>
      <c r="P39" s="2" t="s">
        <v>221</v>
      </c>
      <c r="Q39" s="3"/>
      <c r="R39" s="3"/>
      <c r="S39" s="2" t="s">
        <v>21</v>
      </c>
      <c r="T39" s="4">
        <v>44955</v>
      </c>
      <c r="U39" s="2" t="s">
        <v>222</v>
      </c>
      <c r="V39" s="6">
        <f>(Real_Sales[[#This Row],[Price_retail]]-Real_Sales[[#This Row],[Price_current]])/Real_Sales[[#This Row],[Price_retail]]</f>
        <v>0.28698553948832034</v>
      </c>
      <c r="W39" s="3" t="str" cm="1">
        <f t="array" ref="W3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9" s="2" t="str">
        <f>IF(Real_Sales[[#This Row],[Price_retail]]&gt;$AC$3,"Premium","Average")</f>
        <v>Average</v>
      </c>
      <c r="Y39" s="2" t="str">
        <f>IF(ISNUMBER(SEARCH("Basic",Real_Sales[[#This Row],[Product_name]])),"Yes","No")</f>
        <v>No</v>
      </c>
      <c r="Z39" s="2" cm="1">
        <f t="array" ref="Z39">_xlfn.IFS(Real_Sales[[#This Row],[Price_retail]]&lt;=15,1, Real_Sales[[#This Row],[Price_retail]]&lt;=30,2, Real_Sales[[#This Row],[Price_retail]]&lt;=50,3,Real_Sales[[#This Row],[Price_retail]]&gt;50,4)</f>
        <v>1</v>
      </c>
    </row>
    <row r="40" spans="1:26" x14ac:dyDescent="0.35">
      <c r="A40" s="2" t="s">
        <v>410</v>
      </c>
      <c r="B40" s="2" t="s">
        <v>411</v>
      </c>
      <c r="C40" s="2" t="s">
        <v>412</v>
      </c>
      <c r="D40" s="2" t="s">
        <v>413</v>
      </c>
      <c r="E40" s="2" t="s">
        <v>4</v>
      </c>
      <c r="F40" s="2" t="s">
        <v>17</v>
      </c>
      <c r="G40" s="2" t="s">
        <v>27</v>
      </c>
      <c r="H40" s="2" t="s">
        <v>19</v>
      </c>
      <c r="I40" s="2" t="s">
        <v>3390</v>
      </c>
      <c r="J40" s="3">
        <v>8.99</v>
      </c>
      <c r="K40" s="3">
        <v>6.41</v>
      </c>
      <c r="L40" s="2" t="s">
        <v>8</v>
      </c>
      <c r="M40" s="2" t="s">
        <v>9</v>
      </c>
      <c r="N40" s="3">
        <v>671</v>
      </c>
      <c r="O40" s="2" t="s">
        <v>3392</v>
      </c>
      <c r="P40" s="2" t="s">
        <v>221</v>
      </c>
      <c r="Q40" s="3"/>
      <c r="R40" s="3"/>
      <c r="S40" s="2" t="s">
        <v>12</v>
      </c>
      <c r="T40" s="4">
        <v>44955</v>
      </c>
      <c r="U40" s="2" t="s">
        <v>414</v>
      </c>
      <c r="V40" s="6">
        <f>(Real_Sales[[#This Row],[Price_retail]]-Real_Sales[[#This Row],[Price_current]])/Real_Sales[[#This Row],[Price_retail]]</f>
        <v>0.28698553948832034</v>
      </c>
      <c r="W40" s="3" t="str" cm="1">
        <f t="array" ref="W4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0" s="2" t="str">
        <f>IF(Real_Sales[[#This Row],[Price_retail]]&gt;$AC$3,"Premium","Average")</f>
        <v>Average</v>
      </c>
      <c r="Y40" s="2" t="str">
        <f>IF(ISNUMBER(SEARCH("Basic",Real_Sales[[#This Row],[Product_name]])),"Yes","No")</f>
        <v>No</v>
      </c>
      <c r="Z40" s="2" cm="1">
        <f t="array" ref="Z40">_xlfn.IFS(Real_Sales[[#This Row],[Price_retail]]&lt;=15,1, Real_Sales[[#This Row],[Price_retail]]&lt;=30,2, Real_Sales[[#This Row],[Price_retail]]&lt;=50,3,Real_Sales[[#This Row],[Price_retail]]&gt;50,4)</f>
        <v>1</v>
      </c>
    </row>
    <row r="41" spans="1:26" x14ac:dyDescent="0.35">
      <c r="A41" s="2" t="s">
        <v>1653</v>
      </c>
      <c r="B41" s="2" t="s">
        <v>1654</v>
      </c>
      <c r="C41" s="2" t="s">
        <v>65</v>
      </c>
      <c r="D41" s="2" t="s">
        <v>388</v>
      </c>
      <c r="E41" s="2" t="s">
        <v>4</v>
      </c>
      <c r="F41" s="2" t="s">
        <v>17</v>
      </c>
      <c r="G41" s="2" t="s">
        <v>67</v>
      </c>
      <c r="H41" s="2" t="s">
        <v>168</v>
      </c>
      <c r="I41" s="2" t="s">
        <v>3393</v>
      </c>
      <c r="J41" s="3">
        <v>8.99</v>
      </c>
      <c r="K41" s="3">
        <v>6.41</v>
      </c>
      <c r="L41" s="2" t="s">
        <v>8</v>
      </c>
      <c r="M41" s="2" t="s">
        <v>9</v>
      </c>
      <c r="N41" s="3">
        <v>523</v>
      </c>
      <c r="O41" s="2" t="s">
        <v>104</v>
      </c>
      <c r="P41" s="2" t="s">
        <v>76</v>
      </c>
      <c r="Q41" s="3"/>
      <c r="R41" s="3"/>
      <c r="S41" s="2" t="s">
        <v>21</v>
      </c>
      <c r="T41" s="4">
        <v>44955</v>
      </c>
      <c r="U41" s="2" t="s">
        <v>1655</v>
      </c>
      <c r="V41" s="6">
        <f>(Real_Sales[[#This Row],[Price_retail]]-Real_Sales[[#This Row],[Price_current]])/Real_Sales[[#This Row],[Price_retail]]</f>
        <v>0.28698553948832034</v>
      </c>
      <c r="W41" s="3" t="str" cm="1">
        <f t="array" ref="W4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1" s="2" t="str">
        <f>IF(Real_Sales[[#This Row],[Price_retail]]&gt;$AC$3,"Premium","Average")</f>
        <v>Average</v>
      </c>
      <c r="Y41" s="2" t="str">
        <f>IF(ISNUMBER(SEARCH("Basic",Real_Sales[[#This Row],[Product_name]])),"Yes","No")</f>
        <v>No</v>
      </c>
      <c r="Z41" s="2" cm="1">
        <f t="array" ref="Z41">_xlfn.IFS(Real_Sales[[#This Row],[Price_retail]]&lt;=15,1, Real_Sales[[#This Row],[Price_retail]]&lt;=30,2, Real_Sales[[#This Row],[Price_retail]]&lt;=50,3,Real_Sales[[#This Row],[Price_retail]]&gt;50,4)</f>
        <v>1</v>
      </c>
    </row>
    <row r="42" spans="1:26" x14ac:dyDescent="0.35">
      <c r="A42" s="2" t="s">
        <v>2184</v>
      </c>
      <c r="B42" s="2" t="s">
        <v>2185</v>
      </c>
      <c r="C42" s="2" t="s">
        <v>3396</v>
      </c>
      <c r="D42" s="2" t="s">
        <v>1050</v>
      </c>
      <c r="E42" s="2" t="s">
        <v>4</v>
      </c>
      <c r="F42" s="2" t="s">
        <v>5</v>
      </c>
      <c r="G42" s="2" t="s">
        <v>121</v>
      </c>
      <c r="H42" s="2" t="s">
        <v>68</v>
      </c>
      <c r="I42" s="2" t="s">
        <v>3393</v>
      </c>
      <c r="J42" s="3">
        <v>8.99</v>
      </c>
      <c r="K42" s="3">
        <v>6.46</v>
      </c>
      <c r="L42" s="2" t="s">
        <v>8</v>
      </c>
      <c r="M42" s="2" t="s">
        <v>9</v>
      </c>
      <c r="N42" s="3">
        <v>970</v>
      </c>
      <c r="O42" s="2" t="s">
        <v>52</v>
      </c>
      <c r="P42" s="2" t="s">
        <v>192</v>
      </c>
      <c r="Q42" s="3"/>
      <c r="R42" s="3"/>
      <c r="S42" s="2" t="s">
        <v>12</v>
      </c>
      <c r="T42" s="4">
        <v>44955</v>
      </c>
      <c r="U42" s="2" t="s">
        <v>2186</v>
      </c>
      <c r="V42" s="6">
        <f>(Real_Sales[[#This Row],[Price_retail]]-Real_Sales[[#This Row],[Price_current]])/Real_Sales[[#This Row],[Price_retail]]</f>
        <v>0.28142380422691882</v>
      </c>
      <c r="W42" s="3" t="str" cm="1">
        <f t="array" ref="W4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" s="2" t="str">
        <f>IF(Real_Sales[[#This Row],[Price_retail]]&gt;$AC$3,"Premium","Average")</f>
        <v>Average</v>
      </c>
      <c r="Y42" s="2" t="str">
        <f>IF(ISNUMBER(SEARCH("Basic",Real_Sales[[#This Row],[Product_name]])),"Yes","No")</f>
        <v>Yes</v>
      </c>
      <c r="Z42" s="2" cm="1">
        <f t="array" ref="Z42">_xlfn.IFS(Real_Sales[[#This Row],[Price_retail]]&lt;=15,1, Real_Sales[[#This Row],[Price_retail]]&lt;=30,2, Real_Sales[[#This Row],[Price_retail]]&lt;=50,3,Real_Sales[[#This Row],[Price_retail]]&gt;50,4)</f>
        <v>1</v>
      </c>
    </row>
    <row r="43" spans="1:26" x14ac:dyDescent="0.35">
      <c r="A43" s="2" t="s">
        <v>2550</v>
      </c>
      <c r="B43" s="2" t="s">
        <v>2551</v>
      </c>
      <c r="C43" s="2" t="s">
        <v>3417</v>
      </c>
      <c r="D43" s="2" t="s">
        <v>804</v>
      </c>
      <c r="E43" s="2" t="s">
        <v>4</v>
      </c>
      <c r="F43" s="2" t="s">
        <v>5</v>
      </c>
      <c r="G43" s="2" t="s">
        <v>82</v>
      </c>
      <c r="H43" s="2" t="s">
        <v>19</v>
      </c>
      <c r="I43" s="2" t="s">
        <v>3395</v>
      </c>
      <c r="J43" s="3">
        <v>8.99</v>
      </c>
      <c r="K43" s="3">
        <v>6.47</v>
      </c>
      <c r="L43" s="2" t="s">
        <v>8</v>
      </c>
      <c r="M43" s="2" t="s">
        <v>9</v>
      </c>
      <c r="N43" s="3">
        <v>930</v>
      </c>
      <c r="O43" s="2" t="s">
        <v>261</v>
      </c>
      <c r="P43" s="2" t="s">
        <v>76</v>
      </c>
      <c r="Q43" s="3"/>
      <c r="R43" s="3"/>
      <c r="S43" s="2" t="s">
        <v>12</v>
      </c>
      <c r="T43" s="4">
        <v>44955</v>
      </c>
      <c r="U43" s="2" t="s">
        <v>2552</v>
      </c>
      <c r="V43" s="6">
        <f>(Real_Sales[[#This Row],[Price_retail]]-Real_Sales[[#This Row],[Price_current]])/Real_Sales[[#This Row],[Price_retail]]</f>
        <v>0.28031145717463851</v>
      </c>
      <c r="W43" s="3" t="str" cm="1">
        <f t="array" ref="W4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" s="2" t="str">
        <f>IF(Real_Sales[[#This Row],[Price_retail]]&gt;$AC$3,"Premium","Average")</f>
        <v>Average</v>
      </c>
      <c r="Y43" s="2" t="str">
        <f>IF(ISNUMBER(SEARCH("Basic",Real_Sales[[#This Row],[Product_name]])),"Yes","No")</f>
        <v>No</v>
      </c>
      <c r="Z43" s="2" cm="1">
        <f t="array" ref="Z43">_xlfn.IFS(Real_Sales[[#This Row],[Price_retail]]&lt;=15,1, Real_Sales[[#This Row],[Price_retail]]&lt;=30,2, Real_Sales[[#This Row],[Price_retail]]&lt;=50,3,Real_Sales[[#This Row],[Price_retail]]&gt;50,4)</f>
        <v>1</v>
      </c>
    </row>
    <row r="44" spans="1:26" x14ac:dyDescent="0.35">
      <c r="A44" s="2" t="s">
        <v>1283</v>
      </c>
      <c r="B44" s="2" t="s">
        <v>1284</v>
      </c>
      <c r="C44" s="2" t="s">
        <v>454</v>
      </c>
      <c r="D44" s="2" t="s">
        <v>1285</v>
      </c>
      <c r="E44" s="2" t="s">
        <v>4</v>
      </c>
      <c r="F44" s="2" t="s">
        <v>17</v>
      </c>
      <c r="G44" s="2" t="s">
        <v>50</v>
      </c>
      <c r="H44" s="2" t="s">
        <v>134</v>
      </c>
      <c r="I44" s="2" t="s">
        <v>3393</v>
      </c>
      <c r="J44" s="3">
        <v>8.99</v>
      </c>
      <c r="K44" s="3">
        <v>6.5</v>
      </c>
      <c r="L44" s="2" t="s">
        <v>8</v>
      </c>
      <c r="M44" s="2" t="s">
        <v>9</v>
      </c>
      <c r="N44" s="3">
        <v>527</v>
      </c>
      <c r="O44" s="2" t="s">
        <v>287</v>
      </c>
      <c r="P44" s="2" t="s">
        <v>37</v>
      </c>
      <c r="Q44" s="3"/>
      <c r="R44" s="3"/>
      <c r="S44" s="2" t="s">
        <v>21</v>
      </c>
      <c r="T44" s="4">
        <v>44955</v>
      </c>
      <c r="U44" s="2" t="s">
        <v>1286</v>
      </c>
      <c r="V44" s="6">
        <f>(Real_Sales[[#This Row],[Price_retail]]-Real_Sales[[#This Row],[Price_current]])/Real_Sales[[#This Row],[Price_retail]]</f>
        <v>0.27697441601779754</v>
      </c>
      <c r="W44" s="3" t="str" cm="1">
        <f t="array" ref="W4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" s="2" t="str">
        <f>IF(Real_Sales[[#This Row],[Price_retail]]&gt;$AC$3,"Premium","Average")</f>
        <v>Average</v>
      </c>
      <c r="Y44" s="2" t="str">
        <f>IF(ISNUMBER(SEARCH("Basic",Real_Sales[[#This Row],[Product_name]])),"Yes","No")</f>
        <v>Yes</v>
      </c>
      <c r="Z44" s="2" cm="1">
        <f t="array" ref="Z44">_xlfn.IFS(Real_Sales[[#This Row],[Price_retail]]&lt;=15,1, Real_Sales[[#This Row],[Price_retail]]&lt;=30,2, Real_Sales[[#This Row],[Price_retail]]&lt;=50,3,Real_Sales[[#This Row],[Price_retail]]&gt;50,4)</f>
        <v>1</v>
      </c>
    </row>
    <row r="45" spans="1:26" x14ac:dyDescent="0.35">
      <c r="A45" s="2" t="s">
        <v>2147</v>
      </c>
      <c r="B45" s="2" t="s">
        <v>2148</v>
      </c>
      <c r="C45" s="2" t="s">
        <v>65</v>
      </c>
      <c r="D45" s="2" t="s">
        <v>711</v>
      </c>
      <c r="E45" s="2" t="s">
        <v>4</v>
      </c>
      <c r="F45" s="2" t="s">
        <v>17</v>
      </c>
      <c r="G45" s="2" t="s">
        <v>27</v>
      </c>
      <c r="H45" s="2" t="s">
        <v>83</v>
      </c>
      <c r="I45" s="2" t="s">
        <v>3395</v>
      </c>
      <c r="J45" s="3">
        <v>8.99</v>
      </c>
      <c r="K45" s="3">
        <v>6.53</v>
      </c>
      <c r="L45" s="2" t="s">
        <v>8</v>
      </c>
      <c r="M45" s="2" t="s">
        <v>9</v>
      </c>
      <c r="N45" s="3">
        <v>744</v>
      </c>
      <c r="O45" s="2" t="s">
        <v>347</v>
      </c>
      <c r="P45" s="2" t="s">
        <v>3392</v>
      </c>
      <c r="Q45" s="3"/>
      <c r="R45" s="3"/>
      <c r="S45" s="2" t="s">
        <v>21</v>
      </c>
      <c r="T45" s="4">
        <v>44955</v>
      </c>
      <c r="U45" s="2" t="s">
        <v>2149</v>
      </c>
      <c r="V45" s="6">
        <f>(Real_Sales[[#This Row],[Price_retail]]-Real_Sales[[#This Row],[Price_current]])/Real_Sales[[#This Row],[Price_retail]]</f>
        <v>0.27363737486095663</v>
      </c>
      <c r="W45" s="3" t="str" cm="1">
        <f t="array" ref="W4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5" s="2" t="str">
        <f>IF(Real_Sales[[#This Row],[Price_retail]]&gt;$AC$3,"Premium","Average")</f>
        <v>Average</v>
      </c>
      <c r="Y45" s="2" t="str">
        <f>IF(ISNUMBER(SEARCH("Basic",Real_Sales[[#This Row],[Product_name]])),"Yes","No")</f>
        <v>No</v>
      </c>
      <c r="Z45" s="2" cm="1">
        <f t="array" ref="Z45">_xlfn.IFS(Real_Sales[[#This Row],[Price_retail]]&lt;=15,1, Real_Sales[[#This Row],[Price_retail]]&lt;=30,2, Real_Sales[[#This Row],[Price_retail]]&lt;=50,3,Real_Sales[[#This Row],[Price_retail]]&gt;50,4)</f>
        <v>1</v>
      </c>
    </row>
    <row r="46" spans="1:26" x14ac:dyDescent="0.35">
      <c r="A46" s="2" t="s">
        <v>635</v>
      </c>
      <c r="B46" s="2" t="s">
        <v>636</v>
      </c>
      <c r="C46" s="2" t="s">
        <v>41</v>
      </c>
      <c r="D46" s="2" t="s">
        <v>144</v>
      </c>
      <c r="E46" s="2" t="s">
        <v>4</v>
      </c>
      <c r="F46" s="2" t="s">
        <v>17</v>
      </c>
      <c r="G46" s="2" t="s">
        <v>50</v>
      </c>
      <c r="H46" s="2" t="s">
        <v>145</v>
      </c>
      <c r="I46" s="2" t="s">
        <v>3390</v>
      </c>
      <c r="J46" s="3">
        <v>8.99</v>
      </c>
      <c r="K46" s="3">
        <v>6.55</v>
      </c>
      <c r="L46" s="2" t="s">
        <v>8</v>
      </c>
      <c r="M46" s="2" t="s">
        <v>9</v>
      </c>
      <c r="N46" s="3">
        <v>323</v>
      </c>
      <c r="O46" s="2" t="s">
        <v>91</v>
      </c>
      <c r="P46" s="2" t="s">
        <v>11</v>
      </c>
      <c r="Q46" s="3"/>
      <c r="R46" s="3"/>
      <c r="S46" s="2" t="s">
        <v>21</v>
      </c>
      <c r="T46" s="4">
        <v>44955</v>
      </c>
      <c r="U46" s="2" t="s">
        <v>637</v>
      </c>
      <c r="V46" s="6">
        <f>(Real_Sales[[#This Row],[Price_retail]]-Real_Sales[[#This Row],[Price_current]])/Real_Sales[[#This Row],[Price_retail]]</f>
        <v>0.27141268075639602</v>
      </c>
      <c r="W46" s="3" t="str" cm="1">
        <f t="array" ref="W4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6" s="2" t="str">
        <f>IF(Real_Sales[[#This Row],[Price_retail]]&gt;$AC$3,"Premium","Average")</f>
        <v>Average</v>
      </c>
      <c r="Y46" s="2" t="str">
        <f>IF(ISNUMBER(SEARCH("Basic",Real_Sales[[#This Row],[Product_name]])),"Yes","No")</f>
        <v>No</v>
      </c>
      <c r="Z46" s="2" cm="1">
        <f t="array" ref="Z46">_xlfn.IFS(Real_Sales[[#This Row],[Price_retail]]&lt;=15,1, Real_Sales[[#This Row],[Price_retail]]&lt;=30,2, Real_Sales[[#This Row],[Price_retail]]&lt;=50,3,Real_Sales[[#This Row],[Price_retail]]&gt;50,4)</f>
        <v>1</v>
      </c>
    </row>
    <row r="47" spans="1:26" x14ac:dyDescent="0.35">
      <c r="A47" s="2" t="s">
        <v>250</v>
      </c>
      <c r="B47" s="2" t="s">
        <v>251</v>
      </c>
      <c r="C47" s="2" t="s">
        <v>252</v>
      </c>
      <c r="D47" s="2" t="s">
        <v>253</v>
      </c>
      <c r="E47" s="2" t="s">
        <v>4</v>
      </c>
      <c r="F47" s="2" t="s">
        <v>5</v>
      </c>
      <c r="G47" s="2" t="s">
        <v>6</v>
      </c>
      <c r="H47" s="2" t="s">
        <v>35</v>
      </c>
      <c r="I47" s="2" t="s">
        <v>3395</v>
      </c>
      <c r="J47" s="3">
        <v>8.99</v>
      </c>
      <c r="K47" s="3">
        <v>6.57</v>
      </c>
      <c r="L47" s="2" t="s">
        <v>8</v>
      </c>
      <c r="M47" s="2" t="s">
        <v>9</v>
      </c>
      <c r="N47" s="3">
        <v>37</v>
      </c>
      <c r="O47" s="2" t="s">
        <v>3392</v>
      </c>
      <c r="P47" s="2" t="s">
        <v>254</v>
      </c>
      <c r="Q47" s="3"/>
      <c r="R47" s="3"/>
      <c r="S47" s="2" t="s">
        <v>21</v>
      </c>
      <c r="T47" s="4">
        <v>44955</v>
      </c>
      <c r="U47" s="2" t="s">
        <v>255</v>
      </c>
      <c r="V47" s="6">
        <f>(Real_Sales[[#This Row],[Price_retail]]-Real_Sales[[#This Row],[Price_current]])/Real_Sales[[#This Row],[Price_retail]]</f>
        <v>0.26918798665183535</v>
      </c>
      <c r="W47" s="3" t="str" cm="1">
        <f t="array" ref="W4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7" s="2" t="str">
        <f>IF(Real_Sales[[#This Row],[Price_retail]]&gt;$AC$3,"Premium","Average")</f>
        <v>Average</v>
      </c>
      <c r="Y47" s="2" t="str">
        <f>IF(ISNUMBER(SEARCH("Basic",Real_Sales[[#This Row],[Product_name]])),"Yes","No")</f>
        <v>No</v>
      </c>
      <c r="Z47" s="2" cm="1">
        <f t="array" ref="Z47">_xlfn.IFS(Real_Sales[[#This Row],[Price_retail]]&lt;=15,1, Real_Sales[[#This Row],[Price_retail]]&lt;=30,2, Real_Sales[[#This Row],[Price_retail]]&lt;=50,3,Real_Sales[[#This Row],[Price_retail]]&gt;50,4)</f>
        <v>1</v>
      </c>
    </row>
    <row r="48" spans="1:26" x14ac:dyDescent="0.35">
      <c r="A48" s="2" t="s">
        <v>426</v>
      </c>
      <c r="B48" s="2" t="s">
        <v>427</v>
      </c>
      <c r="C48" s="2" t="s">
        <v>65</v>
      </c>
      <c r="D48" s="2" t="s">
        <v>428</v>
      </c>
      <c r="E48" s="2" t="s">
        <v>4</v>
      </c>
      <c r="F48" s="2" t="s">
        <v>5</v>
      </c>
      <c r="G48" s="2" t="s">
        <v>6</v>
      </c>
      <c r="H48" s="2" t="s">
        <v>333</v>
      </c>
      <c r="I48" s="2" t="s">
        <v>3393</v>
      </c>
      <c r="J48" s="3">
        <v>8.99</v>
      </c>
      <c r="K48" s="3">
        <v>6.57</v>
      </c>
      <c r="L48" s="2" t="s">
        <v>8</v>
      </c>
      <c r="M48" s="2" t="s">
        <v>9</v>
      </c>
      <c r="N48" s="3">
        <v>485</v>
      </c>
      <c r="O48" s="2" t="s">
        <v>75</v>
      </c>
      <c r="P48" s="2" t="s">
        <v>53</v>
      </c>
      <c r="Q48" s="3"/>
      <c r="R48" s="3"/>
      <c r="S48" s="2" t="s">
        <v>12</v>
      </c>
      <c r="T48" s="4">
        <v>44955</v>
      </c>
      <c r="U48" s="2" t="s">
        <v>429</v>
      </c>
      <c r="V48" s="6">
        <f>(Real_Sales[[#This Row],[Price_retail]]-Real_Sales[[#This Row],[Price_current]])/Real_Sales[[#This Row],[Price_retail]]</f>
        <v>0.26918798665183535</v>
      </c>
      <c r="W48" s="3" t="str" cm="1">
        <f t="array" ref="W4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8" s="2" t="str">
        <f>IF(Real_Sales[[#This Row],[Price_retail]]&gt;$AC$3,"Premium","Average")</f>
        <v>Average</v>
      </c>
      <c r="Y48" s="2" t="str">
        <f>IF(ISNUMBER(SEARCH("Basic",Real_Sales[[#This Row],[Product_name]])),"Yes","No")</f>
        <v>No</v>
      </c>
      <c r="Z48" s="2" cm="1">
        <f t="array" ref="Z48">_xlfn.IFS(Real_Sales[[#This Row],[Price_retail]]&lt;=15,1, Real_Sales[[#This Row],[Price_retail]]&lt;=30,2, Real_Sales[[#This Row],[Price_retail]]&lt;=50,3,Real_Sales[[#This Row],[Price_retail]]&gt;50,4)</f>
        <v>1</v>
      </c>
    </row>
    <row r="49" spans="1:26" x14ac:dyDescent="0.35">
      <c r="A49" s="2" t="s">
        <v>535</v>
      </c>
      <c r="B49" s="2" t="s">
        <v>536</v>
      </c>
      <c r="C49" s="2" t="s">
        <v>65</v>
      </c>
      <c r="D49" s="2" t="s">
        <v>537</v>
      </c>
      <c r="E49" s="2" t="s">
        <v>4</v>
      </c>
      <c r="F49" s="2" t="s">
        <v>5</v>
      </c>
      <c r="G49" s="2" t="s">
        <v>82</v>
      </c>
      <c r="H49" s="2" t="s">
        <v>145</v>
      </c>
      <c r="I49" s="2" t="s">
        <v>3390</v>
      </c>
      <c r="J49" s="3">
        <v>8.99</v>
      </c>
      <c r="K49" s="3">
        <v>6.57</v>
      </c>
      <c r="L49" s="2" t="s">
        <v>8</v>
      </c>
      <c r="M49" s="2" t="s">
        <v>9</v>
      </c>
      <c r="N49" s="3">
        <v>180</v>
      </c>
      <c r="O49" s="2" t="s">
        <v>29</v>
      </c>
      <c r="P49" s="2" t="s">
        <v>221</v>
      </c>
      <c r="Q49" s="3"/>
      <c r="R49" s="3"/>
      <c r="S49" s="2" t="s">
        <v>21</v>
      </c>
      <c r="T49" s="4">
        <v>44955</v>
      </c>
      <c r="U49" s="2" t="s">
        <v>538</v>
      </c>
      <c r="V49" s="6">
        <f>(Real_Sales[[#This Row],[Price_retail]]-Real_Sales[[#This Row],[Price_current]])/Real_Sales[[#This Row],[Price_retail]]</f>
        <v>0.26918798665183535</v>
      </c>
      <c r="W49" s="3" t="str" cm="1">
        <f t="array" ref="W4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9" s="2" t="str">
        <f>IF(Real_Sales[[#This Row],[Price_retail]]&gt;$AC$3,"Premium","Average")</f>
        <v>Average</v>
      </c>
      <c r="Y49" s="2" t="str">
        <f>IF(ISNUMBER(SEARCH("Basic",Real_Sales[[#This Row],[Product_name]])),"Yes","No")</f>
        <v>No</v>
      </c>
      <c r="Z49" s="2" cm="1">
        <f t="array" ref="Z49">_xlfn.IFS(Real_Sales[[#This Row],[Price_retail]]&lt;=15,1, Real_Sales[[#This Row],[Price_retail]]&lt;=30,2, Real_Sales[[#This Row],[Price_retail]]&lt;=50,3,Real_Sales[[#This Row],[Price_retail]]&gt;50,4)</f>
        <v>1</v>
      </c>
    </row>
    <row r="50" spans="1:26" x14ac:dyDescent="0.35">
      <c r="A50" s="2" t="s">
        <v>1932</v>
      </c>
      <c r="B50" s="2" t="s">
        <v>1933</v>
      </c>
      <c r="C50" s="2" t="s">
        <v>1421</v>
      </c>
      <c r="D50" s="2" t="s">
        <v>272</v>
      </c>
      <c r="E50" s="2" t="s">
        <v>4</v>
      </c>
      <c r="F50" s="2" t="s">
        <v>5</v>
      </c>
      <c r="G50" s="2" t="s">
        <v>82</v>
      </c>
      <c r="H50" s="2" t="s">
        <v>51</v>
      </c>
      <c r="I50" s="2" t="s">
        <v>3390</v>
      </c>
      <c r="J50" s="3">
        <v>8.99</v>
      </c>
      <c r="K50" s="3">
        <v>6.59</v>
      </c>
      <c r="L50" s="2" t="s">
        <v>8</v>
      </c>
      <c r="M50" s="2" t="s">
        <v>9</v>
      </c>
      <c r="N50" s="3">
        <v>490</v>
      </c>
      <c r="O50" s="2" t="s">
        <v>91</v>
      </c>
      <c r="P50" s="2" t="s">
        <v>221</v>
      </c>
      <c r="Q50" s="3"/>
      <c r="R50" s="3"/>
      <c r="S50" s="2" t="s">
        <v>21</v>
      </c>
      <c r="T50" s="4">
        <v>44955</v>
      </c>
      <c r="U50" s="2" t="s">
        <v>1934</v>
      </c>
      <c r="V50" s="6">
        <f>(Real_Sales[[#This Row],[Price_retail]]-Real_Sales[[#This Row],[Price_current]])/Real_Sales[[#This Row],[Price_retail]]</f>
        <v>0.2669632925472748</v>
      </c>
      <c r="W50" s="3" t="str" cm="1">
        <f t="array" ref="W5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0" s="2" t="str">
        <f>IF(Real_Sales[[#This Row],[Price_retail]]&gt;$AC$3,"Premium","Average")</f>
        <v>Average</v>
      </c>
      <c r="Y50" s="2" t="str">
        <f>IF(ISNUMBER(SEARCH("Basic",Real_Sales[[#This Row],[Product_name]])),"Yes","No")</f>
        <v>No</v>
      </c>
      <c r="Z50" s="2" cm="1">
        <f t="array" ref="Z50">_xlfn.IFS(Real_Sales[[#This Row],[Price_retail]]&lt;=15,1, Real_Sales[[#This Row],[Price_retail]]&lt;=30,2, Real_Sales[[#This Row],[Price_retail]]&lt;=50,3,Real_Sales[[#This Row],[Price_retail]]&gt;50,4)</f>
        <v>1</v>
      </c>
    </row>
    <row r="51" spans="1:26" x14ac:dyDescent="0.35">
      <c r="A51" s="2" t="s">
        <v>2338</v>
      </c>
      <c r="B51" s="2" t="s">
        <v>2339</v>
      </c>
      <c r="C51" s="2" t="s">
        <v>3394</v>
      </c>
      <c r="D51" s="2" t="s">
        <v>446</v>
      </c>
      <c r="E51" s="2" t="s">
        <v>4</v>
      </c>
      <c r="F51" s="2" t="s">
        <v>17</v>
      </c>
      <c r="G51" s="2" t="s">
        <v>27</v>
      </c>
      <c r="H51" s="2" t="s">
        <v>145</v>
      </c>
      <c r="I51" s="2" t="s">
        <v>3393</v>
      </c>
      <c r="J51" s="3">
        <v>8.99</v>
      </c>
      <c r="K51" s="3">
        <v>6.73</v>
      </c>
      <c r="L51" s="2" t="s">
        <v>8</v>
      </c>
      <c r="M51" s="2" t="s">
        <v>9</v>
      </c>
      <c r="N51" s="3">
        <v>814</v>
      </c>
      <c r="O51" s="2" t="s">
        <v>36</v>
      </c>
      <c r="P51" s="2" t="s">
        <v>92</v>
      </c>
      <c r="Q51" s="3"/>
      <c r="R51" s="3"/>
      <c r="S51" s="2" t="s">
        <v>12</v>
      </c>
      <c r="T51" s="4">
        <v>44955</v>
      </c>
      <c r="U51" s="2" t="s">
        <v>2340</v>
      </c>
      <c r="V51" s="6">
        <f>(Real_Sales[[#This Row],[Price_retail]]-Real_Sales[[#This Row],[Price_current]])/Real_Sales[[#This Row],[Price_retail]]</f>
        <v>0.25139043381535037</v>
      </c>
      <c r="W51" s="3" t="str" cm="1">
        <f t="array" ref="W5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1" s="2" t="str">
        <f>IF(Real_Sales[[#This Row],[Price_retail]]&gt;$AC$3,"Premium","Average")</f>
        <v>Average</v>
      </c>
      <c r="Y51" s="2" t="str">
        <f>IF(ISNUMBER(SEARCH("Basic",Real_Sales[[#This Row],[Product_name]])),"Yes","No")</f>
        <v>Yes</v>
      </c>
      <c r="Z51" s="2" cm="1">
        <f t="array" ref="Z51">_xlfn.IFS(Real_Sales[[#This Row],[Price_retail]]&lt;=15,1, Real_Sales[[#This Row],[Price_retail]]&lt;=30,2, Real_Sales[[#This Row],[Price_retail]]&lt;=50,3,Real_Sales[[#This Row],[Price_retail]]&gt;50,4)</f>
        <v>1</v>
      </c>
    </row>
    <row r="52" spans="1:26" x14ac:dyDescent="0.35">
      <c r="A52" s="2" t="s">
        <v>2317</v>
      </c>
      <c r="B52" s="2" t="s">
        <v>2318</v>
      </c>
      <c r="C52" s="2" t="s">
        <v>3394</v>
      </c>
      <c r="D52" s="2" t="s">
        <v>392</v>
      </c>
      <c r="E52" s="2" t="s">
        <v>4</v>
      </c>
      <c r="F52" s="2" t="s">
        <v>17</v>
      </c>
      <c r="G52" s="2" t="s">
        <v>18</v>
      </c>
      <c r="H52" s="2" t="s">
        <v>19</v>
      </c>
      <c r="I52" s="2" t="s">
        <v>3393</v>
      </c>
      <c r="J52" s="3">
        <v>8.99</v>
      </c>
      <c r="K52" s="3">
        <v>6.77</v>
      </c>
      <c r="L52" s="2" t="s">
        <v>8</v>
      </c>
      <c r="M52" s="2" t="s">
        <v>9</v>
      </c>
      <c r="N52" s="3">
        <v>392</v>
      </c>
      <c r="O52" s="2" t="s">
        <v>75</v>
      </c>
      <c r="P52" s="2" t="s">
        <v>92</v>
      </c>
      <c r="Q52" s="3"/>
      <c r="R52" s="3"/>
      <c r="S52" s="2" t="s">
        <v>12</v>
      </c>
      <c r="T52" s="4">
        <v>44955</v>
      </c>
      <c r="U52" s="2" t="s">
        <v>2319</v>
      </c>
      <c r="V52" s="6">
        <f>(Real_Sales[[#This Row],[Price_retail]]-Real_Sales[[#This Row],[Price_current]])/Real_Sales[[#This Row],[Price_retail]]</f>
        <v>0.2469410456062292</v>
      </c>
      <c r="W52" s="3" t="str" cm="1">
        <f t="array" ref="W5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2" s="2" t="str">
        <f>IF(Real_Sales[[#This Row],[Price_retail]]&gt;$AC$3,"Premium","Average")</f>
        <v>Average</v>
      </c>
      <c r="Y52" s="2" t="str">
        <f>IF(ISNUMBER(SEARCH("Basic",Real_Sales[[#This Row],[Product_name]])),"Yes","No")</f>
        <v>No</v>
      </c>
      <c r="Z52" s="2" cm="1">
        <f t="array" ref="Z52">_xlfn.IFS(Real_Sales[[#This Row],[Price_retail]]&lt;=15,1, Real_Sales[[#This Row],[Price_retail]]&lt;=30,2, Real_Sales[[#This Row],[Price_retail]]&lt;=50,3,Real_Sales[[#This Row],[Price_retail]]&gt;50,4)</f>
        <v>1</v>
      </c>
    </row>
    <row r="53" spans="1:26" x14ac:dyDescent="0.35">
      <c r="A53" s="2" t="s">
        <v>2196</v>
      </c>
      <c r="B53" s="2" t="s">
        <v>2197</v>
      </c>
      <c r="C53" s="2" t="s">
        <v>616</v>
      </c>
      <c r="D53" s="2" t="s">
        <v>376</v>
      </c>
      <c r="E53" s="2" t="s">
        <v>4</v>
      </c>
      <c r="F53" s="2" t="s">
        <v>17</v>
      </c>
      <c r="G53" s="2" t="s">
        <v>27</v>
      </c>
      <c r="H53" s="2" t="s">
        <v>168</v>
      </c>
      <c r="I53" s="2" t="s">
        <v>3393</v>
      </c>
      <c r="J53" s="3">
        <v>8.99</v>
      </c>
      <c r="K53" s="3">
        <v>6.78</v>
      </c>
      <c r="L53" s="2" t="s">
        <v>8</v>
      </c>
      <c r="M53" s="2" t="s">
        <v>9</v>
      </c>
      <c r="N53" s="3">
        <v>414</v>
      </c>
      <c r="O53" s="2" t="s">
        <v>43</v>
      </c>
      <c r="P53" s="2" t="s">
        <v>3392</v>
      </c>
      <c r="Q53" s="3"/>
      <c r="R53" s="3"/>
      <c r="S53" s="2" t="s">
        <v>12</v>
      </c>
      <c r="T53" s="4">
        <v>44955</v>
      </c>
      <c r="U53" s="2" t="s">
        <v>2198</v>
      </c>
      <c r="V53" s="6">
        <f>(Real_Sales[[#This Row],[Price_retail]]-Real_Sales[[#This Row],[Price_current]])/Real_Sales[[#This Row],[Price_retail]]</f>
        <v>0.24582869855394882</v>
      </c>
      <c r="W53" s="3" t="str" cm="1">
        <f t="array" ref="W5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3" s="2" t="str">
        <f>IF(Real_Sales[[#This Row],[Price_retail]]&gt;$AC$3,"Premium","Average")</f>
        <v>Average</v>
      </c>
      <c r="Y53" s="2" t="str">
        <f>IF(ISNUMBER(SEARCH("Basic",Real_Sales[[#This Row],[Product_name]])),"Yes","No")</f>
        <v>Yes</v>
      </c>
      <c r="Z53" s="2" cm="1">
        <f t="array" ref="Z53">_xlfn.IFS(Real_Sales[[#This Row],[Price_retail]]&lt;=15,1, Real_Sales[[#This Row],[Price_retail]]&lt;=30,2, Real_Sales[[#This Row],[Price_retail]]&lt;=50,3,Real_Sales[[#This Row],[Price_retail]]&gt;50,4)</f>
        <v>1</v>
      </c>
    </row>
    <row r="54" spans="1:26" x14ac:dyDescent="0.35">
      <c r="A54" s="2" t="s">
        <v>2087</v>
      </c>
      <c r="B54" s="2" t="s">
        <v>2088</v>
      </c>
      <c r="C54" s="2" t="s">
        <v>2915</v>
      </c>
      <c r="D54" s="2" t="s">
        <v>428</v>
      </c>
      <c r="E54" s="2" t="s">
        <v>4</v>
      </c>
      <c r="F54" s="2" t="s">
        <v>5</v>
      </c>
      <c r="G54" s="2" t="s">
        <v>82</v>
      </c>
      <c r="H54" s="2" t="s">
        <v>333</v>
      </c>
      <c r="I54" s="2" t="s">
        <v>3390</v>
      </c>
      <c r="J54" s="3">
        <v>8.99</v>
      </c>
      <c r="K54" s="3">
        <v>6.8</v>
      </c>
      <c r="L54" s="2" t="s">
        <v>8</v>
      </c>
      <c r="M54" s="2" t="s">
        <v>9</v>
      </c>
      <c r="N54" s="3">
        <v>237</v>
      </c>
      <c r="O54" s="2" t="s">
        <v>3392</v>
      </c>
      <c r="P54" s="2" t="s">
        <v>177</v>
      </c>
      <c r="Q54" s="3"/>
      <c r="R54" s="3"/>
      <c r="S54" s="2" t="s">
        <v>21</v>
      </c>
      <c r="T54" s="4">
        <v>44955</v>
      </c>
      <c r="U54" s="2" t="s">
        <v>2089</v>
      </c>
      <c r="V54" s="6">
        <f>(Real_Sales[[#This Row],[Price_retail]]-Real_Sales[[#This Row],[Price_current]])/Real_Sales[[#This Row],[Price_retail]]</f>
        <v>0.24360400444938823</v>
      </c>
      <c r="W54" s="3" t="str" cm="1">
        <f t="array" ref="W5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4" s="2" t="str">
        <f>IF(Real_Sales[[#This Row],[Price_retail]]&gt;$AC$3,"Premium","Average")</f>
        <v>Average</v>
      </c>
      <c r="Y54" s="2" t="str">
        <f>IF(ISNUMBER(SEARCH("Basic",Real_Sales[[#This Row],[Product_name]])),"Yes","No")</f>
        <v>No</v>
      </c>
      <c r="Z54" s="2" cm="1">
        <f t="array" ref="Z54">_xlfn.IFS(Real_Sales[[#This Row],[Price_retail]]&lt;=15,1, Real_Sales[[#This Row],[Price_retail]]&lt;=30,2, Real_Sales[[#This Row],[Price_retail]]&lt;=50,3,Real_Sales[[#This Row],[Price_retail]]&gt;50,4)</f>
        <v>1</v>
      </c>
    </row>
    <row r="55" spans="1:26" x14ac:dyDescent="0.35">
      <c r="A55" s="2" t="s">
        <v>1865</v>
      </c>
      <c r="B55" s="2" t="s">
        <v>1866</v>
      </c>
      <c r="C55" s="2" t="s">
        <v>3394</v>
      </c>
      <c r="D55" s="2" t="s">
        <v>913</v>
      </c>
      <c r="E55" s="2" t="s">
        <v>4</v>
      </c>
      <c r="F55" s="2" t="s">
        <v>17</v>
      </c>
      <c r="G55" s="2" t="s">
        <v>18</v>
      </c>
      <c r="H55" s="2" t="s">
        <v>51</v>
      </c>
      <c r="I55" s="2" t="s">
        <v>3390</v>
      </c>
      <c r="J55" s="3">
        <v>8.99</v>
      </c>
      <c r="K55" s="3">
        <v>6.87</v>
      </c>
      <c r="L55" s="2" t="s">
        <v>8</v>
      </c>
      <c r="M55" s="2" t="s">
        <v>9</v>
      </c>
      <c r="N55" s="3">
        <v>205</v>
      </c>
      <c r="O55" s="2" t="s">
        <v>664</v>
      </c>
      <c r="P55" s="2" t="s">
        <v>186</v>
      </c>
      <c r="Q55" s="3"/>
      <c r="R55" s="3"/>
      <c r="S55" s="2" t="s">
        <v>21</v>
      </c>
      <c r="T55" s="4">
        <v>44955</v>
      </c>
      <c r="U55" s="2" t="s">
        <v>1867</v>
      </c>
      <c r="V55" s="6">
        <f>(Real_Sales[[#This Row],[Price_retail]]-Real_Sales[[#This Row],[Price_current]])/Real_Sales[[#This Row],[Price_retail]]</f>
        <v>0.23581757508342605</v>
      </c>
      <c r="W55" s="3" t="str" cm="1">
        <f t="array" ref="W5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5" s="2" t="str">
        <f>IF(Real_Sales[[#This Row],[Price_retail]]&gt;$AC$3,"Premium","Average")</f>
        <v>Average</v>
      </c>
      <c r="Y55" s="2" t="str">
        <f>IF(ISNUMBER(SEARCH("Basic",Real_Sales[[#This Row],[Product_name]])),"Yes","No")</f>
        <v>No</v>
      </c>
      <c r="Z55" s="2" cm="1">
        <f t="array" ref="Z55">_xlfn.IFS(Real_Sales[[#This Row],[Price_retail]]&lt;=15,1, Real_Sales[[#This Row],[Price_retail]]&lt;=30,2, Real_Sales[[#This Row],[Price_retail]]&lt;=50,3,Real_Sales[[#This Row],[Price_retail]]&gt;50,4)</f>
        <v>1</v>
      </c>
    </row>
    <row r="56" spans="1:26" x14ac:dyDescent="0.35">
      <c r="A56" s="2" t="s">
        <v>2841</v>
      </c>
      <c r="B56" s="2" t="s">
        <v>2842</v>
      </c>
      <c r="C56" s="2" t="s">
        <v>3410</v>
      </c>
      <c r="D56" s="2" t="s">
        <v>1247</v>
      </c>
      <c r="E56" s="2" t="s">
        <v>4</v>
      </c>
      <c r="F56" s="2" t="s">
        <v>5</v>
      </c>
      <c r="G56" s="2" t="s">
        <v>6</v>
      </c>
      <c r="H56" s="2" t="s">
        <v>237</v>
      </c>
      <c r="I56" s="2" t="s">
        <v>3393</v>
      </c>
      <c r="J56" s="3">
        <v>8.99</v>
      </c>
      <c r="K56" s="3">
        <v>7.05</v>
      </c>
      <c r="L56" s="2" t="s">
        <v>8</v>
      </c>
      <c r="M56" s="2" t="s">
        <v>9</v>
      </c>
      <c r="N56" s="3">
        <v>542</v>
      </c>
      <c r="O56" s="2" t="s">
        <v>43</v>
      </c>
      <c r="P56" s="2" t="s">
        <v>128</v>
      </c>
      <c r="Q56" s="3"/>
      <c r="R56" s="3"/>
      <c r="S56" s="2" t="s">
        <v>21</v>
      </c>
      <c r="T56" s="4">
        <v>44955</v>
      </c>
      <c r="U56" s="2" t="s">
        <v>2843</v>
      </c>
      <c r="V56" s="6">
        <f>(Real_Sales[[#This Row],[Price_retail]]-Real_Sales[[#This Row],[Price_current]])/Real_Sales[[#This Row],[Price_retail]]</f>
        <v>0.21579532814238045</v>
      </c>
      <c r="W56" s="3" t="str" cm="1">
        <f t="array" ref="W5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6" s="2" t="str">
        <f>IF(Real_Sales[[#This Row],[Price_retail]]&gt;$AC$3,"Premium","Average")</f>
        <v>Average</v>
      </c>
      <c r="Y56" s="2" t="str">
        <f>IF(ISNUMBER(SEARCH("Basic",Real_Sales[[#This Row],[Product_name]])),"Yes","No")</f>
        <v>No</v>
      </c>
      <c r="Z56" s="2" cm="1">
        <f t="array" ref="Z56">_xlfn.IFS(Real_Sales[[#This Row],[Price_retail]]&lt;=15,1, Real_Sales[[#This Row],[Price_retail]]&lt;=30,2, Real_Sales[[#This Row],[Price_retail]]&lt;=50,3,Real_Sales[[#This Row],[Price_retail]]&gt;50,4)</f>
        <v>1</v>
      </c>
    </row>
    <row r="57" spans="1:26" x14ac:dyDescent="0.35">
      <c r="A57" s="2" t="s">
        <v>2035</v>
      </c>
      <c r="B57" s="2" t="s">
        <v>2036</v>
      </c>
      <c r="C57" s="2" t="s">
        <v>242</v>
      </c>
      <c r="D57" s="2" t="s">
        <v>678</v>
      </c>
      <c r="E57" s="2" t="s">
        <v>4</v>
      </c>
      <c r="F57" s="2" t="s">
        <v>17</v>
      </c>
      <c r="G57" s="2" t="s">
        <v>18</v>
      </c>
      <c r="H57" s="2" t="s">
        <v>134</v>
      </c>
      <c r="I57" s="2" t="s">
        <v>3393</v>
      </c>
      <c r="J57" s="3">
        <v>8.99</v>
      </c>
      <c r="K57" s="3">
        <v>7.06</v>
      </c>
      <c r="L57" s="2" t="s">
        <v>8</v>
      </c>
      <c r="M57" s="2" t="s">
        <v>9</v>
      </c>
      <c r="N57" s="3">
        <v>737</v>
      </c>
      <c r="O57" s="2" t="s">
        <v>36</v>
      </c>
      <c r="P57" s="2" t="s">
        <v>44</v>
      </c>
      <c r="Q57" s="3"/>
      <c r="R57" s="3"/>
      <c r="S57" s="2" t="s">
        <v>21</v>
      </c>
      <c r="T57" s="4">
        <v>44955</v>
      </c>
      <c r="U57" s="2" t="s">
        <v>2037</v>
      </c>
      <c r="V57" s="6">
        <f>(Real_Sales[[#This Row],[Price_retail]]-Real_Sales[[#This Row],[Price_current]])/Real_Sales[[#This Row],[Price_retail]]</f>
        <v>0.21468298109010017</v>
      </c>
      <c r="W57" s="3" t="str" cm="1">
        <f t="array" ref="W5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7" s="2" t="str">
        <f>IF(Real_Sales[[#This Row],[Price_retail]]&gt;$AC$3,"Premium","Average")</f>
        <v>Average</v>
      </c>
      <c r="Y57" s="2" t="str">
        <f>IF(ISNUMBER(SEARCH("Basic",Real_Sales[[#This Row],[Product_name]])),"Yes","No")</f>
        <v>No</v>
      </c>
      <c r="Z57" s="2" cm="1">
        <f t="array" ref="Z57">_xlfn.IFS(Real_Sales[[#This Row],[Price_retail]]&lt;=15,1, Real_Sales[[#This Row],[Price_retail]]&lt;=30,2, Real_Sales[[#This Row],[Price_retail]]&lt;=50,3,Real_Sales[[#This Row],[Price_retail]]&gt;50,4)</f>
        <v>1</v>
      </c>
    </row>
    <row r="58" spans="1:26" x14ac:dyDescent="0.35">
      <c r="A58" s="2" t="s">
        <v>969</v>
      </c>
      <c r="B58" s="2" t="s">
        <v>970</v>
      </c>
      <c r="C58" s="2" t="s">
        <v>412</v>
      </c>
      <c r="D58" s="2" t="s">
        <v>971</v>
      </c>
      <c r="E58" s="2" t="s">
        <v>4</v>
      </c>
      <c r="F58" s="2" t="s">
        <v>5</v>
      </c>
      <c r="G58" s="2" t="s">
        <v>121</v>
      </c>
      <c r="H58" s="2" t="s">
        <v>134</v>
      </c>
      <c r="I58" s="2" t="s">
        <v>3393</v>
      </c>
      <c r="J58" s="3">
        <v>8.99</v>
      </c>
      <c r="K58" s="3">
        <v>7.18</v>
      </c>
      <c r="L58" s="2" t="s">
        <v>8</v>
      </c>
      <c r="M58" s="2" t="s">
        <v>9</v>
      </c>
      <c r="N58" s="3">
        <v>530</v>
      </c>
      <c r="O58" s="2" t="s">
        <v>3392</v>
      </c>
      <c r="P58" s="2" t="s">
        <v>238</v>
      </c>
      <c r="Q58" s="3"/>
      <c r="R58" s="3"/>
      <c r="S58" s="2" t="s">
        <v>21</v>
      </c>
      <c r="T58" s="4">
        <v>44955</v>
      </c>
      <c r="U58" s="2" t="s">
        <v>972</v>
      </c>
      <c r="V58" s="6">
        <f>(Real_Sales[[#This Row],[Price_retail]]-Real_Sales[[#This Row],[Price_current]])/Real_Sales[[#This Row],[Price_retail]]</f>
        <v>0.20133481646273643</v>
      </c>
      <c r="W58" s="3" t="str" cm="1">
        <f t="array" ref="W5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8" s="2" t="str">
        <f>IF(Real_Sales[[#This Row],[Price_retail]]&gt;$AC$3,"Premium","Average")</f>
        <v>Average</v>
      </c>
      <c r="Y58" s="2" t="str">
        <f>IF(ISNUMBER(SEARCH("Basic",Real_Sales[[#This Row],[Product_name]])),"Yes","No")</f>
        <v>No</v>
      </c>
      <c r="Z58" s="2" cm="1">
        <f t="array" ref="Z58">_xlfn.IFS(Real_Sales[[#This Row],[Price_retail]]&lt;=15,1, Real_Sales[[#This Row],[Price_retail]]&lt;=30,2, Real_Sales[[#This Row],[Price_retail]]&lt;=50,3,Real_Sales[[#This Row],[Price_retail]]&gt;50,4)</f>
        <v>1</v>
      </c>
    </row>
    <row r="59" spans="1:26" x14ac:dyDescent="0.35">
      <c r="A59" s="2" t="s">
        <v>1387</v>
      </c>
      <c r="B59" s="2" t="s">
        <v>1388</v>
      </c>
      <c r="C59" s="2" t="s">
        <v>306</v>
      </c>
      <c r="D59" s="2" t="s">
        <v>220</v>
      </c>
      <c r="E59" s="2" t="s">
        <v>4</v>
      </c>
      <c r="F59" s="2" t="s">
        <v>17</v>
      </c>
      <c r="G59" s="2" t="s">
        <v>50</v>
      </c>
      <c r="H59" s="2" t="s">
        <v>139</v>
      </c>
      <c r="I59" s="2" t="s">
        <v>3389</v>
      </c>
      <c r="J59" s="3">
        <v>8.99</v>
      </c>
      <c r="K59" s="3">
        <v>7.18</v>
      </c>
      <c r="L59" s="2" t="s">
        <v>8</v>
      </c>
      <c r="M59" s="2" t="s">
        <v>9</v>
      </c>
      <c r="N59" s="3">
        <v>712</v>
      </c>
      <c r="O59" s="2" t="s">
        <v>359</v>
      </c>
      <c r="P59" s="2" t="s">
        <v>44</v>
      </c>
      <c r="Q59" s="3"/>
      <c r="R59" s="3"/>
      <c r="S59" s="2" t="s">
        <v>21</v>
      </c>
      <c r="T59" s="4">
        <v>44955</v>
      </c>
      <c r="U59" s="2" t="s">
        <v>1389</v>
      </c>
      <c r="V59" s="6">
        <f>(Real_Sales[[#This Row],[Price_retail]]-Real_Sales[[#This Row],[Price_current]])/Real_Sales[[#This Row],[Price_retail]]</f>
        <v>0.20133481646273643</v>
      </c>
      <c r="W59" s="3" t="str" cm="1">
        <f t="array" ref="W5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9" s="2" t="str">
        <f>IF(Real_Sales[[#This Row],[Price_retail]]&gt;$AC$3,"Premium","Average")</f>
        <v>Average</v>
      </c>
      <c r="Y59" s="2" t="str">
        <f>IF(ISNUMBER(SEARCH("Basic",Real_Sales[[#This Row],[Product_name]])),"Yes","No")</f>
        <v>No</v>
      </c>
      <c r="Z59" s="2" cm="1">
        <f t="array" ref="Z59">_xlfn.IFS(Real_Sales[[#This Row],[Price_retail]]&lt;=15,1, Real_Sales[[#This Row],[Price_retail]]&lt;=30,2, Real_Sales[[#This Row],[Price_retail]]&lt;=50,3,Real_Sales[[#This Row],[Price_retail]]&gt;50,4)</f>
        <v>1</v>
      </c>
    </row>
    <row r="60" spans="1:26" x14ac:dyDescent="0.35">
      <c r="A60" s="2" t="s">
        <v>2789</v>
      </c>
      <c r="B60" s="2" t="s">
        <v>2790</v>
      </c>
      <c r="C60" s="2" t="s">
        <v>484</v>
      </c>
      <c r="D60" s="2" t="s">
        <v>511</v>
      </c>
      <c r="E60" s="2" t="s">
        <v>4</v>
      </c>
      <c r="F60" s="2" t="s">
        <v>5</v>
      </c>
      <c r="G60" s="2" t="s">
        <v>82</v>
      </c>
      <c r="H60" s="2" t="s">
        <v>7</v>
      </c>
      <c r="I60" s="2" t="s">
        <v>3393</v>
      </c>
      <c r="J60" s="3">
        <v>8.99</v>
      </c>
      <c r="K60" s="3">
        <v>7.19</v>
      </c>
      <c r="L60" s="2" t="s">
        <v>8</v>
      </c>
      <c r="M60" s="2" t="s">
        <v>9</v>
      </c>
      <c r="N60" s="3">
        <v>310</v>
      </c>
      <c r="O60" s="2" t="s">
        <v>287</v>
      </c>
      <c r="P60" s="2" t="s">
        <v>76</v>
      </c>
      <c r="Q60" s="3"/>
      <c r="R60" s="3"/>
      <c r="S60" s="2" t="s">
        <v>21</v>
      </c>
      <c r="T60" s="4">
        <v>44955</v>
      </c>
      <c r="U60" s="2" t="s">
        <v>2791</v>
      </c>
      <c r="V60" s="6">
        <f>(Real_Sales[[#This Row],[Price_retail]]-Real_Sales[[#This Row],[Price_current]])/Real_Sales[[#This Row],[Price_retail]]</f>
        <v>0.20022246941045604</v>
      </c>
      <c r="W60" s="3" t="str" cm="1">
        <f t="array" ref="W6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0" s="2" t="str">
        <f>IF(Real_Sales[[#This Row],[Price_retail]]&gt;$AC$3,"Premium","Average")</f>
        <v>Average</v>
      </c>
      <c r="Y60" s="2" t="str">
        <f>IF(ISNUMBER(SEARCH("Basic",Real_Sales[[#This Row],[Product_name]])),"Yes","No")</f>
        <v>No</v>
      </c>
      <c r="Z60" s="2" cm="1">
        <f t="array" ref="Z60">_xlfn.IFS(Real_Sales[[#This Row],[Price_retail]]&lt;=15,1, Real_Sales[[#This Row],[Price_retail]]&lt;=30,2, Real_Sales[[#This Row],[Price_retail]]&lt;=50,3,Real_Sales[[#This Row],[Price_retail]]&gt;50,4)</f>
        <v>1</v>
      </c>
    </row>
    <row r="61" spans="1:26" x14ac:dyDescent="0.35">
      <c r="A61" s="2" t="s">
        <v>1811</v>
      </c>
      <c r="B61" s="2" t="s">
        <v>1812</v>
      </c>
      <c r="C61" s="2" t="s">
        <v>1073</v>
      </c>
      <c r="D61" s="2" t="s">
        <v>506</v>
      </c>
      <c r="E61" s="2" t="s">
        <v>4</v>
      </c>
      <c r="F61" s="2" t="s">
        <v>5</v>
      </c>
      <c r="G61" s="2" t="s">
        <v>82</v>
      </c>
      <c r="H61" s="2" t="s">
        <v>237</v>
      </c>
      <c r="I61" s="2" t="s">
        <v>3393</v>
      </c>
      <c r="J61" s="3">
        <v>8.99</v>
      </c>
      <c r="K61" s="3">
        <v>7.28</v>
      </c>
      <c r="L61" s="2" t="s">
        <v>8</v>
      </c>
      <c r="M61" s="2" t="s">
        <v>9</v>
      </c>
      <c r="N61" s="3">
        <v>242</v>
      </c>
      <c r="O61" s="2" t="s">
        <v>191</v>
      </c>
      <c r="P61" s="2" t="s">
        <v>30</v>
      </c>
      <c r="Q61" s="3"/>
      <c r="R61" s="3"/>
      <c r="S61" s="2" t="s">
        <v>21</v>
      </c>
      <c r="T61" s="4">
        <v>44955</v>
      </c>
      <c r="U61" s="2" t="s">
        <v>1813</v>
      </c>
      <c r="V61" s="6">
        <f>(Real_Sales[[#This Row],[Price_retail]]-Real_Sales[[#This Row],[Price_current]])/Real_Sales[[#This Row],[Price_retail]]</f>
        <v>0.19021134593993325</v>
      </c>
      <c r="W61" s="3" t="str" cm="1">
        <f t="array" ref="W61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1" s="2" t="str">
        <f>IF(Real_Sales[[#This Row],[Price_retail]]&gt;$AC$3,"Premium","Average")</f>
        <v>Average</v>
      </c>
      <c r="Y61" s="2" t="str">
        <f>IF(ISNUMBER(SEARCH("Basic",Real_Sales[[#This Row],[Product_name]])),"Yes","No")</f>
        <v>Yes</v>
      </c>
      <c r="Z61" s="2" cm="1">
        <f t="array" ref="Z61">_xlfn.IFS(Real_Sales[[#This Row],[Price_retail]]&lt;=15,1, Real_Sales[[#This Row],[Price_retail]]&lt;=30,2, Real_Sales[[#This Row],[Price_retail]]&lt;=50,3,Real_Sales[[#This Row],[Price_retail]]&gt;50,4)</f>
        <v>1</v>
      </c>
    </row>
    <row r="62" spans="1:26" x14ac:dyDescent="0.35">
      <c r="A62" s="2" t="s">
        <v>2187</v>
      </c>
      <c r="B62" s="2" t="s">
        <v>2188</v>
      </c>
      <c r="C62" s="2" t="s">
        <v>1481</v>
      </c>
      <c r="D62" s="2" t="s">
        <v>296</v>
      </c>
      <c r="E62" s="2" t="s">
        <v>4</v>
      </c>
      <c r="F62" s="2" t="s">
        <v>5</v>
      </c>
      <c r="G62" s="2" t="s">
        <v>6</v>
      </c>
      <c r="H62" s="2" t="s">
        <v>145</v>
      </c>
      <c r="I62" s="2" t="s">
        <v>3393</v>
      </c>
      <c r="J62" s="3">
        <v>8.99</v>
      </c>
      <c r="K62" s="3">
        <v>7.52</v>
      </c>
      <c r="L62" s="2" t="s">
        <v>8</v>
      </c>
      <c r="M62" s="2" t="s">
        <v>9</v>
      </c>
      <c r="N62" s="3">
        <v>687</v>
      </c>
      <c r="O62" s="2" t="s">
        <v>287</v>
      </c>
      <c r="P62" s="2" t="s">
        <v>37</v>
      </c>
      <c r="Q62" s="3"/>
      <c r="R62" s="3"/>
      <c r="S62" s="2" t="s">
        <v>21</v>
      </c>
      <c r="T62" s="4">
        <v>44955</v>
      </c>
      <c r="U62" s="2" t="s">
        <v>2189</v>
      </c>
      <c r="V62" s="6">
        <f>(Real_Sales[[#This Row],[Price_retail]]-Real_Sales[[#This Row],[Price_current]])/Real_Sales[[#This Row],[Price_retail]]</f>
        <v>0.16351501668520585</v>
      </c>
      <c r="W62" s="3" t="str" cm="1">
        <f t="array" ref="W62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2" s="2" t="str">
        <f>IF(Real_Sales[[#This Row],[Price_retail]]&gt;$AC$3,"Premium","Average")</f>
        <v>Average</v>
      </c>
      <c r="Y62" s="2" t="str">
        <f>IF(ISNUMBER(SEARCH("Basic",Real_Sales[[#This Row],[Product_name]])),"Yes","No")</f>
        <v>Yes</v>
      </c>
      <c r="Z62" s="2" cm="1">
        <f t="array" ref="Z62">_xlfn.IFS(Real_Sales[[#This Row],[Price_retail]]&lt;=15,1, Real_Sales[[#This Row],[Price_retail]]&lt;=30,2, Real_Sales[[#This Row],[Price_retail]]&lt;=50,3,Real_Sales[[#This Row],[Price_retail]]&gt;50,4)</f>
        <v>1</v>
      </c>
    </row>
    <row r="63" spans="1:26" x14ac:dyDescent="0.35">
      <c r="A63" s="2" t="s">
        <v>456</v>
      </c>
      <c r="B63" s="2" t="s">
        <v>457</v>
      </c>
      <c r="C63" s="2" t="s">
        <v>3407</v>
      </c>
      <c r="D63" s="2" t="s">
        <v>392</v>
      </c>
      <c r="E63" s="2" t="s">
        <v>4</v>
      </c>
      <c r="F63" s="2" t="s">
        <v>17</v>
      </c>
      <c r="G63" s="2" t="s">
        <v>67</v>
      </c>
      <c r="H63" s="2" t="s">
        <v>19</v>
      </c>
      <c r="I63" s="2" t="s">
        <v>3393</v>
      </c>
      <c r="J63" s="3">
        <v>8.99</v>
      </c>
      <c r="K63" s="3">
        <v>7.69</v>
      </c>
      <c r="L63" s="2" t="s">
        <v>8</v>
      </c>
      <c r="M63" s="2" t="s">
        <v>9</v>
      </c>
      <c r="N63" s="3">
        <v>410</v>
      </c>
      <c r="O63" s="2" t="s">
        <v>191</v>
      </c>
      <c r="P63" s="2" t="s">
        <v>419</v>
      </c>
      <c r="Q63" s="3"/>
      <c r="R63" s="3"/>
      <c r="S63" s="2" t="s">
        <v>21</v>
      </c>
      <c r="T63" s="4">
        <v>44955</v>
      </c>
      <c r="U63" s="2" t="s">
        <v>458</v>
      </c>
      <c r="V63" s="6">
        <f>(Real_Sales[[#This Row],[Price_retail]]-Real_Sales[[#This Row],[Price_current]])/Real_Sales[[#This Row],[Price_retail]]</f>
        <v>0.14460511679644047</v>
      </c>
      <c r="W63" s="3" t="str" cm="1">
        <f t="array" ref="W63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3" s="2" t="str">
        <f>IF(Real_Sales[[#This Row],[Price_retail]]&gt;$AC$3,"Premium","Average")</f>
        <v>Average</v>
      </c>
      <c r="Y63" s="2" t="str">
        <f>IF(ISNUMBER(SEARCH("Basic",Real_Sales[[#This Row],[Product_name]])),"Yes","No")</f>
        <v>No</v>
      </c>
      <c r="Z63" s="2" cm="1">
        <f t="array" ref="Z63">_xlfn.IFS(Real_Sales[[#This Row],[Price_retail]]&lt;=15,1, Real_Sales[[#This Row],[Price_retail]]&lt;=30,2, Real_Sales[[#This Row],[Price_retail]]&lt;=50,3,Real_Sales[[#This Row],[Price_retail]]&gt;50,4)</f>
        <v>1</v>
      </c>
    </row>
    <row r="64" spans="1:26" x14ac:dyDescent="0.35">
      <c r="A64" s="2" t="s">
        <v>2129</v>
      </c>
      <c r="B64" s="2" t="s">
        <v>2130</v>
      </c>
      <c r="C64" s="2" t="s">
        <v>1822</v>
      </c>
      <c r="D64" s="2" t="s">
        <v>625</v>
      </c>
      <c r="E64" s="2" t="s">
        <v>4</v>
      </c>
      <c r="F64" s="2" t="s">
        <v>17</v>
      </c>
      <c r="G64" s="2" t="s">
        <v>50</v>
      </c>
      <c r="H64" s="2" t="s">
        <v>333</v>
      </c>
      <c r="I64" s="2" t="s">
        <v>3393</v>
      </c>
      <c r="J64" s="3">
        <v>8.99</v>
      </c>
      <c r="K64" s="3">
        <v>7.74</v>
      </c>
      <c r="L64" s="2" t="s">
        <v>8</v>
      </c>
      <c r="M64" s="2" t="s">
        <v>9</v>
      </c>
      <c r="N64" s="3">
        <v>607</v>
      </c>
      <c r="O64" s="2" t="s">
        <v>36</v>
      </c>
      <c r="P64" s="2" t="s">
        <v>92</v>
      </c>
      <c r="Q64" s="3"/>
      <c r="R64" s="3"/>
      <c r="S64" s="2" t="s">
        <v>21</v>
      </c>
      <c r="T64" s="4">
        <v>44955</v>
      </c>
      <c r="U64" s="2" t="s">
        <v>2131</v>
      </c>
      <c r="V64" s="6">
        <f>(Real_Sales[[#This Row],[Price_retail]]-Real_Sales[[#This Row],[Price_current]])/Real_Sales[[#This Row],[Price_retail]]</f>
        <v>0.13904338153503892</v>
      </c>
      <c r="W64" s="3" t="str" cm="1">
        <f t="array" ref="W64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4" s="2" t="str">
        <f>IF(Real_Sales[[#This Row],[Price_retail]]&gt;$AC$3,"Premium","Average")</f>
        <v>Average</v>
      </c>
      <c r="Y64" s="2" t="str">
        <f>IF(ISNUMBER(SEARCH("Basic",Real_Sales[[#This Row],[Product_name]])),"Yes","No")</f>
        <v>No</v>
      </c>
      <c r="Z64" s="2" cm="1">
        <f t="array" ref="Z64">_xlfn.IFS(Real_Sales[[#This Row],[Price_retail]]&lt;=15,1, Real_Sales[[#This Row],[Price_retail]]&lt;=30,2, Real_Sales[[#This Row],[Price_retail]]&lt;=50,3,Real_Sales[[#This Row],[Price_retail]]&gt;50,4)</f>
        <v>1</v>
      </c>
    </row>
    <row r="65" spans="1:26" x14ac:dyDescent="0.35">
      <c r="A65" s="2" t="s">
        <v>892</v>
      </c>
      <c r="B65" s="2" t="s">
        <v>893</v>
      </c>
      <c r="C65" s="2" t="s">
        <v>102</v>
      </c>
      <c r="D65" s="2" t="s">
        <v>894</v>
      </c>
      <c r="E65" s="2" t="s">
        <v>4</v>
      </c>
      <c r="F65" s="2" t="s">
        <v>5</v>
      </c>
      <c r="G65" s="2" t="s">
        <v>121</v>
      </c>
      <c r="H65" s="2" t="s">
        <v>145</v>
      </c>
      <c r="I65" s="2" t="s">
        <v>3390</v>
      </c>
      <c r="J65" s="3">
        <v>8.99</v>
      </c>
      <c r="K65" s="3">
        <v>7.83</v>
      </c>
      <c r="L65" s="2" t="s">
        <v>8</v>
      </c>
      <c r="M65" s="2" t="s">
        <v>9</v>
      </c>
      <c r="N65" s="3">
        <v>692</v>
      </c>
      <c r="O65" s="2" t="s">
        <v>91</v>
      </c>
      <c r="P65" s="2" t="s">
        <v>3392</v>
      </c>
      <c r="Q65" s="3"/>
      <c r="R65" s="3"/>
      <c r="S65" s="2" t="s">
        <v>21</v>
      </c>
      <c r="T65" s="4">
        <v>44955</v>
      </c>
      <c r="U65" s="2" t="s">
        <v>895</v>
      </c>
      <c r="V65" s="6">
        <f>(Real_Sales[[#This Row],[Price_retail]]-Real_Sales[[#This Row],[Price_current]])/Real_Sales[[#This Row],[Price_retail]]</f>
        <v>0.12903225806451615</v>
      </c>
      <c r="W65" s="3" t="str" cm="1">
        <f t="array" ref="W6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5" s="2" t="str">
        <f>IF(Real_Sales[[#This Row],[Price_retail]]&gt;$AC$3,"Premium","Average")</f>
        <v>Average</v>
      </c>
      <c r="Y65" s="2" t="str">
        <f>IF(ISNUMBER(SEARCH("Basic",Real_Sales[[#This Row],[Product_name]])),"Yes","No")</f>
        <v>No</v>
      </c>
      <c r="Z65" s="2" cm="1">
        <f t="array" ref="Z65">_xlfn.IFS(Real_Sales[[#This Row],[Price_retail]]&lt;=15,1, Real_Sales[[#This Row],[Price_retail]]&lt;=30,2, Real_Sales[[#This Row],[Price_retail]]&lt;=50,3,Real_Sales[[#This Row],[Price_retail]]&gt;50,4)</f>
        <v>1</v>
      </c>
    </row>
    <row r="66" spans="1:26" x14ac:dyDescent="0.35">
      <c r="A66" s="2" t="s">
        <v>1407</v>
      </c>
      <c r="B66" s="2" t="s">
        <v>1408</v>
      </c>
      <c r="C66" s="2" t="s">
        <v>3394</v>
      </c>
      <c r="D66" s="2" t="s">
        <v>776</v>
      </c>
      <c r="E66" s="2" t="s">
        <v>4</v>
      </c>
      <c r="F66" s="2" t="s">
        <v>5</v>
      </c>
      <c r="G66" s="2" t="s">
        <v>82</v>
      </c>
      <c r="H66" s="2" t="s">
        <v>83</v>
      </c>
      <c r="I66" s="2" t="s">
        <v>3393</v>
      </c>
      <c r="J66" s="3">
        <v>8.99</v>
      </c>
      <c r="K66" s="3">
        <v>7.97</v>
      </c>
      <c r="L66" s="2" t="s">
        <v>8</v>
      </c>
      <c r="M66" s="2" t="s">
        <v>9</v>
      </c>
      <c r="N66" s="3">
        <v>896</v>
      </c>
      <c r="O66" s="2" t="s">
        <v>29</v>
      </c>
      <c r="P66" s="2" t="s">
        <v>92</v>
      </c>
      <c r="Q66" s="3"/>
      <c r="R66" s="3"/>
      <c r="S66" s="2" t="s">
        <v>21</v>
      </c>
      <c r="T66" s="4">
        <v>44955</v>
      </c>
      <c r="U66" s="2" t="s">
        <v>1409</v>
      </c>
      <c r="V66" s="6">
        <f>(Real_Sales[[#This Row],[Price_retail]]-Real_Sales[[#This Row],[Price_current]])/Real_Sales[[#This Row],[Price_retail]]</f>
        <v>0.11345939933259182</v>
      </c>
      <c r="W66" s="3" t="str" cm="1">
        <f t="array" ref="W6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6" s="2" t="str">
        <f>IF(Real_Sales[[#This Row],[Price_retail]]&gt;$AC$3,"Premium","Average")</f>
        <v>Average</v>
      </c>
      <c r="Y66" s="2" t="str">
        <f>IF(ISNUMBER(SEARCH("Basic",Real_Sales[[#This Row],[Product_name]])),"Yes","No")</f>
        <v>No</v>
      </c>
      <c r="Z66" s="2" cm="1">
        <f t="array" ref="Z66">_xlfn.IFS(Real_Sales[[#This Row],[Price_retail]]&lt;=15,1, Real_Sales[[#This Row],[Price_retail]]&lt;=30,2, Real_Sales[[#This Row],[Price_retail]]&lt;=50,3,Real_Sales[[#This Row],[Price_retail]]&gt;50,4)</f>
        <v>1</v>
      </c>
    </row>
    <row r="67" spans="1:26" x14ac:dyDescent="0.35">
      <c r="A67" s="2" t="s">
        <v>1697</v>
      </c>
      <c r="B67" s="2" t="s">
        <v>1698</v>
      </c>
      <c r="C67" s="2" t="s">
        <v>3394</v>
      </c>
      <c r="D67" s="2" t="s">
        <v>725</v>
      </c>
      <c r="E67" s="2" t="s">
        <v>4</v>
      </c>
      <c r="F67" s="2" t="s">
        <v>17</v>
      </c>
      <c r="G67" s="2" t="s">
        <v>50</v>
      </c>
      <c r="H67" s="2" t="s">
        <v>110</v>
      </c>
      <c r="I67" s="2" t="s">
        <v>3393</v>
      </c>
      <c r="J67" s="3">
        <v>8.99</v>
      </c>
      <c r="K67" s="3">
        <v>7.98</v>
      </c>
      <c r="L67" s="2" t="s">
        <v>8</v>
      </c>
      <c r="M67" s="2" t="s">
        <v>9</v>
      </c>
      <c r="N67" s="3">
        <v>344</v>
      </c>
      <c r="O67" s="2" t="s">
        <v>347</v>
      </c>
      <c r="P67" s="2" t="s">
        <v>30</v>
      </c>
      <c r="Q67" s="3"/>
      <c r="R67" s="3"/>
      <c r="S67" s="2" t="s">
        <v>12</v>
      </c>
      <c r="T67" s="4">
        <v>44955</v>
      </c>
      <c r="U67" s="2" t="s">
        <v>1699</v>
      </c>
      <c r="V67" s="6">
        <f>(Real_Sales[[#This Row],[Price_retail]]-Real_Sales[[#This Row],[Price_current]])/Real_Sales[[#This Row],[Price_retail]]</f>
        <v>0.11234705228031143</v>
      </c>
      <c r="W67" s="3" t="str" cm="1">
        <f t="array" ref="W67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7" s="2" t="str">
        <f>IF(Real_Sales[[#This Row],[Price_retail]]&gt;$AC$3,"Premium","Average")</f>
        <v>Average</v>
      </c>
      <c r="Y67" s="2" t="str">
        <f>IF(ISNUMBER(SEARCH("Basic",Real_Sales[[#This Row],[Product_name]])),"Yes","No")</f>
        <v>Yes</v>
      </c>
      <c r="Z67" s="2" cm="1">
        <f t="array" ref="Z67">_xlfn.IFS(Real_Sales[[#This Row],[Price_retail]]&lt;=15,1, Real_Sales[[#This Row],[Price_retail]]&lt;=30,2, Real_Sales[[#This Row],[Price_retail]]&lt;=50,3,Real_Sales[[#This Row],[Price_retail]]&gt;50,4)</f>
        <v>1</v>
      </c>
    </row>
    <row r="68" spans="1:26" x14ac:dyDescent="0.35">
      <c r="A68" s="2" t="s">
        <v>990</v>
      </c>
      <c r="B68" s="2" t="s">
        <v>991</v>
      </c>
      <c r="C68" s="2" t="s">
        <v>3410</v>
      </c>
      <c r="D68" s="2" t="s">
        <v>909</v>
      </c>
      <c r="E68" s="2" t="s">
        <v>4</v>
      </c>
      <c r="F68" s="2" t="s">
        <v>17</v>
      </c>
      <c r="G68" s="2" t="s">
        <v>18</v>
      </c>
      <c r="H68" s="2" t="s">
        <v>110</v>
      </c>
      <c r="I68" s="2" t="s">
        <v>3393</v>
      </c>
      <c r="J68" s="3">
        <v>8.99</v>
      </c>
      <c r="K68" s="3">
        <v>8.5399999999999991</v>
      </c>
      <c r="L68" s="2" t="s">
        <v>8</v>
      </c>
      <c r="M68" s="2" t="s">
        <v>9</v>
      </c>
      <c r="N68" s="3">
        <v>13</v>
      </c>
      <c r="O68" s="2" t="s">
        <v>302</v>
      </c>
      <c r="P68" s="2" t="s">
        <v>3392</v>
      </c>
      <c r="Q68" s="3"/>
      <c r="R68" s="3"/>
      <c r="S68" s="2" t="s">
        <v>12</v>
      </c>
      <c r="T68" s="4">
        <v>44955</v>
      </c>
      <c r="U68" s="2" t="s">
        <v>992</v>
      </c>
      <c r="V68" s="6">
        <f>(Real_Sales[[#This Row],[Price_retail]]-Real_Sales[[#This Row],[Price_current]])/Real_Sales[[#This Row],[Price_retail]]</f>
        <v>5.0055617352614136E-2</v>
      </c>
      <c r="W68" s="3" t="str" cm="1">
        <f t="array" ref="W68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8" s="2" t="str">
        <f>IF(Real_Sales[[#This Row],[Price_retail]]&gt;$AC$3,"Premium","Average")</f>
        <v>Average</v>
      </c>
      <c r="Y68" s="2" t="str">
        <f>IF(ISNUMBER(SEARCH("Basic",Real_Sales[[#This Row],[Product_name]])),"Yes","No")</f>
        <v>No</v>
      </c>
      <c r="Z68" s="2" cm="1">
        <f t="array" ref="Z68">_xlfn.IFS(Real_Sales[[#This Row],[Price_retail]]&lt;=15,1, Real_Sales[[#This Row],[Price_retail]]&lt;=30,2, Real_Sales[[#This Row],[Price_retail]]&lt;=50,3,Real_Sales[[#This Row],[Price_retail]]&gt;50,4)</f>
        <v>1</v>
      </c>
    </row>
    <row r="69" spans="1:26" x14ac:dyDescent="0.35">
      <c r="A69" s="2" t="s">
        <v>2264</v>
      </c>
      <c r="B69" s="2" t="s">
        <v>2265</v>
      </c>
      <c r="C69" s="2" t="s">
        <v>995</v>
      </c>
      <c r="D69" s="2" t="s">
        <v>354</v>
      </c>
      <c r="E69" s="2" t="s">
        <v>4</v>
      </c>
      <c r="F69" s="2" t="s">
        <v>17</v>
      </c>
      <c r="G69" s="2" t="s">
        <v>18</v>
      </c>
      <c r="H69" s="2" t="s">
        <v>90</v>
      </c>
      <c r="I69" s="2" t="s">
        <v>3390</v>
      </c>
      <c r="J69" s="3">
        <v>8.99</v>
      </c>
      <c r="K69" s="3">
        <v>8.5399999999999991</v>
      </c>
      <c r="L69" s="2" t="s">
        <v>8</v>
      </c>
      <c r="M69" s="2" t="s">
        <v>9</v>
      </c>
      <c r="N69" s="3">
        <v>387</v>
      </c>
      <c r="O69" s="2" t="s">
        <v>75</v>
      </c>
      <c r="P69" s="2" t="s">
        <v>221</v>
      </c>
      <c r="Q69" s="3"/>
      <c r="R69" s="3"/>
      <c r="S69" s="2" t="s">
        <v>21</v>
      </c>
      <c r="T69" s="4">
        <v>44955</v>
      </c>
      <c r="U69" s="2" t="s">
        <v>2266</v>
      </c>
      <c r="V69" s="6">
        <f>(Real_Sales[[#This Row],[Price_retail]]-Real_Sales[[#This Row],[Price_current]])/Real_Sales[[#This Row],[Price_retail]]</f>
        <v>5.0055617352614136E-2</v>
      </c>
      <c r="W69" s="3" t="str" cm="1">
        <f t="array" ref="W6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9" s="2" t="str">
        <f>IF(Real_Sales[[#This Row],[Price_retail]]&gt;$AC$3,"Premium","Average")</f>
        <v>Average</v>
      </c>
      <c r="Y69" s="2" t="str">
        <f>IF(ISNUMBER(SEARCH("Basic",Real_Sales[[#This Row],[Product_name]])),"Yes","No")</f>
        <v>No</v>
      </c>
      <c r="Z69" s="2" cm="1">
        <f t="array" ref="Z69">_xlfn.IFS(Real_Sales[[#This Row],[Price_retail]]&lt;=15,1, Real_Sales[[#This Row],[Price_retail]]&lt;=30,2, Real_Sales[[#This Row],[Price_retail]]&lt;=50,3,Real_Sales[[#This Row],[Price_retail]]&gt;50,4)</f>
        <v>1</v>
      </c>
    </row>
    <row r="70" spans="1:26" x14ac:dyDescent="0.35">
      <c r="A70" s="2" t="s">
        <v>78</v>
      </c>
      <c r="B70" s="2" t="s">
        <v>79</v>
      </c>
      <c r="C70" s="2" t="s">
        <v>80</v>
      </c>
      <c r="D70" s="2" t="s">
        <v>81</v>
      </c>
      <c r="E70" s="2" t="s">
        <v>4</v>
      </c>
      <c r="F70" s="2" t="s">
        <v>5</v>
      </c>
      <c r="G70" s="2" t="s">
        <v>82</v>
      </c>
      <c r="H70" s="2" t="s">
        <v>83</v>
      </c>
      <c r="I70" s="2" t="s">
        <v>3390</v>
      </c>
      <c r="J70" s="3">
        <v>8.99</v>
      </c>
      <c r="K70" s="3">
        <v>8.99</v>
      </c>
      <c r="L70" s="2" t="s">
        <v>3391</v>
      </c>
      <c r="M70" s="2" t="s">
        <v>9</v>
      </c>
      <c r="N70" s="3">
        <v>741</v>
      </c>
      <c r="O70" s="2" t="s">
        <v>69</v>
      </c>
      <c r="P70" s="2" t="s">
        <v>84</v>
      </c>
      <c r="Q70" s="3"/>
      <c r="R70" s="3"/>
      <c r="S70" s="2" t="s">
        <v>12</v>
      </c>
      <c r="T70" s="4">
        <v>44955</v>
      </c>
      <c r="U70" s="2" t="s">
        <v>85</v>
      </c>
      <c r="V70" s="6">
        <f>(Real_Sales[[#This Row],[Price_retail]]-Real_Sales[[#This Row],[Price_current]])/Real_Sales[[#This Row],[Price_retail]]</f>
        <v>0</v>
      </c>
      <c r="W70" s="3" t="str" cm="1">
        <f t="array" ref="W7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" s="2" t="str">
        <f>IF(Real_Sales[[#This Row],[Price_retail]]&gt;$AC$3,"Premium","Average")</f>
        <v>Average</v>
      </c>
      <c r="Y70" s="2" t="str">
        <f>IF(ISNUMBER(SEARCH("Basic",Real_Sales[[#This Row],[Product_name]])),"Yes","No")</f>
        <v>No</v>
      </c>
      <c r="Z70" s="2" cm="1">
        <f t="array" ref="Z70">_xlfn.IFS(Real_Sales[[#This Row],[Price_retail]]&lt;=15,1, Real_Sales[[#This Row],[Price_retail]]&lt;=30,2, Real_Sales[[#This Row],[Price_retail]]&lt;=50,3,Real_Sales[[#This Row],[Price_retail]]&gt;50,4)</f>
        <v>1</v>
      </c>
    </row>
    <row r="71" spans="1:26" x14ac:dyDescent="0.35">
      <c r="A71" s="2" t="s">
        <v>259</v>
      </c>
      <c r="B71" s="2" t="s">
        <v>260</v>
      </c>
      <c r="C71" s="2" t="s">
        <v>2915</v>
      </c>
      <c r="D71" s="2" t="s">
        <v>115</v>
      </c>
      <c r="E71" s="2" t="s">
        <v>4</v>
      </c>
      <c r="F71" s="2" t="s">
        <v>17</v>
      </c>
      <c r="G71" s="2" t="s">
        <v>18</v>
      </c>
      <c r="H71" s="2" t="s">
        <v>90</v>
      </c>
      <c r="I71" s="2" t="s">
        <v>3393</v>
      </c>
      <c r="J71" s="3">
        <v>8.99</v>
      </c>
      <c r="K71" s="3">
        <v>8.99</v>
      </c>
      <c r="L71" s="2" t="s">
        <v>3391</v>
      </c>
      <c r="M71" s="2" t="s">
        <v>9</v>
      </c>
      <c r="N71" s="3">
        <v>67</v>
      </c>
      <c r="O71" s="2" t="s">
        <v>261</v>
      </c>
      <c r="P71" s="2" t="s">
        <v>44</v>
      </c>
      <c r="Q71" s="3"/>
      <c r="R71" s="3"/>
      <c r="S71" s="2" t="s">
        <v>12</v>
      </c>
      <c r="T71" s="4">
        <v>44955</v>
      </c>
      <c r="U71" s="2" t="s">
        <v>262</v>
      </c>
      <c r="V71" s="6">
        <f>(Real_Sales[[#This Row],[Price_retail]]-Real_Sales[[#This Row],[Price_current]])/Real_Sales[[#This Row],[Price_retail]]</f>
        <v>0</v>
      </c>
      <c r="W71" s="3" t="str" cm="1">
        <f t="array" ref="W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" s="2" t="str">
        <f>IF(Real_Sales[[#This Row],[Price_retail]]&gt;$AC$3,"Premium","Average")</f>
        <v>Average</v>
      </c>
      <c r="Y71" s="2" t="str">
        <f>IF(ISNUMBER(SEARCH("Basic",Real_Sales[[#This Row],[Product_name]])),"Yes","No")</f>
        <v>No</v>
      </c>
      <c r="Z71" s="2" cm="1">
        <f t="array" ref="Z71">_xlfn.IFS(Real_Sales[[#This Row],[Price_retail]]&lt;=15,1, Real_Sales[[#This Row],[Price_retail]]&lt;=30,2, Real_Sales[[#This Row],[Price_retail]]&lt;=50,3,Real_Sales[[#This Row],[Price_retail]]&gt;50,4)</f>
        <v>1</v>
      </c>
    </row>
    <row r="72" spans="1:26" x14ac:dyDescent="0.35">
      <c r="A72" s="2" t="s">
        <v>394</v>
      </c>
      <c r="B72" s="2" t="s">
        <v>395</v>
      </c>
      <c r="C72" s="2" t="s">
        <v>3434</v>
      </c>
      <c r="D72" s="2" t="s">
        <v>49</v>
      </c>
      <c r="E72" s="2" t="s">
        <v>4</v>
      </c>
      <c r="F72" s="2" t="s">
        <v>17</v>
      </c>
      <c r="G72" s="2" t="s">
        <v>18</v>
      </c>
      <c r="H72" s="2" t="s">
        <v>51</v>
      </c>
      <c r="I72" s="2" t="s">
        <v>3390</v>
      </c>
      <c r="J72" s="3">
        <v>8.99</v>
      </c>
      <c r="K72" s="3">
        <v>8.99</v>
      </c>
      <c r="L72" s="2" t="s">
        <v>3391</v>
      </c>
      <c r="M72" s="2" t="s">
        <v>9</v>
      </c>
      <c r="N72" s="3">
        <v>174</v>
      </c>
      <c r="O72" s="2" t="s">
        <v>267</v>
      </c>
      <c r="P72" s="2" t="s">
        <v>177</v>
      </c>
      <c r="Q72" s="3"/>
      <c r="R72" s="3"/>
      <c r="S72" s="2" t="s">
        <v>21</v>
      </c>
      <c r="T72" s="4">
        <v>44955</v>
      </c>
      <c r="U72" s="2" t="s">
        <v>396</v>
      </c>
      <c r="V72" s="6">
        <f>(Real_Sales[[#This Row],[Price_retail]]-Real_Sales[[#This Row],[Price_current]])/Real_Sales[[#This Row],[Price_retail]]</f>
        <v>0</v>
      </c>
      <c r="W72" s="3" t="str" cm="1">
        <f t="array" ref="W7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" s="2" t="str">
        <f>IF(Real_Sales[[#This Row],[Price_retail]]&gt;$AC$3,"Premium","Average")</f>
        <v>Average</v>
      </c>
      <c r="Y72" s="2" t="str">
        <f>IF(ISNUMBER(SEARCH("Basic",Real_Sales[[#This Row],[Product_name]])),"Yes","No")</f>
        <v>Yes</v>
      </c>
      <c r="Z72" s="2" cm="1">
        <f t="array" ref="Z72">_xlfn.IFS(Real_Sales[[#This Row],[Price_retail]]&lt;=15,1, Real_Sales[[#This Row],[Price_retail]]&lt;=30,2, Real_Sales[[#This Row],[Price_retail]]&lt;=50,3,Real_Sales[[#This Row],[Price_retail]]&gt;50,4)</f>
        <v>1</v>
      </c>
    </row>
    <row r="73" spans="1:26" x14ac:dyDescent="0.35">
      <c r="A73" s="2" t="s">
        <v>496</v>
      </c>
      <c r="B73" s="2" t="s">
        <v>497</v>
      </c>
      <c r="C73" s="2" t="s">
        <v>3407</v>
      </c>
      <c r="D73" s="2" t="s">
        <v>3408</v>
      </c>
      <c r="E73" s="2" t="s">
        <v>4</v>
      </c>
      <c r="F73" s="2" t="s">
        <v>5</v>
      </c>
      <c r="G73" s="2" t="s">
        <v>82</v>
      </c>
      <c r="H73" s="2" t="s">
        <v>59</v>
      </c>
      <c r="I73" s="2" t="s">
        <v>3395</v>
      </c>
      <c r="J73" s="3">
        <v>8.99</v>
      </c>
      <c r="K73" s="3">
        <v>8.99</v>
      </c>
      <c r="L73" s="2" t="s">
        <v>3391</v>
      </c>
      <c r="M73" s="2" t="s">
        <v>9</v>
      </c>
      <c r="N73" s="3">
        <v>879</v>
      </c>
      <c r="O73" s="2" t="s">
        <v>69</v>
      </c>
      <c r="P73" s="2" t="s">
        <v>76</v>
      </c>
      <c r="Q73" s="3"/>
      <c r="R73" s="3"/>
      <c r="S73" s="2" t="s">
        <v>12</v>
      </c>
      <c r="T73" s="4">
        <v>44955</v>
      </c>
      <c r="U73" s="2" t="s">
        <v>498</v>
      </c>
      <c r="V73" s="6">
        <f>(Real_Sales[[#This Row],[Price_retail]]-Real_Sales[[#This Row],[Price_current]])/Real_Sales[[#This Row],[Price_retail]]</f>
        <v>0</v>
      </c>
      <c r="W73" s="3" t="str" cm="1">
        <f t="array" ref="W7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" s="2" t="str">
        <f>IF(Real_Sales[[#This Row],[Price_retail]]&gt;$AC$3,"Premium","Average")</f>
        <v>Average</v>
      </c>
      <c r="Y73" s="2" t="str">
        <f>IF(ISNUMBER(SEARCH("Basic",Real_Sales[[#This Row],[Product_name]])),"Yes","No")</f>
        <v>Yes</v>
      </c>
      <c r="Z73" s="2" cm="1">
        <f t="array" ref="Z73">_xlfn.IFS(Real_Sales[[#This Row],[Price_retail]]&lt;=15,1, Real_Sales[[#This Row],[Price_retail]]&lt;=30,2, Real_Sales[[#This Row],[Price_retail]]&lt;=50,3,Real_Sales[[#This Row],[Price_retail]]&gt;50,4)</f>
        <v>1</v>
      </c>
    </row>
    <row r="74" spans="1:26" x14ac:dyDescent="0.35">
      <c r="A74" s="2" t="s">
        <v>516</v>
      </c>
      <c r="B74" s="2" t="s">
        <v>517</v>
      </c>
      <c r="C74" s="2" t="s">
        <v>1090</v>
      </c>
      <c r="D74" s="2" t="s">
        <v>181</v>
      </c>
      <c r="E74" s="2" t="s">
        <v>4</v>
      </c>
      <c r="F74" s="2" t="s">
        <v>5</v>
      </c>
      <c r="G74" s="2" t="s">
        <v>121</v>
      </c>
      <c r="H74" s="2" t="s">
        <v>68</v>
      </c>
      <c r="I74" s="2" t="s">
        <v>3390</v>
      </c>
      <c r="J74" s="3">
        <v>8.99</v>
      </c>
      <c r="K74" s="3">
        <v>8.99</v>
      </c>
      <c r="L74" s="2" t="s">
        <v>3391</v>
      </c>
      <c r="M74" s="2" t="s">
        <v>9</v>
      </c>
      <c r="N74" s="3">
        <v>887</v>
      </c>
      <c r="O74" s="2" t="s">
        <v>140</v>
      </c>
      <c r="P74" s="2" t="s">
        <v>192</v>
      </c>
      <c r="Q74" s="3"/>
      <c r="R74" s="3"/>
      <c r="S74" s="2" t="s">
        <v>12</v>
      </c>
      <c r="T74" s="4">
        <v>44955</v>
      </c>
      <c r="U74" s="2" t="s">
        <v>518</v>
      </c>
      <c r="V74" s="6">
        <f>(Real_Sales[[#This Row],[Price_retail]]-Real_Sales[[#This Row],[Price_current]])/Real_Sales[[#This Row],[Price_retail]]</f>
        <v>0</v>
      </c>
      <c r="W74" s="3" t="str" cm="1">
        <f t="array" ref="W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" s="2" t="str">
        <f>IF(Real_Sales[[#This Row],[Price_retail]]&gt;$AC$3,"Premium","Average")</f>
        <v>Average</v>
      </c>
      <c r="Y74" s="2" t="str">
        <f>IF(ISNUMBER(SEARCH("Basic",Real_Sales[[#This Row],[Product_name]])),"Yes","No")</f>
        <v>No</v>
      </c>
      <c r="Z74" s="2" cm="1">
        <f t="array" ref="Z74">_xlfn.IFS(Real_Sales[[#This Row],[Price_retail]]&lt;=15,1, Real_Sales[[#This Row],[Price_retail]]&lt;=30,2, Real_Sales[[#This Row],[Price_retail]]&lt;=50,3,Real_Sales[[#This Row],[Price_retail]]&gt;50,4)</f>
        <v>1</v>
      </c>
    </row>
    <row r="75" spans="1:26" x14ac:dyDescent="0.35">
      <c r="A75" s="2" t="s">
        <v>519</v>
      </c>
      <c r="B75" s="2" t="s">
        <v>520</v>
      </c>
      <c r="C75" s="2" t="s">
        <v>65</v>
      </c>
      <c r="D75" s="2" t="s">
        <v>521</v>
      </c>
      <c r="E75" s="2" t="s">
        <v>4</v>
      </c>
      <c r="F75" s="2" t="s">
        <v>5</v>
      </c>
      <c r="G75" s="2" t="s">
        <v>6</v>
      </c>
      <c r="H75" s="2"/>
      <c r="I75" s="2" t="s">
        <v>3393</v>
      </c>
      <c r="J75" s="3">
        <v>8.99</v>
      </c>
      <c r="K75" s="3">
        <v>8.99</v>
      </c>
      <c r="L75" s="2" t="s">
        <v>3391</v>
      </c>
      <c r="M75" s="2" t="s">
        <v>9</v>
      </c>
      <c r="N75" s="3">
        <v>640</v>
      </c>
      <c r="O75" s="2" t="s">
        <v>52</v>
      </c>
      <c r="P75" s="2" t="s">
        <v>76</v>
      </c>
      <c r="Q75" s="3"/>
      <c r="R75" s="3"/>
      <c r="S75" s="2" t="s">
        <v>21</v>
      </c>
      <c r="T75" s="4">
        <v>44955</v>
      </c>
      <c r="U75" s="2" t="s">
        <v>522</v>
      </c>
      <c r="V75" s="6">
        <f>(Real_Sales[[#This Row],[Price_retail]]-Real_Sales[[#This Row],[Price_current]])/Real_Sales[[#This Row],[Price_retail]]</f>
        <v>0</v>
      </c>
      <c r="W75" s="3" t="str" cm="1">
        <f t="array" ref="W7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" s="2" t="str">
        <f>IF(Real_Sales[[#This Row],[Price_retail]]&gt;$AC$3,"Premium","Average")</f>
        <v>Average</v>
      </c>
      <c r="Y75" s="2" t="str">
        <f>IF(ISNUMBER(SEARCH("Basic",Real_Sales[[#This Row],[Product_name]])),"Yes","No")</f>
        <v>Yes</v>
      </c>
      <c r="Z75" s="2" cm="1">
        <f t="array" ref="Z75">_xlfn.IFS(Real_Sales[[#This Row],[Price_retail]]&lt;=15,1, Real_Sales[[#This Row],[Price_retail]]&lt;=30,2, Real_Sales[[#This Row],[Price_retail]]&lt;=50,3,Real_Sales[[#This Row],[Price_retail]]&gt;50,4)</f>
        <v>1</v>
      </c>
    </row>
    <row r="76" spans="1:26" x14ac:dyDescent="0.35">
      <c r="A76" s="2" t="s">
        <v>619</v>
      </c>
      <c r="B76" s="2" t="s">
        <v>620</v>
      </c>
      <c r="C76" s="2" t="s">
        <v>1743</v>
      </c>
      <c r="D76" s="2" t="s">
        <v>621</v>
      </c>
      <c r="E76" s="2" t="s">
        <v>4</v>
      </c>
      <c r="F76" s="2" t="s">
        <v>17</v>
      </c>
      <c r="G76" s="2" t="s">
        <v>18</v>
      </c>
      <c r="H76" s="2" t="s">
        <v>68</v>
      </c>
      <c r="I76" s="2" t="s">
        <v>3390</v>
      </c>
      <c r="J76" s="3">
        <v>8.99</v>
      </c>
      <c r="K76" s="3">
        <v>8.99</v>
      </c>
      <c r="L76" s="2" t="s">
        <v>3391</v>
      </c>
      <c r="M76" s="2" t="s">
        <v>9</v>
      </c>
      <c r="N76" s="3">
        <v>287</v>
      </c>
      <c r="O76" s="2" t="s">
        <v>3392</v>
      </c>
      <c r="P76" s="2" t="s">
        <v>221</v>
      </c>
      <c r="Q76" s="3"/>
      <c r="R76" s="3"/>
      <c r="S76" s="2" t="s">
        <v>21</v>
      </c>
      <c r="T76" s="4">
        <v>44955</v>
      </c>
      <c r="U76" s="2" t="s">
        <v>622</v>
      </c>
      <c r="V76" s="6">
        <f>(Real_Sales[[#This Row],[Price_retail]]-Real_Sales[[#This Row],[Price_current]])/Real_Sales[[#This Row],[Price_retail]]</f>
        <v>0</v>
      </c>
      <c r="W76" s="3" t="str" cm="1">
        <f t="array" ref="W7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6" s="2" t="str">
        <f>IF(Real_Sales[[#This Row],[Price_retail]]&gt;$AC$3,"Premium","Average")</f>
        <v>Average</v>
      </c>
      <c r="Y76" s="2" t="str">
        <f>IF(ISNUMBER(SEARCH("Basic",Real_Sales[[#This Row],[Product_name]])),"Yes","No")</f>
        <v>No</v>
      </c>
      <c r="Z76" s="2" cm="1">
        <f t="array" ref="Z76">_xlfn.IFS(Real_Sales[[#This Row],[Price_retail]]&lt;=15,1, Real_Sales[[#This Row],[Price_retail]]&lt;=30,2, Real_Sales[[#This Row],[Price_retail]]&lt;=50,3,Real_Sales[[#This Row],[Price_retail]]&gt;50,4)</f>
        <v>1</v>
      </c>
    </row>
    <row r="77" spans="1:26" x14ac:dyDescent="0.35">
      <c r="A77" s="2" t="s">
        <v>834</v>
      </c>
      <c r="B77" s="2" t="s">
        <v>835</v>
      </c>
      <c r="C77" s="2" t="s">
        <v>423</v>
      </c>
      <c r="D77" s="2" t="s">
        <v>220</v>
      </c>
      <c r="E77" s="2" t="s">
        <v>4</v>
      </c>
      <c r="F77" s="2" t="s">
        <v>17</v>
      </c>
      <c r="G77" s="2" t="s">
        <v>27</v>
      </c>
      <c r="H77" s="2" t="s">
        <v>139</v>
      </c>
      <c r="I77" s="2" t="s">
        <v>3395</v>
      </c>
      <c r="J77" s="3">
        <v>8.99</v>
      </c>
      <c r="K77" s="3">
        <v>8.99</v>
      </c>
      <c r="L77" s="2" t="s">
        <v>3391</v>
      </c>
      <c r="M77" s="2" t="s">
        <v>9</v>
      </c>
      <c r="N77" s="3">
        <v>501</v>
      </c>
      <c r="O77" s="2" t="s">
        <v>191</v>
      </c>
      <c r="P77" s="2" t="s">
        <v>44</v>
      </c>
      <c r="Q77" s="3"/>
      <c r="R77" s="3"/>
      <c r="S77" s="2" t="s">
        <v>21</v>
      </c>
      <c r="T77" s="4">
        <v>44955</v>
      </c>
      <c r="U77" s="2" t="s">
        <v>836</v>
      </c>
      <c r="V77" s="6">
        <f>(Real_Sales[[#This Row],[Price_retail]]-Real_Sales[[#This Row],[Price_current]])/Real_Sales[[#This Row],[Price_retail]]</f>
        <v>0</v>
      </c>
      <c r="W77" s="3" t="str" cm="1">
        <f t="array" ref="W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7" s="2" t="str">
        <f>IF(Real_Sales[[#This Row],[Price_retail]]&gt;$AC$3,"Premium","Average")</f>
        <v>Average</v>
      </c>
      <c r="Y77" s="2" t="str">
        <f>IF(ISNUMBER(SEARCH("Basic",Real_Sales[[#This Row],[Product_name]])),"Yes","No")</f>
        <v>No</v>
      </c>
      <c r="Z77" s="2" cm="1">
        <f t="array" ref="Z77">_xlfn.IFS(Real_Sales[[#This Row],[Price_retail]]&lt;=15,1, Real_Sales[[#This Row],[Price_retail]]&lt;=30,2, Real_Sales[[#This Row],[Price_retail]]&lt;=50,3,Real_Sales[[#This Row],[Price_retail]]&gt;50,4)</f>
        <v>1</v>
      </c>
    </row>
    <row r="78" spans="1:26" x14ac:dyDescent="0.35">
      <c r="A78" s="2" t="s">
        <v>957</v>
      </c>
      <c r="B78" s="2" t="s">
        <v>958</v>
      </c>
      <c r="C78" s="2" t="s">
        <v>108</v>
      </c>
      <c r="D78" s="2" t="s">
        <v>959</v>
      </c>
      <c r="E78" s="2" t="s">
        <v>4</v>
      </c>
      <c r="F78" s="2" t="s">
        <v>17</v>
      </c>
      <c r="G78" s="2" t="s">
        <v>18</v>
      </c>
      <c r="H78" s="2" t="s">
        <v>418</v>
      </c>
      <c r="I78" s="2" t="s">
        <v>3390</v>
      </c>
      <c r="J78" s="3">
        <v>8.99</v>
      </c>
      <c r="K78" s="3">
        <v>8.99</v>
      </c>
      <c r="L78" s="2" t="s">
        <v>3391</v>
      </c>
      <c r="M78" s="2" t="s">
        <v>9</v>
      </c>
      <c r="N78" s="3">
        <v>796</v>
      </c>
      <c r="O78" s="2" t="s">
        <v>104</v>
      </c>
      <c r="P78" s="2" t="s">
        <v>186</v>
      </c>
      <c r="Q78" s="3"/>
      <c r="R78" s="3"/>
      <c r="S78" s="2" t="s">
        <v>21</v>
      </c>
      <c r="T78" s="4">
        <v>44955</v>
      </c>
      <c r="U78" s="2" t="s">
        <v>960</v>
      </c>
      <c r="V78" s="6">
        <f>(Real_Sales[[#This Row],[Price_retail]]-Real_Sales[[#This Row],[Price_current]])/Real_Sales[[#This Row],[Price_retail]]</f>
        <v>0</v>
      </c>
      <c r="W78" s="3" t="str" cm="1">
        <f t="array" ref="W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" s="2" t="str">
        <f>IF(Real_Sales[[#This Row],[Price_retail]]&gt;$AC$3,"Premium","Average")</f>
        <v>Average</v>
      </c>
      <c r="Y78" s="2" t="str">
        <f>IF(ISNUMBER(SEARCH("Basic",Real_Sales[[#This Row],[Product_name]])),"Yes","No")</f>
        <v>No</v>
      </c>
      <c r="Z78" s="2" cm="1">
        <f t="array" ref="Z78">_xlfn.IFS(Real_Sales[[#This Row],[Price_retail]]&lt;=15,1, Real_Sales[[#This Row],[Price_retail]]&lt;=30,2, Real_Sales[[#This Row],[Price_retail]]&lt;=50,3,Real_Sales[[#This Row],[Price_retail]]&gt;50,4)</f>
        <v>1</v>
      </c>
    </row>
    <row r="79" spans="1:26" x14ac:dyDescent="0.35">
      <c r="A79" s="2" t="s">
        <v>1002</v>
      </c>
      <c r="B79" s="2" t="s">
        <v>1003</v>
      </c>
      <c r="C79" s="2" t="s">
        <v>412</v>
      </c>
      <c r="D79" s="2" t="s">
        <v>612</v>
      </c>
      <c r="E79" s="2" t="s">
        <v>4</v>
      </c>
      <c r="F79" s="2" t="s">
        <v>17</v>
      </c>
      <c r="G79" s="2" t="s">
        <v>50</v>
      </c>
      <c r="H79" s="2" t="s">
        <v>59</v>
      </c>
      <c r="I79" s="2" t="s">
        <v>3393</v>
      </c>
      <c r="J79" s="3">
        <v>8.99</v>
      </c>
      <c r="K79" s="3">
        <v>8.99</v>
      </c>
      <c r="L79" s="2" t="s">
        <v>3391</v>
      </c>
      <c r="M79" s="2" t="s">
        <v>9</v>
      </c>
      <c r="N79" s="3">
        <v>773</v>
      </c>
      <c r="O79" s="2" t="s">
        <v>267</v>
      </c>
      <c r="P79" s="2" t="s">
        <v>128</v>
      </c>
      <c r="Q79" s="3"/>
      <c r="R79" s="3"/>
      <c r="S79" s="2" t="s">
        <v>21</v>
      </c>
      <c r="T79" s="4">
        <v>44955</v>
      </c>
      <c r="U79" s="2" t="s">
        <v>1004</v>
      </c>
      <c r="V79" s="6">
        <f>(Real_Sales[[#This Row],[Price_retail]]-Real_Sales[[#This Row],[Price_current]])/Real_Sales[[#This Row],[Price_retail]]</f>
        <v>0</v>
      </c>
      <c r="W79" s="3" t="str" cm="1">
        <f t="array" ref="W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" s="2" t="str">
        <f>IF(Real_Sales[[#This Row],[Price_retail]]&gt;$AC$3,"Premium","Average")</f>
        <v>Average</v>
      </c>
      <c r="Y79" s="2" t="str">
        <f>IF(ISNUMBER(SEARCH("Basic",Real_Sales[[#This Row],[Product_name]])),"Yes","No")</f>
        <v>Yes</v>
      </c>
      <c r="Z79" s="2" cm="1">
        <f t="array" ref="Z79">_xlfn.IFS(Real_Sales[[#This Row],[Price_retail]]&lt;=15,1, Real_Sales[[#This Row],[Price_retail]]&lt;=30,2, Real_Sales[[#This Row],[Price_retail]]&lt;=50,3,Real_Sales[[#This Row],[Price_retail]]&gt;50,4)</f>
        <v>1</v>
      </c>
    </row>
    <row r="80" spans="1:26" x14ac:dyDescent="0.35">
      <c r="A80" s="2" t="s">
        <v>1020</v>
      </c>
      <c r="B80" s="2" t="s">
        <v>1021</v>
      </c>
      <c r="C80" s="2" t="s">
        <v>790</v>
      </c>
      <c r="D80" s="2" t="s">
        <v>49</v>
      </c>
      <c r="E80" s="2" t="s">
        <v>4</v>
      </c>
      <c r="F80" s="2" t="s">
        <v>17</v>
      </c>
      <c r="G80" s="2" t="s">
        <v>50</v>
      </c>
      <c r="H80" s="2" t="s">
        <v>51</v>
      </c>
      <c r="I80" s="2" t="s">
        <v>3390</v>
      </c>
      <c r="J80" s="3">
        <v>8.99</v>
      </c>
      <c r="K80" s="3">
        <v>8.99</v>
      </c>
      <c r="L80" s="2" t="s">
        <v>3391</v>
      </c>
      <c r="M80" s="2" t="s">
        <v>9</v>
      </c>
      <c r="N80" s="3">
        <v>821</v>
      </c>
      <c r="O80" s="2" t="s">
        <v>104</v>
      </c>
      <c r="P80" s="2" t="s">
        <v>122</v>
      </c>
      <c r="Q80" s="3"/>
      <c r="R80" s="3"/>
      <c r="S80" s="2" t="s">
        <v>21</v>
      </c>
      <c r="T80" s="4">
        <v>44955</v>
      </c>
      <c r="U80" s="2" t="s">
        <v>1022</v>
      </c>
      <c r="V80" s="6">
        <f>(Real_Sales[[#This Row],[Price_retail]]-Real_Sales[[#This Row],[Price_current]])/Real_Sales[[#This Row],[Price_retail]]</f>
        <v>0</v>
      </c>
      <c r="W80" s="3" t="str" cm="1">
        <f t="array" ref="W8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" s="2" t="str">
        <f>IF(Real_Sales[[#This Row],[Price_retail]]&gt;$AC$3,"Premium","Average")</f>
        <v>Average</v>
      </c>
      <c r="Y80" s="2" t="str">
        <f>IF(ISNUMBER(SEARCH("Basic",Real_Sales[[#This Row],[Product_name]])),"Yes","No")</f>
        <v>Yes</v>
      </c>
      <c r="Z80" s="2" cm="1">
        <f t="array" ref="Z80">_xlfn.IFS(Real_Sales[[#This Row],[Price_retail]]&lt;=15,1, Real_Sales[[#This Row],[Price_retail]]&lt;=30,2, Real_Sales[[#This Row],[Price_retail]]&lt;=50,3,Real_Sales[[#This Row],[Price_retail]]&gt;50,4)</f>
        <v>1</v>
      </c>
    </row>
    <row r="81" spans="1:26" x14ac:dyDescent="0.35">
      <c r="A81" s="2" t="s">
        <v>1062</v>
      </c>
      <c r="B81" s="2" t="s">
        <v>1063</v>
      </c>
      <c r="C81" s="2" t="s">
        <v>333</v>
      </c>
      <c r="D81" s="2" t="s">
        <v>446</v>
      </c>
      <c r="E81" s="2" t="s">
        <v>4</v>
      </c>
      <c r="F81" s="2" t="s">
        <v>17</v>
      </c>
      <c r="G81" s="2" t="s">
        <v>50</v>
      </c>
      <c r="H81" s="2" t="s">
        <v>145</v>
      </c>
      <c r="I81" s="2" t="s">
        <v>3395</v>
      </c>
      <c r="J81" s="3">
        <v>8.99</v>
      </c>
      <c r="K81" s="3">
        <v>8.99</v>
      </c>
      <c r="L81" s="2" t="s">
        <v>3391</v>
      </c>
      <c r="M81" s="2" t="s">
        <v>9</v>
      </c>
      <c r="N81" s="3">
        <v>298</v>
      </c>
      <c r="O81" s="2" t="s">
        <v>98</v>
      </c>
      <c r="P81" s="2" t="s">
        <v>368</v>
      </c>
      <c r="Q81" s="3"/>
      <c r="R81" s="3"/>
      <c r="S81" s="2" t="s">
        <v>12</v>
      </c>
      <c r="T81" s="4">
        <v>44955</v>
      </c>
      <c r="U81" s="2" t="s">
        <v>1064</v>
      </c>
      <c r="V81" s="6">
        <f>(Real_Sales[[#This Row],[Price_retail]]-Real_Sales[[#This Row],[Price_current]])/Real_Sales[[#This Row],[Price_retail]]</f>
        <v>0</v>
      </c>
      <c r="W81" s="3" t="str" cm="1">
        <f t="array" ref="W8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1" s="2" t="str">
        <f>IF(Real_Sales[[#This Row],[Price_retail]]&gt;$AC$3,"Premium","Average")</f>
        <v>Average</v>
      </c>
      <c r="Y81" s="2" t="str">
        <f>IF(ISNUMBER(SEARCH("Basic",Real_Sales[[#This Row],[Product_name]])),"Yes","No")</f>
        <v>Yes</v>
      </c>
      <c r="Z81" s="2" cm="1">
        <f t="array" ref="Z81">_xlfn.IFS(Real_Sales[[#This Row],[Price_retail]]&lt;=15,1, Real_Sales[[#This Row],[Price_retail]]&lt;=30,2, Real_Sales[[#This Row],[Price_retail]]&lt;=50,3,Real_Sales[[#This Row],[Price_retail]]&gt;50,4)</f>
        <v>1</v>
      </c>
    </row>
    <row r="82" spans="1:26" x14ac:dyDescent="0.35">
      <c r="A82" s="2" t="s">
        <v>1081</v>
      </c>
      <c r="B82" s="2" t="s">
        <v>1082</v>
      </c>
      <c r="C82" s="2" t="s">
        <v>306</v>
      </c>
      <c r="D82" s="2" t="s">
        <v>490</v>
      </c>
      <c r="E82" s="2" t="s">
        <v>4</v>
      </c>
      <c r="F82" s="2" t="s">
        <v>17</v>
      </c>
      <c r="G82" s="2" t="s">
        <v>27</v>
      </c>
      <c r="H82" s="2" t="s">
        <v>185</v>
      </c>
      <c r="I82" s="2" t="s">
        <v>3390</v>
      </c>
      <c r="J82" s="3">
        <v>8.99</v>
      </c>
      <c r="K82" s="3">
        <v>8.99</v>
      </c>
      <c r="L82" s="2" t="s">
        <v>3391</v>
      </c>
      <c r="M82" s="2" t="s">
        <v>9</v>
      </c>
      <c r="N82" s="3">
        <v>745</v>
      </c>
      <c r="O82" s="2" t="s">
        <v>52</v>
      </c>
      <c r="P82" s="2" t="s">
        <v>61</v>
      </c>
      <c r="Q82" s="3"/>
      <c r="R82" s="3"/>
      <c r="S82" s="2" t="s">
        <v>21</v>
      </c>
      <c r="T82" s="4">
        <v>44955</v>
      </c>
      <c r="U82" s="2" t="s">
        <v>1083</v>
      </c>
      <c r="V82" s="6">
        <f>(Real_Sales[[#This Row],[Price_retail]]-Real_Sales[[#This Row],[Price_current]])/Real_Sales[[#This Row],[Price_retail]]</f>
        <v>0</v>
      </c>
      <c r="W82" s="3" t="str" cm="1">
        <f t="array" ref="W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2" s="2" t="str">
        <f>IF(Real_Sales[[#This Row],[Price_retail]]&gt;$AC$3,"Premium","Average")</f>
        <v>Average</v>
      </c>
      <c r="Y82" s="2" t="str">
        <f>IF(ISNUMBER(SEARCH("Basic",Real_Sales[[#This Row],[Product_name]])),"Yes","No")</f>
        <v>No</v>
      </c>
      <c r="Z82" s="2" cm="1">
        <f t="array" ref="Z82">_xlfn.IFS(Real_Sales[[#This Row],[Price_retail]]&lt;=15,1, Real_Sales[[#This Row],[Price_retail]]&lt;=30,2, Real_Sales[[#This Row],[Price_retail]]&lt;=50,3,Real_Sales[[#This Row],[Price_retail]]&gt;50,4)</f>
        <v>1</v>
      </c>
    </row>
    <row r="83" spans="1:26" x14ac:dyDescent="0.35">
      <c r="A83" s="2" t="s">
        <v>1084</v>
      </c>
      <c r="B83" s="2" t="s">
        <v>1085</v>
      </c>
      <c r="C83" s="2" t="s">
        <v>1086</v>
      </c>
      <c r="D83" s="2" t="s">
        <v>424</v>
      </c>
      <c r="E83" s="2" t="s">
        <v>4</v>
      </c>
      <c r="F83" s="2" t="s">
        <v>5</v>
      </c>
      <c r="G83" s="2" t="s">
        <v>82</v>
      </c>
      <c r="H83" s="2" t="s">
        <v>59</v>
      </c>
      <c r="I83" s="2" t="s">
        <v>3393</v>
      </c>
      <c r="J83" s="3">
        <v>8.99</v>
      </c>
      <c r="K83" s="3">
        <v>8.99</v>
      </c>
      <c r="L83" s="2" t="s">
        <v>3391</v>
      </c>
      <c r="M83" s="2" t="s">
        <v>9</v>
      </c>
      <c r="N83" s="3">
        <v>211</v>
      </c>
      <c r="O83" s="2" t="s">
        <v>347</v>
      </c>
      <c r="P83" s="2" t="s">
        <v>30</v>
      </c>
      <c r="Q83" s="3"/>
      <c r="R83" s="3"/>
      <c r="S83" s="2" t="s">
        <v>21</v>
      </c>
      <c r="T83" s="4">
        <v>44955</v>
      </c>
      <c r="U83" s="2" t="s">
        <v>1087</v>
      </c>
      <c r="V83" s="6">
        <f>(Real_Sales[[#This Row],[Price_retail]]-Real_Sales[[#This Row],[Price_current]])/Real_Sales[[#This Row],[Price_retail]]</f>
        <v>0</v>
      </c>
      <c r="W83" s="3" t="str" cm="1">
        <f t="array" ref="W8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" s="2" t="str">
        <f>IF(Real_Sales[[#This Row],[Price_retail]]&gt;$AC$3,"Premium","Average")</f>
        <v>Average</v>
      </c>
      <c r="Y83" s="2" t="str">
        <f>IF(ISNUMBER(SEARCH("Basic",Real_Sales[[#This Row],[Product_name]])),"Yes","No")</f>
        <v>No</v>
      </c>
      <c r="Z83" s="2" cm="1">
        <f t="array" ref="Z83">_xlfn.IFS(Real_Sales[[#This Row],[Price_retail]]&lt;=15,1, Real_Sales[[#This Row],[Price_retail]]&lt;=30,2, Real_Sales[[#This Row],[Price_retail]]&lt;=50,3,Real_Sales[[#This Row],[Price_retail]]&gt;50,4)</f>
        <v>1</v>
      </c>
    </row>
    <row r="84" spans="1:26" x14ac:dyDescent="0.35">
      <c r="A84" s="2" t="s">
        <v>1178</v>
      </c>
      <c r="B84" s="2" t="s">
        <v>1179</v>
      </c>
      <c r="C84" s="2" t="s">
        <v>1180</v>
      </c>
      <c r="D84" s="2" t="s">
        <v>929</v>
      </c>
      <c r="E84" s="2" t="s">
        <v>4</v>
      </c>
      <c r="F84" s="2" t="s">
        <v>5</v>
      </c>
      <c r="G84" s="2" t="s">
        <v>121</v>
      </c>
      <c r="H84" s="2" t="s">
        <v>51</v>
      </c>
      <c r="I84" s="2" t="s">
        <v>3395</v>
      </c>
      <c r="J84" s="3">
        <v>8.99</v>
      </c>
      <c r="K84" s="3">
        <v>8.99</v>
      </c>
      <c r="L84" s="2" t="s">
        <v>3391</v>
      </c>
      <c r="M84" s="2" t="s">
        <v>9</v>
      </c>
      <c r="N84" s="3">
        <v>622</v>
      </c>
      <c r="O84" s="2" t="s">
        <v>69</v>
      </c>
      <c r="P84" s="2" t="s">
        <v>629</v>
      </c>
      <c r="Q84" s="3"/>
      <c r="R84" s="3"/>
      <c r="S84" s="2" t="s">
        <v>21</v>
      </c>
      <c r="T84" s="4">
        <v>44955</v>
      </c>
      <c r="U84" s="2" t="s">
        <v>1181</v>
      </c>
      <c r="V84" s="6">
        <f>(Real_Sales[[#This Row],[Price_retail]]-Real_Sales[[#This Row],[Price_current]])/Real_Sales[[#This Row],[Price_retail]]</f>
        <v>0</v>
      </c>
      <c r="W84" s="3" t="str" cm="1">
        <f t="array" ref="W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" s="2" t="str">
        <f>IF(Real_Sales[[#This Row],[Price_retail]]&gt;$AC$3,"Premium","Average")</f>
        <v>Average</v>
      </c>
      <c r="Y84" s="2" t="str">
        <f>IF(ISNUMBER(SEARCH("Basic",Real_Sales[[#This Row],[Product_name]])),"Yes","No")</f>
        <v>No</v>
      </c>
      <c r="Z84" s="2" cm="1">
        <f t="array" ref="Z84">_xlfn.IFS(Real_Sales[[#This Row],[Price_retail]]&lt;=15,1, Real_Sales[[#This Row],[Price_retail]]&lt;=30,2, Real_Sales[[#This Row],[Price_retail]]&lt;=50,3,Real_Sales[[#This Row],[Price_retail]]&gt;50,4)</f>
        <v>1</v>
      </c>
    </row>
    <row r="85" spans="1:26" x14ac:dyDescent="0.35">
      <c r="A85" s="2" t="s">
        <v>1195</v>
      </c>
      <c r="B85" s="2" t="s">
        <v>1196</v>
      </c>
      <c r="C85" s="2" t="s">
        <v>786</v>
      </c>
      <c r="D85" s="2" t="s">
        <v>272</v>
      </c>
      <c r="E85" s="2" t="s">
        <v>4</v>
      </c>
      <c r="F85" s="2" t="s">
        <v>5</v>
      </c>
      <c r="G85" s="2" t="s">
        <v>6</v>
      </c>
      <c r="H85" s="2" t="s">
        <v>51</v>
      </c>
      <c r="I85" s="2" t="s">
        <v>3390</v>
      </c>
      <c r="J85" s="3">
        <v>8.99</v>
      </c>
      <c r="K85" s="3">
        <v>8.99</v>
      </c>
      <c r="L85" s="2" t="s">
        <v>3391</v>
      </c>
      <c r="M85" s="2" t="s">
        <v>9</v>
      </c>
      <c r="N85" s="3">
        <v>945</v>
      </c>
      <c r="O85" s="2" t="s">
        <v>664</v>
      </c>
      <c r="P85" s="2" t="s">
        <v>53</v>
      </c>
      <c r="Q85" s="3"/>
      <c r="R85" s="3"/>
      <c r="S85" s="2" t="s">
        <v>12</v>
      </c>
      <c r="T85" s="4">
        <v>44955</v>
      </c>
      <c r="U85" s="2" t="s">
        <v>1197</v>
      </c>
      <c r="V85" s="6">
        <f>(Real_Sales[[#This Row],[Price_retail]]-Real_Sales[[#This Row],[Price_current]])/Real_Sales[[#This Row],[Price_retail]]</f>
        <v>0</v>
      </c>
      <c r="W85" s="3" t="str" cm="1">
        <f t="array" ref="W8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" s="2" t="str">
        <f>IF(Real_Sales[[#This Row],[Price_retail]]&gt;$AC$3,"Premium","Average")</f>
        <v>Average</v>
      </c>
      <c r="Y85" s="2" t="str">
        <f>IF(ISNUMBER(SEARCH("Basic",Real_Sales[[#This Row],[Product_name]])),"Yes","No")</f>
        <v>No</v>
      </c>
      <c r="Z85" s="2" cm="1">
        <f t="array" ref="Z85">_xlfn.IFS(Real_Sales[[#This Row],[Price_retail]]&lt;=15,1, Real_Sales[[#This Row],[Price_retail]]&lt;=30,2, Real_Sales[[#This Row],[Price_retail]]&lt;=50,3,Real_Sales[[#This Row],[Price_retail]]&gt;50,4)</f>
        <v>1</v>
      </c>
    </row>
    <row r="86" spans="1:26" x14ac:dyDescent="0.35">
      <c r="A86" s="2" t="s">
        <v>1264</v>
      </c>
      <c r="B86" s="2" t="s">
        <v>1265</v>
      </c>
      <c r="C86" s="2" t="s">
        <v>65</v>
      </c>
      <c r="D86" s="2" t="s">
        <v>913</v>
      </c>
      <c r="E86" s="2" t="s">
        <v>4</v>
      </c>
      <c r="F86" s="2" t="s">
        <v>17</v>
      </c>
      <c r="G86" s="2" t="s">
        <v>27</v>
      </c>
      <c r="H86" s="2" t="s">
        <v>51</v>
      </c>
      <c r="I86" s="2" t="s">
        <v>3393</v>
      </c>
      <c r="J86" s="3">
        <v>8.99</v>
      </c>
      <c r="K86" s="3">
        <v>8.99</v>
      </c>
      <c r="L86" s="2" t="s">
        <v>3391</v>
      </c>
      <c r="M86" s="2" t="s">
        <v>9</v>
      </c>
      <c r="N86" s="3">
        <v>905</v>
      </c>
      <c r="O86" s="2" t="s">
        <v>75</v>
      </c>
      <c r="P86" s="2" t="s">
        <v>3392</v>
      </c>
      <c r="Q86" s="3"/>
      <c r="R86" s="3"/>
      <c r="S86" s="2" t="s">
        <v>21</v>
      </c>
      <c r="T86" s="4">
        <v>44955</v>
      </c>
      <c r="U86" s="2" t="s">
        <v>1266</v>
      </c>
      <c r="V86" s="6">
        <f>(Real_Sales[[#This Row],[Price_retail]]-Real_Sales[[#This Row],[Price_current]])/Real_Sales[[#This Row],[Price_retail]]</f>
        <v>0</v>
      </c>
      <c r="W86" s="3" t="str" cm="1">
        <f t="array" ref="W8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" s="2" t="str">
        <f>IF(Real_Sales[[#This Row],[Price_retail]]&gt;$AC$3,"Premium","Average")</f>
        <v>Average</v>
      </c>
      <c r="Y86" s="2" t="str">
        <f>IF(ISNUMBER(SEARCH("Basic",Real_Sales[[#This Row],[Product_name]])),"Yes","No")</f>
        <v>No</v>
      </c>
      <c r="Z86" s="2" cm="1">
        <f t="array" ref="Z86">_xlfn.IFS(Real_Sales[[#This Row],[Price_retail]]&lt;=15,1, Real_Sales[[#This Row],[Price_retail]]&lt;=30,2, Real_Sales[[#This Row],[Price_retail]]&lt;=50,3,Real_Sales[[#This Row],[Price_retail]]&gt;50,4)</f>
        <v>1</v>
      </c>
    </row>
    <row r="87" spans="1:26" x14ac:dyDescent="0.35">
      <c r="A87" s="2" t="s">
        <v>1276</v>
      </c>
      <c r="B87" s="2" t="s">
        <v>1277</v>
      </c>
      <c r="C87" s="2" t="s">
        <v>1973</v>
      </c>
      <c r="D87" s="2" t="s">
        <v>214</v>
      </c>
      <c r="E87" s="2" t="s">
        <v>4</v>
      </c>
      <c r="F87" s="2" t="s">
        <v>5</v>
      </c>
      <c r="G87" s="2" t="s">
        <v>6</v>
      </c>
      <c r="H87" s="2" t="s">
        <v>139</v>
      </c>
      <c r="I87" s="2" t="s">
        <v>3393</v>
      </c>
      <c r="J87" s="3">
        <v>8.99</v>
      </c>
      <c r="K87" s="3">
        <v>8.99</v>
      </c>
      <c r="L87" s="2" t="s">
        <v>3391</v>
      </c>
      <c r="M87" s="2" t="s">
        <v>9</v>
      </c>
      <c r="N87" s="3">
        <v>364</v>
      </c>
      <c r="O87" s="2" t="s">
        <v>3392</v>
      </c>
      <c r="P87" s="2" t="s">
        <v>92</v>
      </c>
      <c r="Q87" s="3"/>
      <c r="R87" s="3"/>
      <c r="S87" s="2" t="s">
        <v>21</v>
      </c>
      <c r="T87" s="4">
        <v>44955</v>
      </c>
      <c r="U87" s="2" t="s">
        <v>1278</v>
      </c>
      <c r="V87" s="6">
        <f>(Real_Sales[[#This Row],[Price_retail]]-Real_Sales[[#This Row],[Price_current]])/Real_Sales[[#This Row],[Price_retail]]</f>
        <v>0</v>
      </c>
      <c r="W87" s="3" t="str" cm="1">
        <f t="array" ref="W8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" s="2" t="str">
        <f>IF(Real_Sales[[#This Row],[Price_retail]]&gt;$AC$3,"Premium","Average")</f>
        <v>Average</v>
      </c>
      <c r="Y87" s="2" t="str">
        <f>IF(ISNUMBER(SEARCH("Basic",Real_Sales[[#This Row],[Product_name]])),"Yes","No")</f>
        <v>No</v>
      </c>
      <c r="Z87" s="2" cm="1">
        <f t="array" ref="Z87">_xlfn.IFS(Real_Sales[[#This Row],[Price_retail]]&lt;=15,1, Real_Sales[[#This Row],[Price_retail]]&lt;=30,2, Real_Sales[[#This Row],[Price_retail]]&lt;=50,3,Real_Sales[[#This Row],[Price_retail]]&gt;50,4)</f>
        <v>1</v>
      </c>
    </row>
    <row r="88" spans="1:26" x14ac:dyDescent="0.35">
      <c r="A88" s="2" t="s">
        <v>1309</v>
      </c>
      <c r="B88" s="2" t="s">
        <v>1310</v>
      </c>
      <c r="C88" s="2" t="s">
        <v>1839</v>
      </c>
      <c r="D88" s="2" t="s">
        <v>1000</v>
      </c>
      <c r="E88" s="2" t="s">
        <v>4</v>
      </c>
      <c r="F88" s="2" t="s">
        <v>17</v>
      </c>
      <c r="G88" s="2" t="s">
        <v>67</v>
      </c>
      <c r="H88" s="2" t="s">
        <v>68</v>
      </c>
      <c r="I88" s="2" t="s">
        <v>3393</v>
      </c>
      <c r="J88" s="3">
        <v>8.99</v>
      </c>
      <c r="K88" s="3">
        <v>8.99</v>
      </c>
      <c r="L88" s="2" t="s">
        <v>3391</v>
      </c>
      <c r="M88" s="2" t="s">
        <v>9</v>
      </c>
      <c r="N88" s="3">
        <v>117</v>
      </c>
      <c r="O88" s="2" t="s">
        <v>140</v>
      </c>
      <c r="P88" s="2" t="s">
        <v>186</v>
      </c>
      <c r="Q88" s="3"/>
      <c r="R88" s="3"/>
      <c r="S88" s="2" t="s">
        <v>21</v>
      </c>
      <c r="T88" s="4">
        <v>44955</v>
      </c>
      <c r="U88" s="2" t="s">
        <v>1311</v>
      </c>
      <c r="V88" s="6">
        <f>(Real_Sales[[#This Row],[Price_retail]]-Real_Sales[[#This Row],[Price_current]])/Real_Sales[[#This Row],[Price_retail]]</f>
        <v>0</v>
      </c>
      <c r="W88" s="3" t="str" cm="1">
        <f t="array" ref="W8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8" s="2" t="str">
        <f>IF(Real_Sales[[#This Row],[Price_retail]]&gt;$AC$3,"Premium","Average")</f>
        <v>Average</v>
      </c>
      <c r="Y88" s="2" t="str">
        <f>IF(ISNUMBER(SEARCH("Basic",Real_Sales[[#This Row],[Product_name]])),"Yes","No")</f>
        <v>No</v>
      </c>
      <c r="Z88" s="2" cm="1">
        <f t="array" ref="Z88">_xlfn.IFS(Real_Sales[[#This Row],[Price_retail]]&lt;=15,1, Real_Sales[[#This Row],[Price_retail]]&lt;=30,2, Real_Sales[[#This Row],[Price_retail]]&lt;=50,3,Real_Sales[[#This Row],[Price_retail]]&gt;50,4)</f>
        <v>1</v>
      </c>
    </row>
    <row r="89" spans="1:26" x14ac:dyDescent="0.35">
      <c r="A89" s="2" t="s">
        <v>1329</v>
      </c>
      <c r="B89" s="2" t="s">
        <v>1330</v>
      </c>
      <c r="C89" s="2" t="s">
        <v>1115</v>
      </c>
      <c r="D89" s="2" t="s">
        <v>674</v>
      </c>
      <c r="E89" s="2" t="s">
        <v>4</v>
      </c>
      <c r="F89" s="2" t="s">
        <v>5</v>
      </c>
      <c r="G89" s="2" t="s">
        <v>6</v>
      </c>
      <c r="H89" s="2" t="s">
        <v>333</v>
      </c>
      <c r="I89" s="2" t="s">
        <v>3395</v>
      </c>
      <c r="J89" s="3">
        <v>8.99</v>
      </c>
      <c r="K89" s="3">
        <v>8.99</v>
      </c>
      <c r="L89" s="2" t="s">
        <v>3391</v>
      </c>
      <c r="M89" s="2" t="s">
        <v>9</v>
      </c>
      <c r="N89" s="3">
        <v>994</v>
      </c>
      <c r="O89" s="2" t="s">
        <v>36</v>
      </c>
      <c r="P89" s="2" t="s">
        <v>238</v>
      </c>
      <c r="Q89" s="3"/>
      <c r="R89" s="3"/>
      <c r="S89" s="2" t="s">
        <v>21</v>
      </c>
      <c r="T89" s="4">
        <v>44955</v>
      </c>
      <c r="U89" s="2" t="s">
        <v>1331</v>
      </c>
      <c r="V89" s="6">
        <f>(Real_Sales[[#This Row],[Price_retail]]-Real_Sales[[#This Row],[Price_current]])/Real_Sales[[#This Row],[Price_retail]]</f>
        <v>0</v>
      </c>
      <c r="W89" s="3" t="str" cm="1">
        <f t="array" ref="W8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9" s="2" t="str">
        <f>IF(Real_Sales[[#This Row],[Price_retail]]&gt;$AC$3,"Premium","Average")</f>
        <v>Average</v>
      </c>
      <c r="Y89" s="2" t="str">
        <f>IF(ISNUMBER(SEARCH("Basic",Real_Sales[[#This Row],[Product_name]])),"Yes","No")</f>
        <v>No</v>
      </c>
      <c r="Z89" s="2" cm="1">
        <f t="array" ref="Z89">_xlfn.IFS(Real_Sales[[#This Row],[Price_retail]]&lt;=15,1, Real_Sales[[#This Row],[Price_retail]]&lt;=30,2, Real_Sales[[#This Row],[Price_retail]]&lt;=50,3,Real_Sales[[#This Row],[Price_retail]]&gt;50,4)</f>
        <v>1</v>
      </c>
    </row>
    <row r="90" spans="1:26" x14ac:dyDescent="0.35">
      <c r="A90" s="2" t="s">
        <v>1347</v>
      </c>
      <c r="B90" s="2" t="s">
        <v>1348</v>
      </c>
      <c r="C90" s="2" t="s">
        <v>41</v>
      </c>
      <c r="D90" s="2" t="s">
        <v>296</v>
      </c>
      <c r="E90" s="2" t="s">
        <v>4</v>
      </c>
      <c r="F90" s="2" t="s">
        <v>5</v>
      </c>
      <c r="G90" s="2" t="s">
        <v>82</v>
      </c>
      <c r="H90" s="2" t="s">
        <v>145</v>
      </c>
      <c r="I90" s="2" t="s">
        <v>3390</v>
      </c>
      <c r="J90" s="3">
        <v>8.99</v>
      </c>
      <c r="K90" s="3">
        <v>8.99</v>
      </c>
      <c r="L90" s="2" t="s">
        <v>3391</v>
      </c>
      <c r="M90" s="2" t="s">
        <v>9</v>
      </c>
      <c r="N90" s="3">
        <v>103</v>
      </c>
      <c r="O90" s="2" t="s">
        <v>3392</v>
      </c>
      <c r="P90" s="2" t="s">
        <v>186</v>
      </c>
      <c r="Q90" s="3"/>
      <c r="R90" s="3"/>
      <c r="S90" s="2" t="s">
        <v>21</v>
      </c>
      <c r="T90" s="4">
        <v>44955</v>
      </c>
      <c r="U90" s="2" t="s">
        <v>1349</v>
      </c>
      <c r="V90" s="6">
        <f>(Real_Sales[[#This Row],[Price_retail]]-Real_Sales[[#This Row],[Price_current]])/Real_Sales[[#This Row],[Price_retail]]</f>
        <v>0</v>
      </c>
      <c r="W90" s="3" t="str" cm="1">
        <f t="array" ref="W9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0" s="2" t="str">
        <f>IF(Real_Sales[[#This Row],[Price_retail]]&gt;$AC$3,"Premium","Average")</f>
        <v>Average</v>
      </c>
      <c r="Y90" s="2" t="str">
        <f>IF(ISNUMBER(SEARCH("Basic",Real_Sales[[#This Row],[Product_name]])),"Yes","No")</f>
        <v>Yes</v>
      </c>
      <c r="Z90" s="2" cm="1">
        <f t="array" ref="Z90">_xlfn.IFS(Real_Sales[[#This Row],[Price_retail]]&lt;=15,1, Real_Sales[[#This Row],[Price_retail]]&lt;=30,2, Real_Sales[[#This Row],[Price_retail]]&lt;=50,3,Real_Sales[[#This Row],[Price_retail]]&gt;50,4)</f>
        <v>1</v>
      </c>
    </row>
    <row r="91" spans="1:26" x14ac:dyDescent="0.35">
      <c r="A91" s="2" t="s">
        <v>1357</v>
      </c>
      <c r="B91" s="2" t="s">
        <v>1358</v>
      </c>
      <c r="C91" s="2" t="s">
        <v>1359</v>
      </c>
      <c r="D91" s="2" t="s">
        <v>1147</v>
      </c>
      <c r="E91" s="2" t="s">
        <v>4</v>
      </c>
      <c r="F91" s="2" t="s">
        <v>5</v>
      </c>
      <c r="G91" s="2" t="s">
        <v>121</v>
      </c>
      <c r="H91" s="2" t="s">
        <v>51</v>
      </c>
      <c r="I91" s="2" t="s">
        <v>3395</v>
      </c>
      <c r="J91" s="3">
        <v>8.99</v>
      </c>
      <c r="K91" s="3">
        <v>8.99</v>
      </c>
      <c r="L91" s="2" t="s">
        <v>3391</v>
      </c>
      <c r="M91" s="2" t="s">
        <v>9</v>
      </c>
      <c r="N91" s="3">
        <v>584</v>
      </c>
      <c r="O91" s="2" t="s">
        <v>3392</v>
      </c>
      <c r="P91" s="2" t="s">
        <v>419</v>
      </c>
      <c r="Q91" s="3"/>
      <c r="R91" s="3"/>
      <c r="S91" s="2" t="s">
        <v>12</v>
      </c>
      <c r="T91" s="4">
        <v>44955</v>
      </c>
      <c r="U91" s="2" t="s">
        <v>1360</v>
      </c>
      <c r="V91" s="6">
        <f>(Real_Sales[[#This Row],[Price_retail]]-Real_Sales[[#This Row],[Price_current]])/Real_Sales[[#This Row],[Price_retail]]</f>
        <v>0</v>
      </c>
      <c r="W91" s="3" t="str" cm="1">
        <f t="array" ref="W9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" s="2" t="str">
        <f>IF(Real_Sales[[#This Row],[Price_retail]]&gt;$AC$3,"Premium","Average")</f>
        <v>Average</v>
      </c>
      <c r="Y91" s="2" t="str">
        <f>IF(ISNUMBER(SEARCH("Basic",Real_Sales[[#This Row],[Product_name]])),"Yes","No")</f>
        <v>Yes</v>
      </c>
      <c r="Z91" s="2" cm="1">
        <f t="array" ref="Z91">_xlfn.IFS(Real_Sales[[#This Row],[Price_retail]]&lt;=15,1, Real_Sales[[#This Row],[Price_retail]]&lt;=30,2, Real_Sales[[#This Row],[Price_retail]]&lt;=50,3,Real_Sales[[#This Row],[Price_retail]]&gt;50,4)</f>
        <v>1</v>
      </c>
    </row>
    <row r="92" spans="1:26" x14ac:dyDescent="0.35">
      <c r="A92" s="2" t="s">
        <v>1413</v>
      </c>
      <c r="B92" s="2" t="s">
        <v>1414</v>
      </c>
      <c r="C92" s="2" t="s">
        <v>242</v>
      </c>
      <c r="D92" s="2" t="s">
        <v>1091</v>
      </c>
      <c r="E92" s="2" t="s">
        <v>4</v>
      </c>
      <c r="F92" s="2" t="s">
        <v>17</v>
      </c>
      <c r="G92" s="2" t="s">
        <v>67</v>
      </c>
      <c r="H92" s="2" t="s">
        <v>7</v>
      </c>
      <c r="I92" s="2" t="s">
        <v>3390</v>
      </c>
      <c r="J92" s="3">
        <v>8.99</v>
      </c>
      <c r="K92" s="3">
        <v>8.99</v>
      </c>
      <c r="L92" s="2" t="s">
        <v>3391</v>
      </c>
      <c r="M92" s="2" t="s">
        <v>9</v>
      </c>
      <c r="N92" s="3">
        <v>93</v>
      </c>
      <c r="O92" s="2" t="s">
        <v>261</v>
      </c>
      <c r="P92" s="2" t="s">
        <v>37</v>
      </c>
      <c r="Q92" s="3"/>
      <c r="R92" s="3"/>
      <c r="S92" s="2" t="s">
        <v>12</v>
      </c>
      <c r="T92" s="4">
        <v>44955</v>
      </c>
      <c r="U92" s="2" t="s">
        <v>1415</v>
      </c>
      <c r="V92" s="6">
        <f>(Real_Sales[[#This Row],[Price_retail]]-Real_Sales[[#This Row],[Price_current]])/Real_Sales[[#This Row],[Price_retail]]</f>
        <v>0</v>
      </c>
      <c r="W92" s="3" t="str" cm="1">
        <f t="array" ref="W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" s="2" t="str">
        <f>IF(Real_Sales[[#This Row],[Price_retail]]&gt;$AC$3,"Premium","Average")</f>
        <v>Average</v>
      </c>
      <c r="Y92" s="2" t="str">
        <f>IF(ISNUMBER(SEARCH("Basic",Real_Sales[[#This Row],[Product_name]])),"Yes","No")</f>
        <v>No</v>
      </c>
      <c r="Z92" s="2" cm="1">
        <f t="array" ref="Z92">_xlfn.IFS(Real_Sales[[#This Row],[Price_retail]]&lt;=15,1, Real_Sales[[#This Row],[Price_retail]]&lt;=30,2, Real_Sales[[#This Row],[Price_retail]]&lt;=50,3,Real_Sales[[#This Row],[Price_retail]]&gt;50,4)</f>
        <v>1</v>
      </c>
    </row>
    <row r="93" spans="1:26" x14ac:dyDescent="0.35">
      <c r="A93" s="2" t="s">
        <v>1463</v>
      </c>
      <c r="B93" s="2" t="s">
        <v>1464</v>
      </c>
      <c r="C93" s="2" t="s">
        <v>246</v>
      </c>
      <c r="D93" s="2" t="s">
        <v>581</v>
      </c>
      <c r="E93" s="2" t="s">
        <v>4</v>
      </c>
      <c r="F93" s="2" t="s">
        <v>17</v>
      </c>
      <c r="G93" s="2" t="s">
        <v>18</v>
      </c>
      <c r="H93" s="2" t="s">
        <v>7</v>
      </c>
      <c r="I93" s="2" t="s">
        <v>3390</v>
      </c>
      <c r="J93" s="3">
        <v>8.99</v>
      </c>
      <c r="K93" s="3">
        <v>8.99</v>
      </c>
      <c r="L93" s="2" t="s">
        <v>3391</v>
      </c>
      <c r="M93" s="2" t="s">
        <v>9</v>
      </c>
      <c r="N93" s="3">
        <v>568</v>
      </c>
      <c r="O93" s="2" t="s">
        <v>36</v>
      </c>
      <c r="P93" s="2" t="s">
        <v>76</v>
      </c>
      <c r="Q93" s="3"/>
      <c r="R93" s="3"/>
      <c r="S93" s="2" t="s">
        <v>12</v>
      </c>
      <c r="T93" s="4">
        <v>44955</v>
      </c>
      <c r="U93" s="2" t="s">
        <v>1465</v>
      </c>
      <c r="V93" s="6">
        <f>(Real_Sales[[#This Row],[Price_retail]]-Real_Sales[[#This Row],[Price_current]])/Real_Sales[[#This Row],[Price_retail]]</f>
        <v>0</v>
      </c>
      <c r="W93" s="3" t="str" cm="1">
        <f t="array" ref="W9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" s="2" t="str">
        <f>IF(Real_Sales[[#This Row],[Price_retail]]&gt;$AC$3,"Premium","Average")</f>
        <v>Average</v>
      </c>
      <c r="Y93" s="2" t="str">
        <f>IF(ISNUMBER(SEARCH("Basic",Real_Sales[[#This Row],[Product_name]])),"Yes","No")</f>
        <v>No</v>
      </c>
      <c r="Z93" s="2" cm="1">
        <f t="array" ref="Z93">_xlfn.IFS(Real_Sales[[#This Row],[Price_retail]]&lt;=15,1, Real_Sales[[#This Row],[Price_retail]]&lt;=30,2, Real_Sales[[#This Row],[Price_retail]]&lt;=50,3,Real_Sales[[#This Row],[Price_retail]]&gt;50,4)</f>
        <v>1</v>
      </c>
    </row>
    <row r="94" spans="1:26" x14ac:dyDescent="0.35">
      <c r="A94" s="2" t="s">
        <v>1466</v>
      </c>
      <c r="B94" s="2" t="s">
        <v>1467</v>
      </c>
      <c r="C94" s="2" t="s">
        <v>1468</v>
      </c>
      <c r="D94" s="2" t="s">
        <v>327</v>
      </c>
      <c r="E94" s="2" t="s">
        <v>4</v>
      </c>
      <c r="F94" s="2" t="s">
        <v>5</v>
      </c>
      <c r="G94" s="2" t="s">
        <v>6</v>
      </c>
      <c r="H94" s="2" t="s">
        <v>110</v>
      </c>
      <c r="I94" s="2" t="s">
        <v>3393</v>
      </c>
      <c r="J94" s="3">
        <v>8.99</v>
      </c>
      <c r="K94" s="3">
        <v>8.99</v>
      </c>
      <c r="L94" s="2" t="s">
        <v>3391</v>
      </c>
      <c r="M94" s="2" t="s">
        <v>9</v>
      </c>
      <c r="N94" s="3">
        <v>398</v>
      </c>
      <c r="O94" s="2" t="s">
        <v>302</v>
      </c>
      <c r="P94" s="2" t="s">
        <v>70</v>
      </c>
      <c r="Q94" s="3"/>
      <c r="R94" s="3"/>
      <c r="S94" s="2" t="s">
        <v>12</v>
      </c>
      <c r="T94" s="4">
        <v>44955</v>
      </c>
      <c r="U94" s="2" t="s">
        <v>1469</v>
      </c>
      <c r="V94" s="6">
        <f>(Real_Sales[[#This Row],[Price_retail]]-Real_Sales[[#This Row],[Price_current]])/Real_Sales[[#This Row],[Price_retail]]</f>
        <v>0</v>
      </c>
      <c r="W94" s="3" t="str" cm="1">
        <f t="array" ref="W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4" s="2" t="str">
        <f>IF(Real_Sales[[#This Row],[Price_retail]]&gt;$AC$3,"Premium","Average")</f>
        <v>Average</v>
      </c>
      <c r="Y94" s="2" t="str">
        <f>IF(ISNUMBER(SEARCH("Basic",Real_Sales[[#This Row],[Product_name]])),"Yes","No")</f>
        <v>No</v>
      </c>
      <c r="Z94" s="2" cm="1">
        <f t="array" ref="Z94">_xlfn.IFS(Real_Sales[[#This Row],[Price_retail]]&lt;=15,1, Real_Sales[[#This Row],[Price_retail]]&lt;=30,2, Real_Sales[[#This Row],[Price_retail]]&lt;=50,3,Real_Sales[[#This Row],[Price_retail]]&gt;50,4)</f>
        <v>1</v>
      </c>
    </row>
    <row r="95" spans="1:26" x14ac:dyDescent="0.35">
      <c r="A95" s="2" t="s">
        <v>1473</v>
      </c>
      <c r="B95" s="2" t="s">
        <v>1474</v>
      </c>
      <c r="C95" s="2" t="s">
        <v>682</v>
      </c>
      <c r="D95" s="2" t="s">
        <v>485</v>
      </c>
      <c r="E95" s="2" t="s">
        <v>4</v>
      </c>
      <c r="F95" s="2" t="s">
        <v>17</v>
      </c>
      <c r="G95" s="2" t="s">
        <v>50</v>
      </c>
      <c r="H95" s="2" t="s">
        <v>185</v>
      </c>
      <c r="I95" s="2" t="s">
        <v>3395</v>
      </c>
      <c r="J95" s="3">
        <v>8.99</v>
      </c>
      <c r="K95" s="3">
        <v>8.99</v>
      </c>
      <c r="L95" s="2" t="s">
        <v>3391</v>
      </c>
      <c r="M95" s="2" t="s">
        <v>9</v>
      </c>
      <c r="N95" s="3">
        <v>406</v>
      </c>
      <c r="O95" s="2" t="s">
        <v>91</v>
      </c>
      <c r="P95" s="2" t="s">
        <v>221</v>
      </c>
      <c r="Q95" s="3"/>
      <c r="R95" s="3"/>
      <c r="S95" s="2" t="s">
        <v>21</v>
      </c>
      <c r="T95" s="4">
        <v>44955</v>
      </c>
      <c r="U95" s="2" t="s">
        <v>1475</v>
      </c>
      <c r="V95" s="6">
        <f>(Real_Sales[[#This Row],[Price_retail]]-Real_Sales[[#This Row],[Price_current]])/Real_Sales[[#This Row],[Price_retail]]</f>
        <v>0</v>
      </c>
      <c r="W95" s="3" t="str" cm="1">
        <f t="array" ref="W9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5" s="2" t="str">
        <f>IF(Real_Sales[[#This Row],[Price_retail]]&gt;$AC$3,"Premium","Average")</f>
        <v>Average</v>
      </c>
      <c r="Y95" s="2" t="str">
        <f>IF(ISNUMBER(SEARCH("Basic",Real_Sales[[#This Row],[Product_name]])),"Yes","No")</f>
        <v>Yes</v>
      </c>
      <c r="Z95" s="2" cm="1">
        <f t="array" ref="Z95">_xlfn.IFS(Real_Sales[[#This Row],[Price_retail]]&lt;=15,1, Real_Sales[[#This Row],[Price_retail]]&lt;=30,2, Real_Sales[[#This Row],[Price_retail]]&lt;=50,3,Real_Sales[[#This Row],[Price_retail]]&gt;50,4)</f>
        <v>1</v>
      </c>
    </row>
    <row r="96" spans="1:26" x14ac:dyDescent="0.35">
      <c r="A96" s="2" t="s">
        <v>1479</v>
      </c>
      <c r="B96" s="2" t="s">
        <v>1480</v>
      </c>
      <c r="C96" s="2" t="s">
        <v>1481</v>
      </c>
      <c r="D96" s="2" t="s">
        <v>1482</v>
      </c>
      <c r="E96" s="2" t="s">
        <v>4</v>
      </c>
      <c r="F96" s="2" t="s">
        <v>17</v>
      </c>
      <c r="G96" s="2" t="s">
        <v>27</v>
      </c>
      <c r="H96" s="2" t="s">
        <v>185</v>
      </c>
      <c r="I96" s="2" t="s">
        <v>3390</v>
      </c>
      <c r="J96" s="3">
        <v>8.99</v>
      </c>
      <c r="K96" s="3">
        <v>8.99</v>
      </c>
      <c r="L96" s="2" t="s">
        <v>3391</v>
      </c>
      <c r="M96" s="2" t="s">
        <v>9</v>
      </c>
      <c r="N96" s="3">
        <v>914</v>
      </c>
      <c r="O96" s="2" t="s">
        <v>60</v>
      </c>
      <c r="P96" s="2" t="s">
        <v>11</v>
      </c>
      <c r="Q96" s="3"/>
      <c r="R96" s="3"/>
      <c r="S96" s="2" t="s">
        <v>21</v>
      </c>
      <c r="T96" s="4">
        <v>44955</v>
      </c>
      <c r="U96" s="2" t="s">
        <v>1483</v>
      </c>
      <c r="V96" s="6">
        <f>(Real_Sales[[#This Row],[Price_retail]]-Real_Sales[[#This Row],[Price_current]])/Real_Sales[[#This Row],[Price_retail]]</f>
        <v>0</v>
      </c>
      <c r="W96" s="3" t="str" cm="1">
        <f t="array" ref="W9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" s="2" t="str">
        <f>IF(Real_Sales[[#This Row],[Price_retail]]&gt;$AC$3,"Premium","Average")</f>
        <v>Average</v>
      </c>
      <c r="Y96" s="2" t="str">
        <f>IF(ISNUMBER(SEARCH("Basic",Real_Sales[[#This Row],[Product_name]])),"Yes","No")</f>
        <v>No</v>
      </c>
      <c r="Z96" s="2" cm="1">
        <f t="array" ref="Z96">_xlfn.IFS(Real_Sales[[#This Row],[Price_retail]]&lt;=15,1, Real_Sales[[#This Row],[Price_retail]]&lt;=30,2, Real_Sales[[#This Row],[Price_retail]]&lt;=50,3,Real_Sales[[#This Row],[Price_retail]]&gt;50,4)</f>
        <v>1</v>
      </c>
    </row>
    <row r="97" spans="1:26" x14ac:dyDescent="0.35">
      <c r="A97" s="2" t="s">
        <v>1607</v>
      </c>
      <c r="B97" s="2" t="s">
        <v>1608</v>
      </c>
      <c r="C97" s="2" t="s">
        <v>3410</v>
      </c>
      <c r="D97" s="2" t="s">
        <v>103</v>
      </c>
      <c r="E97" s="2" t="s">
        <v>4</v>
      </c>
      <c r="F97" s="2" t="s">
        <v>17</v>
      </c>
      <c r="G97" s="2" t="s">
        <v>50</v>
      </c>
      <c r="H97" s="2" t="s">
        <v>19</v>
      </c>
      <c r="I97" s="2" t="s">
        <v>3393</v>
      </c>
      <c r="J97" s="3">
        <v>8.99</v>
      </c>
      <c r="K97" s="3">
        <v>8.99</v>
      </c>
      <c r="L97" s="2" t="s">
        <v>3391</v>
      </c>
      <c r="M97" s="2" t="s">
        <v>9</v>
      </c>
      <c r="N97" s="3">
        <v>87</v>
      </c>
      <c r="O97" s="2" t="s">
        <v>261</v>
      </c>
      <c r="P97" s="2" t="s">
        <v>30</v>
      </c>
      <c r="Q97" s="3"/>
      <c r="R97" s="3"/>
      <c r="S97" s="2" t="s">
        <v>21</v>
      </c>
      <c r="T97" s="4">
        <v>44955</v>
      </c>
      <c r="U97" s="2" t="s">
        <v>1609</v>
      </c>
      <c r="V97" s="6">
        <f>(Real_Sales[[#This Row],[Price_retail]]-Real_Sales[[#This Row],[Price_current]])/Real_Sales[[#This Row],[Price_retail]]</f>
        <v>0</v>
      </c>
      <c r="W97" s="3" t="str" cm="1">
        <f t="array" ref="W9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" s="2" t="str">
        <f>IF(Real_Sales[[#This Row],[Price_retail]]&gt;$AC$3,"Premium","Average")</f>
        <v>Average</v>
      </c>
      <c r="Y97" s="2" t="str">
        <f>IF(ISNUMBER(SEARCH("Basic",Real_Sales[[#This Row],[Product_name]])),"Yes","No")</f>
        <v>No</v>
      </c>
      <c r="Z97" s="2" cm="1">
        <f t="array" ref="Z97">_xlfn.IFS(Real_Sales[[#This Row],[Price_retail]]&lt;=15,1, Real_Sales[[#This Row],[Price_retail]]&lt;=30,2, Real_Sales[[#This Row],[Price_retail]]&lt;=50,3,Real_Sales[[#This Row],[Price_retail]]&gt;50,4)</f>
        <v>1</v>
      </c>
    </row>
    <row r="98" spans="1:26" x14ac:dyDescent="0.35">
      <c r="A98" s="2" t="s">
        <v>1620</v>
      </c>
      <c r="B98" s="2" t="s">
        <v>1621</v>
      </c>
      <c r="C98" s="2" t="s">
        <v>323</v>
      </c>
      <c r="D98" s="2" t="s">
        <v>776</v>
      </c>
      <c r="E98" s="2" t="s">
        <v>4</v>
      </c>
      <c r="F98" s="2" t="s">
        <v>5</v>
      </c>
      <c r="G98" s="2" t="s">
        <v>121</v>
      </c>
      <c r="H98" s="2" t="s">
        <v>83</v>
      </c>
      <c r="I98" s="2" t="s">
        <v>3393</v>
      </c>
      <c r="J98" s="3">
        <v>8.99</v>
      </c>
      <c r="K98" s="3">
        <v>8.99</v>
      </c>
      <c r="L98" s="2" t="s">
        <v>3391</v>
      </c>
      <c r="M98" s="2" t="s">
        <v>9</v>
      </c>
      <c r="N98" s="3">
        <v>721</v>
      </c>
      <c r="O98" s="2" t="s">
        <v>287</v>
      </c>
      <c r="P98" s="2" t="s">
        <v>76</v>
      </c>
      <c r="Q98" s="3"/>
      <c r="R98" s="3"/>
      <c r="S98" s="2" t="s">
        <v>21</v>
      </c>
      <c r="T98" s="4">
        <v>44955</v>
      </c>
      <c r="U98" s="2" t="s">
        <v>1622</v>
      </c>
      <c r="V98" s="6">
        <f>(Real_Sales[[#This Row],[Price_retail]]-Real_Sales[[#This Row],[Price_current]])/Real_Sales[[#This Row],[Price_retail]]</f>
        <v>0</v>
      </c>
      <c r="W98" s="3" t="str" cm="1">
        <f t="array" ref="W9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8" s="2" t="str">
        <f>IF(Real_Sales[[#This Row],[Price_retail]]&gt;$AC$3,"Premium","Average")</f>
        <v>Average</v>
      </c>
      <c r="Y98" s="2" t="str">
        <f>IF(ISNUMBER(SEARCH("Basic",Real_Sales[[#This Row],[Product_name]])),"Yes","No")</f>
        <v>No</v>
      </c>
      <c r="Z98" s="2" cm="1">
        <f t="array" ref="Z98">_xlfn.IFS(Real_Sales[[#This Row],[Price_retail]]&lt;=15,1, Real_Sales[[#This Row],[Price_retail]]&lt;=30,2, Real_Sales[[#This Row],[Price_retail]]&lt;=50,3,Real_Sales[[#This Row],[Price_retail]]&gt;50,4)</f>
        <v>1</v>
      </c>
    </row>
    <row r="99" spans="1:26" x14ac:dyDescent="0.35">
      <c r="A99" s="2" t="s">
        <v>1634</v>
      </c>
      <c r="B99" s="2" t="s">
        <v>1635</v>
      </c>
      <c r="C99" s="2" t="s">
        <v>65</v>
      </c>
      <c r="D99" s="2" t="s">
        <v>1324</v>
      </c>
      <c r="E99" s="2" t="s">
        <v>4</v>
      </c>
      <c r="F99" s="2" t="s">
        <v>17</v>
      </c>
      <c r="G99" s="2" t="s">
        <v>18</v>
      </c>
      <c r="H99" s="2" t="s">
        <v>19</v>
      </c>
      <c r="I99" s="2" t="s">
        <v>3390</v>
      </c>
      <c r="J99" s="3">
        <v>8.99</v>
      </c>
      <c r="K99" s="3">
        <v>8.99</v>
      </c>
      <c r="L99" s="2" t="s">
        <v>3391</v>
      </c>
      <c r="M99" s="2" t="s">
        <v>9</v>
      </c>
      <c r="N99" s="3">
        <v>637</v>
      </c>
      <c r="O99" s="2" t="s">
        <v>347</v>
      </c>
      <c r="P99" s="2" t="s">
        <v>215</v>
      </c>
      <c r="Q99" s="3"/>
      <c r="R99" s="3"/>
      <c r="S99" s="2" t="s">
        <v>21</v>
      </c>
      <c r="T99" s="4">
        <v>44955</v>
      </c>
      <c r="U99" s="2" t="s">
        <v>1636</v>
      </c>
      <c r="V99" s="6">
        <f>(Real_Sales[[#This Row],[Price_retail]]-Real_Sales[[#This Row],[Price_current]])/Real_Sales[[#This Row],[Price_retail]]</f>
        <v>0</v>
      </c>
      <c r="W99" s="3" t="str" cm="1">
        <f t="array" ref="W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9" s="2" t="str">
        <f>IF(Real_Sales[[#This Row],[Price_retail]]&gt;$AC$3,"Premium","Average")</f>
        <v>Average</v>
      </c>
      <c r="Y99" s="2" t="str">
        <f>IF(ISNUMBER(SEARCH("Basic",Real_Sales[[#This Row],[Product_name]])),"Yes","No")</f>
        <v>Yes</v>
      </c>
      <c r="Z99" s="2" cm="1">
        <f t="array" ref="Z99">_xlfn.IFS(Real_Sales[[#This Row],[Price_retail]]&lt;=15,1, Real_Sales[[#This Row],[Price_retail]]&lt;=30,2, Real_Sales[[#This Row],[Price_retail]]&lt;=50,3,Real_Sales[[#This Row],[Price_retail]]&gt;50,4)</f>
        <v>1</v>
      </c>
    </row>
    <row r="100" spans="1:26" x14ac:dyDescent="0.35">
      <c r="A100" s="2" t="s">
        <v>1691</v>
      </c>
      <c r="B100" s="2" t="s">
        <v>1692</v>
      </c>
      <c r="C100" s="2" t="s">
        <v>3420</v>
      </c>
      <c r="D100" s="2" t="s">
        <v>537</v>
      </c>
      <c r="E100" s="2" t="s">
        <v>4</v>
      </c>
      <c r="F100" s="2" t="s">
        <v>5</v>
      </c>
      <c r="G100" s="2" t="s">
        <v>121</v>
      </c>
      <c r="H100" s="2" t="s">
        <v>145</v>
      </c>
      <c r="I100" s="2" t="s">
        <v>3395</v>
      </c>
      <c r="J100" s="3">
        <v>8.99</v>
      </c>
      <c r="K100" s="3">
        <v>8.99</v>
      </c>
      <c r="L100" s="2" t="s">
        <v>3391</v>
      </c>
      <c r="M100" s="2" t="s">
        <v>9</v>
      </c>
      <c r="N100" s="3">
        <v>578</v>
      </c>
      <c r="O100" s="2" t="s">
        <v>43</v>
      </c>
      <c r="P100" s="2" t="s">
        <v>37</v>
      </c>
      <c r="Q100" s="3"/>
      <c r="R100" s="3"/>
      <c r="S100" s="2" t="s">
        <v>21</v>
      </c>
      <c r="T100" s="4">
        <v>44955</v>
      </c>
      <c r="U100" s="2" t="s">
        <v>1693</v>
      </c>
      <c r="V100" s="6">
        <f>(Real_Sales[[#This Row],[Price_retail]]-Real_Sales[[#This Row],[Price_current]])/Real_Sales[[#This Row],[Price_retail]]</f>
        <v>0</v>
      </c>
      <c r="W100" s="3" t="str" cm="1">
        <f t="array" ref="W1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0" s="2" t="str">
        <f>IF(Real_Sales[[#This Row],[Price_retail]]&gt;$AC$3,"Premium","Average")</f>
        <v>Average</v>
      </c>
      <c r="Y100" s="2" t="str">
        <f>IF(ISNUMBER(SEARCH("Basic",Real_Sales[[#This Row],[Product_name]])),"Yes","No")</f>
        <v>No</v>
      </c>
      <c r="Z100" s="2" cm="1">
        <f t="array" ref="Z100">_xlfn.IFS(Real_Sales[[#This Row],[Price_retail]]&lt;=15,1, Real_Sales[[#This Row],[Price_retail]]&lt;=30,2, Real_Sales[[#This Row],[Price_retail]]&lt;=50,3,Real_Sales[[#This Row],[Price_retail]]&gt;50,4)</f>
        <v>1</v>
      </c>
    </row>
    <row r="101" spans="1:26" x14ac:dyDescent="0.35">
      <c r="A101" s="2" t="s">
        <v>1706</v>
      </c>
      <c r="B101" s="2" t="s">
        <v>1707</v>
      </c>
      <c r="C101" s="2" t="s">
        <v>565</v>
      </c>
      <c r="D101" s="2" t="s">
        <v>742</v>
      </c>
      <c r="E101" s="2" t="s">
        <v>4</v>
      </c>
      <c r="F101" s="2" t="s">
        <v>5</v>
      </c>
      <c r="G101" s="2" t="s">
        <v>6</v>
      </c>
      <c r="H101" s="2" t="s">
        <v>168</v>
      </c>
      <c r="I101" s="2" t="s">
        <v>3393</v>
      </c>
      <c r="J101" s="3">
        <v>8.99</v>
      </c>
      <c r="K101" s="3">
        <v>8.99</v>
      </c>
      <c r="L101" s="2" t="s">
        <v>3391</v>
      </c>
      <c r="M101" s="2" t="s">
        <v>9</v>
      </c>
      <c r="N101" s="3">
        <v>531</v>
      </c>
      <c r="O101" s="2" t="s">
        <v>75</v>
      </c>
      <c r="P101" s="2" t="s">
        <v>53</v>
      </c>
      <c r="Q101" s="3"/>
      <c r="R101" s="3"/>
      <c r="S101" s="2" t="s">
        <v>12</v>
      </c>
      <c r="T101" s="4">
        <v>44955</v>
      </c>
      <c r="U101" s="2" t="s">
        <v>1708</v>
      </c>
      <c r="V101" s="6">
        <f>(Real_Sales[[#This Row],[Price_retail]]-Real_Sales[[#This Row],[Price_current]])/Real_Sales[[#This Row],[Price_retail]]</f>
        <v>0</v>
      </c>
      <c r="W101" s="3" t="str" cm="1">
        <f t="array" ref="W1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1" s="2" t="str">
        <f>IF(Real_Sales[[#This Row],[Price_retail]]&gt;$AC$3,"Premium","Average")</f>
        <v>Average</v>
      </c>
      <c r="Y101" s="2" t="str">
        <f>IF(ISNUMBER(SEARCH("Basic",Real_Sales[[#This Row],[Product_name]])),"Yes","No")</f>
        <v>Yes</v>
      </c>
      <c r="Z101" s="2" cm="1">
        <f t="array" ref="Z101">_xlfn.IFS(Real_Sales[[#This Row],[Price_retail]]&lt;=15,1, Real_Sales[[#This Row],[Price_retail]]&lt;=30,2, Real_Sales[[#This Row],[Price_retail]]&lt;=50,3,Real_Sales[[#This Row],[Price_retail]]&gt;50,4)</f>
        <v>1</v>
      </c>
    </row>
    <row r="102" spans="1:26" x14ac:dyDescent="0.35">
      <c r="A102" s="2" t="s">
        <v>1735</v>
      </c>
      <c r="B102" s="2" t="s">
        <v>1736</v>
      </c>
      <c r="C102" s="2" t="s">
        <v>3404</v>
      </c>
      <c r="D102" s="2" t="s">
        <v>115</v>
      </c>
      <c r="E102" s="2" t="s">
        <v>4</v>
      </c>
      <c r="F102" s="2" t="s">
        <v>17</v>
      </c>
      <c r="G102" s="2" t="s">
        <v>27</v>
      </c>
      <c r="H102" s="2" t="s">
        <v>90</v>
      </c>
      <c r="I102" s="2" t="s">
        <v>3393</v>
      </c>
      <c r="J102" s="3">
        <v>8.99</v>
      </c>
      <c r="K102" s="3">
        <v>8.99</v>
      </c>
      <c r="L102" s="2" t="s">
        <v>3391</v>
      </c>
      <c r="M102" s="2" t="s">
        <v>9</v>
      </c>
      <c r="N102" s="3">
        <v>686</v>
      </c>
      <c r="O102" s="2" t="s">
        <v>3392</v>
      </c>
      <c r="P102" s="2" t="s">
        <v>44</v>
      </c>
      <c r="Q102" s="3"/>
      <c r="R102" s="3"/>
      <c r="S102" s="2" t="s">
        <v>12</v>
      </c>
      <c r="T102" s="4">
        <v>44955</v>
      </c>
      <c r="U102" s="2" t="s">
        <v>1737</v>
      </c>
      <c r="V102" s="6">
        <f>(Real_Sales[[#This Row],[Price_retail]]-Real_Sales[[#This Row],[Price_current]])/Real_Sales[[#This Row],[Price_retail]]</f>
        <v>0</v>
      </c>
      <c r="W102" s="3" t="str" cm="1">
        <f t="array" ref="W1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2" s="2" t="str">
        <f>IF(Real_Sales[[#This Row],[Price_retail]]&gt;$AC$3,"Premium","Average")</f>
        <v>Average</v>
      </c>
      <c r="Y102" s="2" t="str">
        <f>IF(ISNUMBER(SEARCH("Basic",Real_Sales[[#This Row],[Product_name]])),"Yes","No")</f>
        <v>No</v>
      </c>
      <c r="Z102" s="2" cm="1">
        <f t="array" ref="Z102">_xlfn.IFS(Real_Sales[[#This Row],[Price_retail]]&lt;=15,1, Real_Sales[[#This Row],[Price_retail]]&lt;=30,2, Real_Sales[[#This Row],[Price_retail]]&lt;=50,3,Real_Sales[[#This Row],[Price_retail]]&gt;50,4)</f>
        <v>1</v>
      </c>
    </row>
    <row r="103" spans="1:26" x14ac:dyDescent="0.35">
      <c r="A103" s="2" t="s">
        <v>1771</v>
      </c>
      <c r="B103" s="2" t="s">
        <v>1772</v>
      </c>
      <c r="C103" s="2" t="s">
        <v>995</v>
      </c>
      <c r="D103" s="2" t="s">
        <v>1773</v>
      </c>
      <c r="E103" s="2" t="s">
        <v>4</v>
      </c>
      <c r="F103" s="2" t="s">
        <v>17</v>
      </c>
      <c r="G103" s="2" t="s">
        <v>67</v>
      </c>
      <c r="H103" s="2" t="s">
        <v>333</v>
      </c>
      <c r="I103" s="2" t="s">
        <v>3390</v>
      </c>
      <c r="J103" s="3">
        <v>8.99</v>
      </c>
      <c r="K103" s="3">
        <v>8.99</v>
      </c>
      <c r="L103" s="2" t="s">
        <v>3391</v>
      </c>
      <c r="M103" s="2" t="s">
        <v>9</v>
      </c>
      <c r="N103" s="3">
        <v>455</v>
      </c>
      <c r="O103" s="2" t="s">
        <v>60</v>
      </c>
      <c r="P103" s="2" t="s">
        <v>44</v>
      </c>
      <c r="Q103" s="3"/>
      <c r="R103" s="3"/>
      <c r="S103" s="2" t="s">
        <v>12</v>
      </c>
      <c r="T103" s="4">
        <v>44955</v>
      </c>
      <c r="U103" s="2" t="s">
        <v>1774</v>
      </c>
      <c r="V103" s="6">
        <f>(Real_Sales[[#This Row],[Price_retail]]-Real_Sales[[#This Row],[Price_current]])/Real_Sales[[#This Row],[Price_retail]]</f>
        <v>0</v>
      </c>
      <c r="W103" s="3" t="str" cm="1">
        <f t="array" ref="W1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3" s="2" t="str">
        <f>IF(Real_Sales[[#This Row],[Price_retail]]&gt;$AC$3,"Premium","Average")</f>
        <v>Average</v>
      </c>
      <c r="Y103" s="2" t="str">
        <f>IF(ISNUMBER(SEARCH("Basic",Real_Sales[[#This Row],[Product_name]])),"Yes","No")</f>
        <v>No</v>
      </c>
      <c r="Z103" s="2" cm="1">
        <f t="array" ref="Z103">_xlfn.IFS(Real_Sales[[#This Row],[Price_retail]]&lt;=15,1, Real_Sales[[#This Row],[Price_retail]]&lt;=30,2, Real_Sales[[#This Row],[Price_retail]]&lt;=50,3,Real_Sales[[#This Row],[Price_retail]]&gt;50,4)</f>
        <v>1</v>
      </c>
    </row>
    <row r="104" spans="1:26" x14ac:dyDescent="0.35">
      <c r="A104" s="2" t="s">
        <v>1789</v>
      </c>
      <c r="B104" s="2" t="s">
        <v>1790</v>
      </c>
      <c r="C104" s="2" t="s">
        <v>2915</v>
      </c>
      <c r="D104" s="2" t="s">
        <v>42</v>
      </c>
      <c r="E104" s="2" t="s">
        <v>4</v>
      </c>
      <c r="F104" s="2" t="s">
        <v>5</v>
      </c>
      <c r="G104" s="2" t="s">
        <v>121</v>
      </c>
      <c r="H104" s="2" t="s">
        <v>19</v>
      </c>
      <c r="I104" s="2" t="s">
        <v>3393</v>
      </c>
      <c r="J104" s="3">
        <v>8.99</v>
      </c>
      <c r="K104" s="3">
        <v>8.99</v>
      </c>
      <c r="L104" s="2" t="s">
        <v>3391</v>
      </c>
      <c r="M104" s="2" t="s">
        <v>9</v>
      </c>
      <c r="N104" s="3">
        <v>133</v>
      </c>
      <c r="O104" s="2" t="s">
        <v>29</v>
      </c>
      <c r="P104" s="2" t="s">
        <v>419</v>
      </c>
      <c r="Q104" s="3"/>
      <c r="R104" s="3"/>
      <c r="S104" s="2" t="s">
        <v>12</v>
      </c>
      <c r="T104" s="4">
        <v>44955</v>
      </c>
      <c r="U104" s="2" t="s">
        <v>1791</v>
      </c>
      <c r="V104" s="6">
        <f>(Real_Sales[[#This Row],[Price_retail]]-Real_Sales[[#This Row],[Price_current]])/Real_Sales[[#This Row],[Price_retail]]</f>
        <v>0</v>
      </c>
      <c r="W104" s="3" t="str" cm="1">
        <f t="array" ref="W10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4" s="2" t="str">
        <f>IF(Real_Sales[[#This Row],[Price_retail]]&gt;$AC$3,"Premium","Average")</f>
        <v>Average</v>
      </c>
      <c r="Y104" s="2" t="str">
        <f>IF(ISNUMBER(SEARCH("Basic",Real_Sales[[#This Row],[Product_name]])),"Yes","No")</f>
        <v>No</v>
      </c>
      <c r="Z104" s="2" cm="1">
        <f t="array" ref="Z104">_xlfn.IFS(Real_Sales[[#This Row],[Price_retail]]&lt;=15,1, Real_Sales[[#This Row],[Price_retail]]&lt;=30,2, Real_Sales[[#This Row],[Price_retail]]&lt;=50,3,Real_Sales[[#This Row],[Price_retail]]&gt;50,4)</f>
        <v>1</v>
      </c>
    </row>
    <row r="105" spans="1:26" x14ac:dyDescent="0.35">
      <c r="A105" s="2" t="s">
        <v>1834</v>
      </c>
      <c r="B105" s="2" t="s">
        <v>1835</v>
      </c>
      <c r="C105" s="2" t="s">
        <v>3396</v>
      </c>
      <c r="D105" s="2" t="s">
        <v>190</v>
      </c>
      <c r="E105" s="2" t="s">
        <v>4</v>
      </c>
      <c r="F105" s="2" t="s">
        <v>5</v>
      </c>
      <c r="G105" s="2" t="s">
        <v>82</v>
      </c>
      <c r="H105" s="2" t="s">
        <v>134</v>
      </c>
      <c r="I105" s="2" t="s">
        <v>3390</v>
      </c>
      <c r="J105" s="3">
        <v>8.99</v>
      </c>
      <c r="K105" s="3">
        <v>8.99</v>
      </c>
      <c r="L105" s="2" t="s">
        <v>3391</v>
      </c>
      <c r="M105" s="2" t="s">
        <v>9</v>
      </c>
      <c r="N105" s="3">
        <v>476</v>
      </c>
      <c r="O105" s="2" t="s">
        <v>347</v>
      </c>
      <c r="P105" s="2" t="s">
        <v>177</v>
      </c>
      <c r="Q105" s="3"/>
      <c r="R105" s="3"/>
      <c r="S105" s="2" t="s">
        <v>21</v>
      </c>
      <c r="T105" s="4">
        <v>44955</v>
      </c>
      <c r="U105" s="2" t="s">
        <v>1836</v>
      </c>
      <c r="V105" s="6">
        <f>(Real_Sales[[#This Row],[Price_retail]]-Real_Sales[[#This Row],[Price_current]])/Real_Sales[[#This Row],[Price_retail]]</f>
        <v>0</v>
      </c>
      <c r="W105" s="3" t="str" cm="1">
        <f t="array" ref="W10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5" s="2" t="str">
        <f>IF(Real_Sales[[#This Row],[Price_retail]]&gt;$AC$3,"Premium","Average")</f>
        <v>Average</v>
      </c>
      <c r="Y105" s="2" t="str">
        <f>IF(ISNUMBER(SEARCH("Basic",Real_Sales[[#This Row],[Product_name]])),"Yes","No")</f>
        <v>Yes</v>
      </c>
      <c r="Z105" s="2" cm="1">
        <f t="array" ref="Z105">_xlfn.IFS(Real_Sales[[#This Row],[Price_retail]]&lt;=15,1, Real_Sales[[#This Row],[Price_retail]]&lt;=30,2, Real_Sales[[#This Row],[Price_retail]]&lt;=50,3,Real_Sales[[#This Row],[Price_retail]]&gt;50,4)</f>
        <v>1</v>
      </c>
    </row>
    <row r="106" spans="1:26" x14ac:dyDescent="0.35">
      <c r="A106" s="2" t="s">
        <v>1850</v>
      </c>
      <c r="B106" s="2" t="s">
        <v>1851</v>
      </c>
      <c r="C106" s="2" t="s">
        <v>65</v>
      </c>
      <c r="D106" s="2" t="s">
        <v>776</v>
      </c>
      <c r="E106" s="2" t="s">
        <v>4</v>
      </c>
      <c r="F106" s="2" t="s">
        <v>5</v>
      </c>
      <c r="G106" s="2" t="s">
        <v>121</v>
      </c>
      <c r="H106" s="2" t="s">
        <v>83</v>
      </c>
      <c r="I106" s="2" t="s">
        <v>3390</v>
      </c>
      <c r="J106" s="3">
        <v>8.99</v>
      </c>
      <c r="K106" s="3">
        <v>8.99</v>
      </c>
      <c r="L106" s="2" t="s">
        <v>3391</v>
      </c>
      <c r="M106" s="2" t="s">
        <v>9</v>
      </c>
      <c r="N106" s="3">
        <v>543</v>
      </c>
      <c r="O106" s="2" t="s">
        <v>163</v>
      </c>
      <c r="P106" s="2" t="s">
        <v>76</v>
      </c>
      <c r="Q106" s="3"/>
      <c r="R106" s="3"/>
      <c r="S106" s="2" t="s">
        <v>21</v>
      </c>
      <c r="T106" s="4">
        <v>44955</v>
      </c>
      <c r="U106" s="2" t="s">
        <v>1852</v>
      </c>
      <c r="V106" s="6">
        <f>(Real_Sales[[#This Row],[Price_retail]]-Real_Sales[[#This Row],[Price_current]])/Real_Sales[[#This Row],[Price_retail]]</f>
        <v>0</v>
      </c>
      <c r="W106" s="3" t="str" cm="1">
        <f t="array" ref="W10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6" s="2" t="str">
        <f>IF(Real_Sales[[#This Row],[Price_retail]]&gt;$AC$3,"Premium","Average")</f>
        <v>Average</v>
      </c>
      <c r="Y106" s="2" t="str">
        <f>IF(ISNUMBER(SEARCH("Basic",Real_Sales[[#This Row],[Product_name]])),"Yes","No")</f>
        <v>No</v>
      </c>
      <c r="Z106" s="2" cm="1">
        <f t="array" ref="Z106">_xlfn.IFS(Real_Sales[[#This Row],[Price_retail]]&lt;=15,1, Real_Sales[[#This Row],[Price_retail]]&lt;=30,2, Real_Sales[[#This Row],[Price_retail]]&lt;=50,3,Real_Sales[[#This Row],[Price_retail]]&gt;50,4)</f>
        <v>1</v>
      </c>
    </row>
    <row r="107" spans="1:26" x14ac:dyDescent="0.35">
      <c r="A107" s="2" t="s">
        <v>1890</v>
      </c>
      <c r="B107" s="2" t="s">
        <v>1891</v>
      </c>
      <c r="C107" s="2" t="s">
        <v>412</v>
      </c>
      <c r="D107" s="2" t="s">
        <v>573</v>
      </c>
      <c r="E107" s="2" t="s">
        <v>4</v>
      </c>
      <c r="F107" s="2" t="s">
        <v>5</v>
      </c>
      <c r="G107" s="2" t="s">
        <v>6</v>
      </c>
      <c r="H107" s="2" t="s">
        <v>68</v>
      </c>
      <c r="I107" s="2" t="s">
        <v>3393</v>
      </c>
      <c r="J107" s="3">
        <v>8.99</v>
      </c>
      <c r="K107" s="3">
        <v>8.99</v>
      </c>
      <c r="L107" s="2" t="s">
        <v>3391</v>
      </c>
      <c r="M107" s="2" t="s">
        <v>9</v>
      </c>
      <c r="N107" s="3">
        <v>92</v>
      </c>
      <c r="O107" s="2" t="s">
        <v>29</v>
      </c>
      <c r="P107" s="2" t="s">
        <v>169</v>
      </c>
      <c r="Q107" s="3"/>
      <c r="R107" s="3"/>
      <c r="S107" s="2" t="s">
        <v>12</v>
      </c>
      <c r="T107" s="4">
        <v>44955</v>
      </c>
      <c r="U107" s="2" t="s">
        <v>1892</v>
      </c>
      <c r="V107" s="6">
        <f>(Real_Sales[[#This Row],[Price_retail]]-Real_Sales[[#This Row],[Price_current]])/Real_Sales[[#This Row],[Price_retail]]</f>
        <v>0</v>
      </c>
      <c r="W107" s="3" t="str" cm="1">
        <f t="array" ref="W10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7" s="2" t="str">
        <f>IF(Real_Sales[[#This Row],[Price_retail]]&gt;$AC$3,"Premium","Average")</f>
        <v>Average</v>
      </c>
      <c r="Y107" s="2" t="str">
        <f>IF(ISNUMBER(SEARCH("Basic",Real_Sales[[#This Row],[Product_name]])),"Yes","No")</f>
        <v>No</v>
      </c>
      <c r="Z107" s="2" cm="1">
        <f t="array" ref="Z107">_xlfn.IFS(Real_Sales[[#This Row],[Price_retail]]&lt;=15,1, Real_Sales[[#This Row],[Price_retail]]&lt;=30,2, Real_Sales[[#This Row],[Price_retail]]&lt;=50,3,Real_Sales[[#This Row],[Price_retail]]&gt;50,4)</f>
        <v>1</v>
      </c>
    </row>
    <row r="108" spans="1:26" x14ac:dyDescent="0.35">
      <c r="A108" s="2" t="s">
        <v>1893</v>
      </c>
      <c r="B108" s="2" t="s">
        <v>1894</v>
      </c>
      <c r="C108" s="2" t="s">
        <v>306</v>
      </c>
      <c r="D108" s="2" t="s">
        <v>887</v>
      </c>
      <c r="E108" s="2" t="s">
        <v>4</v>
      </c>
      <c r="F108" s="2" t="s">
        <v>5</v>
      </c>
      <c r="G108" s="2" t="s">
        <v>121</v>
      </c>
      <c r="H108" s="2" t="s">
        <v>185</v>
      </c>
      <c r="I108" s="2" t="s">
        <v>3395</v>
      </c>
      <c r="J108" s="3">
        <v>8.99</v>
      </c>
      <c r="K108" s="3">
        <v>8.99</v>
      </c>
      <c r="L108" s="2" t="s">
        <v>3391</v>
      </c>
      <c r="M108" s="2" t="s">
        <v>9</v>
      </c>
      <c r="N108" s="3">
        <v>335</v>
      </c>
      <c r="O108" s="2" t="s">
        <v>29</v>
      </c>
      <c r="P108" s="2" t="s">
        <v>44</v>
      </c>
      <c r="Q108" s="3"/>
      <c r="R108" s="3"/>
      <c r="S108" s="2" t="s">
        <v>21</v>
      </c>
      <c r="T108" s="4">
        <v>44955</v>
      </c>
      <c r="U108" s="2" t="s">
        <v>1895</v>
      </c>
      <c r="V108" s="6">
        <f>(Real_Sales[[#This Row],[Price_retail]]-Real_Sales[[#This Row],[Price_current]])/Real_Sales[[#This Row],[Price_retail]]</f>
        <v>0</v>
      </c>
      <c r="W108" s="3" t="str" cm="1">
        <f t="array" ref="W10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8" s="2" t="str">
        <f>IF(Real_Sales[[#This Row],[Price_retail]]&gt;$AC$3,"Premium","Average")</f>
        <v>Average</v>
      </c>
      <c r="Y108" s="2" t="str">
        <f>IF(ISNUMBER(SEARCH("Basic",Real_Sales[[#This Row],[Product_name]])),"Yes","No")</f>
        <v>Yes</v>
      </c>
      <c r="Z108" s="2" cm="1">
        <f t="array" ref="Z108">_xlfn.IFS(Real_Sales[[#This Row],[Price_retail]]&lt;=15,1, Real_Sales[[#This Row],[Price_retail]]&lt;=30,2, Real_Sales[[#This Row],[Price_retail]]&lt;=50,3,Real_Sales[[#This Row],[Price_retail]]&gt;50,4)</f>
        <v>1</v>
      </c>
    </row>
    <row r="109" spans="1:26" x14ac:dyDescent="0.35">
      <c r="A109" s="2" t="s">
        <v>1902</v>
      </c>
      <c r="B109" s="2" t="s">
        <v>1903</v>
      </c>
      <c r="C109" s="2" t="s">
        <v>469</v>
      </c>
      <c r="D109" s="2" t="s">
        <v>138</v>
      </c>
      <c r="E109" s="2" t="s">
        <v>4</v>
      </c>
      <c r="F109" s="2" t="s">
        <v>5</v>
      </c>
      <c r="G109" s="2" t="s">
        <v>82</v>
      </c>
      <c r="H109" s="2" t="s">
        <v>139</v>
      </c>
      <c r="I109" s="2" t="s">
        <v>3393</v>
      </c>
      <c r="J109" s="3">
        <v>8.99</v>
      </c>
      <c r="K109" s="3">
        <v>8.99</v>
      </c>
      <c r="L109" s="2" t="s">
        <v>3391</v>
      </c>
      <c r="M109" s="2" t="s">
        <v>9</v>
      </c>
      <c r="N109" s="3">
        <v>188</v>
      </c>
      <c r="O109" s="2" t="s">
        <v>69</v>
      </c>
      <c r="P109" s="2" t="s">
        <v>53</v>
      </c>
      <c r="Q109" s="3"/>
      <c r="R109" s="3"/>
      <c r="S109" s="2" t="s">
        <v>21</v>
      </c>
      <c r="T109" s="4">
        <v>44955</v>
      </c>
      <c r="U109" s="2" t="s">
        <v>1904</v>
      </c>
      <c r="V109" s="6">
        <f>(Real_Sales[[#This Row],[Price_retail]]-Real_Sales[[#This Row],[Price_current]])/Real_Sales[[#This Row],[Price_retail]]</f>
        <v>0</v>
      </c>
      <c r="W109" s="3" t="str" cm="1">
        <f t="array" ref="W1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09" s="2" t="str">
        <f>IF(Real_Sales[[#This Row],[Price_retail]]&gt;$AC$3,"Premium","Average")</f>
        <v>Average</v>
      </c>
      <c r="Y109" s="2" t="str">
        <f>IF(ISNUMBER(SEARCH("Basic",Real_Sales[[#This Row],[Product_name]])),"Yes","No")</f>
        <v>Yes</v>
      </c>
      <c r="Z109" s="2" cm="1">
        <f t="array" ref="Z109">_xlfn.IFS(Real_Sales[[#This Row],[Price_retail]]&lt;=15,1, Real_Sales[[#This Row],[Price_retail]]&lt;=30,2, Real_Sales[[#This Row],[Price_retail]]&lt;=50,3,Real_Sales[[#This Row],[Price_retail]]&gt;50,4)</f>
        <v>1</v>
      </c>
    </row>
    <row r="110" spans="1:26" x14ac:dyDescent="0.35">
      <c r="A110" s="2" t="s">
        <v>1917</v>
      </c>
      <c r="B110" s="2" t="s">
        <v>1918</v>
      </c>
      <c r="C110" s="2" t="s">
        <v>423</v>
      </c>
      <c r="D110" s="2" t="s">
        <v>857</v>
      </c>
      <c r="E110" s="2" t="s">
        <v>4</v>
      </c>
      <c r="F110" s="2" t="s">
        <v>5</v>
      </c>
      <c r="G110" s="2" t="s">
        <v>6</v>
      </c>
      <c r="H110" s="2" t="s">
        <v>51</v>
      </c>
      <c r="I110" s="2" t="s">
        <v>3395</v>
      </c>
      <c r="J110" s="3">
        <v>8.99</v>
      </c>
      <c r="K110" s="3">
        <v>8.99</v>
      </c>
      <c r="L110" s="2" t="s">
        <v>3391</v>
      </c>
      <c r="M110" s="2" t="s">
        <v>9</v>
      </c>
      <c r="N110" s="3">
        <v>554</v>
      </c>
      <c r="O110" s="2" t="s">
        <v>3392</v>
      </c>
      <c r="P110" s="2" t="s">
        <v>37</v>
      </c>
      <c r="Q110" s="3"/>
      <c r="R110" s="3"/>
      <c r="S110" s="2" t="s">
        <v>21</v>
      </c>
      <c r="T110" s="4">
        <v>44955</v>
      </c>
      <c r="U110" s="2" t="s">
        <v>1919</v>
      </c>
      <c r="V110" s="6">
        <f>(Real_Sales[[#This Row],[Price_retail]]-Real_Sales[[#This Row],[Price_current]])/Real_Sales[[#This Row],[Price_retail]]</f>
        <v>0</v>
      </c>
      <c r="W110" s="3" t="str" cm="1">
        <f t="array" ref="W11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0" s="2" t="str">
        <f>IF(Real_Sales[[#This Row],[Price_retail]]&gt;$AC$3,"Premium","Average")</f>
        <v>Average</v>
      </c>
      <c r="Y110" s="2" t="str">
        <f>IF(ISNUMBER(SEARCH("Basic",Real_Sales[[#This Row],[Product_name]])),"Yes","No")</f>
        <v>No</v>
      </c>
      <c r="Z110" s="2" cm="1">
        <f t="array" ref="Z110">_xlfn.IFS(Real_Sales[[#This Row],[Price_retail]]&lt;=15,1, Real_Sales[[#This Row],[Price_retail]]&lt;=30,2, Real_Sales[[#This Row],[Price_retail]]&lt;=50,3,Real_Sales[[#This Row],[Price_retail]]&gt;50,4)</f>
        <v>1</v>
      </c>
    </row>
    <row r="111" spans="1:26" x14ac:dyDescent="0.35">
      <c r="A111" s="2" t="s">
        <v>1920</v>
      </c>
      <c r="B111" s="2" t="s">
        <v>1921</v>
      </c>
      <c r="C111" s="2" t="s">
        <v>126</v>
      </c>
      <c r="D111" s="2" t="s">
        <v>1011</v>
      </c>
      <c r="E111" s="2" t="s">
        <v>4</v>
      </c>
      <c r="F111" s="2" t="s">
        <v>17</v>
      </c>
      <c r="G111" s="2" t="s">
        <v>50</v>
      </c>
      <c r="H111" s="2" t="s">
        <v>68</v>
      </c>
      <c r="I111" s="2" t="s">
        <v>3390</v>
      </c>
      <c r="J111" s="3">
        <v>8.99</v>
      </c>
      <c r="K111" s="3">
        <v>8.99</v>
      </c>
      <c r="L111" s="2" t="s">
        <v>3391</v>
      </c>
      <c r="M111" s="2" t="s">
        <v>9</v>
      </c>
      <c r="N111" s="3">
        <v>699</v>
      </c>
      <c r="O111" s="2" t="s">
        <v>3392</v>
      </c>
      <c r="P111" s="2" t="s">
        <v>283</v>
      </c>
      <c r="Q111" s="3"/>
      <c r="R111" s="3"/>
      <c r="S111" s="2" t="s">
        <v>21</v>
      </c>
      <c r="T111" s="4">
        <v>44955</v>
      </c>
      <c r="U111" s="2" t="s">
        <v>1922</v>
      </c>
      <c r="V111" s="6">
        <f>(Real_Sales[[#This Row],[Price_retail]]-Real_Sales[[#This Row],[Price_current]])/Real_Sales[[#This Row],[Price_retail]]</f>
        <v>0</v>
      </c>
      <c r="W111" s="3" t="str" cm="1">
        <f t="array" ref="W1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1" s="2" t="str">
        <f>IF(Real_Sales[[#This Row],[Price_retail]]&gt;$AC$3,"Premium","Average")</f>
        <v>Average</v>
      </c>
      <c r="Y111" s="2" t="str">
        <f>IF(ISNUMBER(SEARCH("Basic",Real_Sales[[#This Row],[Product_name]])),"Yes","No")</f>
        <v>No</v>
      </c>
      <c r="Z111" s="2" cm="1">
        <f t="array" ref="Z111">_xlfn.IFS(Real_Sales[[#This Row],[Price_retail]]&lt;=15,1, Real_Sales[[#This Row],[Price_retail]]&lt;=30,2, Real_Sales[[#This Row],[Price_retail]]&lt;=50,3,Real_Sales[[#This Row],[Price_retail]]&gt;50,4)</f>
        <v>1</v>
      </c>
    </row>
    <row r="112" spans="1:26" x14ac:dyDescent="0.35">
      <c r="A112" s="2" t="s">
        <v>1953</v>
      </c>
      <c r="B112" s="2" t="s">
        <v>1954</v>
      </c>
      <c r="C112" s="2" t="s">
        <v>242</v>
      </c>
      <c r="D112" s="2" t="s">
        <v>413</v>
      </c>
      <c r="E112" s="2" t="s">
        <v>4</v>
      </c>
      <c r="F112" s="2" t="s">
        <v>17</v>
      </c>
      <c r="G112" s="2" t="s">
        <v>67</v>
      </c>
      <c r="H112" s="2" t="s">
        <v>19</v>
      </c>
      <c r="I112" s="2" t="s">
        <v>3395</v>
      </c>
      <c r="J112" s="3">
        <v>8.99</v>
      </c>
      <c r="K112" s="3">
        <v>8.99</v>
      </c>
      <c r="L112" s="2" t="s">
        <v>3391</v>
      </c>
      <c r="M112" s="2" t="s">
        <v>9</v>
      </c>
      <c r="N112" s="3">
        <v>275</v>
      </c>
      <c r="O112" s="2" t="s">
        <v>60</v>
      </c>
      <c r="P112" s="2" t="s">
        <v>238</v>
      </c>
      <c r="Q112" s="3"/>
      <c r="R112" s="3"/>
      <c r="S112" s="2" t="s">
        <v>12</v>
      </c>
      <c r="T112" s="4">
        <v>44955</v>
      </c>
      <c r="U112" s="2" t="s">
        <v>1955</v>
      </c>
      <c r="V112" s="6">
        <f>(Real_Sales[[#This Row],[Price_retail]]-Real_Sales[[#This Row],[Price_current]])/Real_Sales[[#This Row],[Price_retail]]</f>
        <v>0</v>
      </c>
      <c r="W112" s="3" t="str" cm="1">
        <f t="array" ref="W11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2" s="2" t="str">
        <f>IF(Real_Sales[[#This Row],[Price_retail]]&gt;$AC$3,"Premium","Average")</f>
        <v>Average</v>
      </c>
      <c r="Y112" s="2" t="str">
        <f>IF(ISNUMBER(SEARCH("Basic",Real_Sales[[#This Row],[Product_name]])),"Yes","No")</f>
        <v>No</v>
      </c>
      <c r="Z112" s="2" cm="1">
        <f t="array" ref="Z112">_xlfn.IFS(Real_Sales[[#This Row],[Price_retail]]&lt;=15,1, Real_Sales[[#This Row],[Price_retail]]&lt;=30,2, Real_Sales[[#This Row],[Price_retail]]&lt;=50,3,Real_Sales[[#This Row],[Price_retail]]&gt;50,4)</f>
        <v>1</v>
      </c>
    </row>
    <row r="113" spans="1:26" x14ac:dyDescent="0.35">
      <c r="A113" s="2" t="s">
        <v>1956</v>
      </c>
      <c r="B113" s="2" t="s">
        <v>1957</v>
      </c>
      <c r="C113" s="2" t="s">
        <v>1425</v>
      </c>
      <c r="D113" s="2" t="s">
        <v>196</v>
      </c>
      <c r="E113" s="2" t="s">
        <v>4</v>
      </c>
      <c r="F113" s="2" t="s">
        <v>17</v>
      </c>
      <c r="G113" s="2" t="s">
        <v>18</v>
      </c>
      <c r="H113" s="2" t="s">
        <v>7</v>
      </c>
      <c r="I113" s="2" t="s">
        <v>3390</v>
      </c>
      <c r="J113" s="3">
        <v>8.99</v>
      </c>
      <c r="K113" s="3">
        <v>8.99</v>
      </c>
      <c r="L113" s="2" t="s">
        <v>3391</v>
      </c>
      <c r="M113" s="2" t="s">
        <v>9</v>
      </c>
      <c r="N113" s="3">
        <v>538</v>
      </c>
      <c r="O113" s="2" t="s">
        <v>69</v>
      </c>
      <c r="P113" s="2" t="s">
        <v>44</v>
      </c>
      <c r="Q113" s="3"/>
      <c r="R113" s="3"/>
      <c r="S113" s="2" t="s">
        <v>21</v>
      </c>
      <c r="T113" s="4">
        <v>44955</v>
      </c>
      <c r="U113" s="2" t="s">
        <v>1958</v>
      </c>
      <c r="V113" s="6">
        <f>(Real_Sales[[#This Row],[Price_retail]]-Real_Sales[[#This Row],[Price_current]])/Real_Sales[[#This Row],[Price_retail]]</f>
        <v>0</v>
      </c>
      <c r="W113" s="3" t="str" cm="1">
        <f t="array" ref="W11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3" s="2" t="str">
        <f>IF(Real_Sales[[#This Row],[Price_retail]]&gt;$AC$3,"Premium","Average")</f>
        <v>Average</v>
      </c>
      <c r="Y113" s="2" t="str">
        <f>IF(ISNUMBER(SEARCH("Basic",Real_Sales[[#This Row],[Product_name]])),"Yes","No")</f>
        <v>No</v>
      </c>
      <c r="Z113" s="2" cm="1">
        <f t="array" ref="Z113">_xlfn.IFS(Real_Sales[[#This Row],[Price_retail]]&lt;=15,1, Real_Sales[[#This Row],[Price_retail]]&lt;=30,2, Real_Sales[[#This Row],[Price_retail]]&lt;=50,3,Real_Sales[[#This Row],[Price_retail]]&gt;50,4)</f>
        <v>1</v>
      </c>
    </row>
    <row r="114" spans="1:26" x14ac:dyDescent="0.35">
      <c r="A114" s="2" t="s">
        <v>1962</v>
      </c>
      <c r="B114" s="2" t="s">
        <v>1963</v>
      </c>
      <c r="C114" s="2" t="s">
        <v>65</v>
      </c>
      <c r="D114" s="2" t="s">
        <v>115</v>
      </c>
      <c r="E114" s="2" t="s">
        <v>4</v>
      </c>
      <c r="F114" s="2" t="s">
        <v>17</v>
      </c>
      <c r="G114" s="2" t="s">
        <v>50</v>
      </c>
      <c r="H114" s="2" t="s">
        <v>90</v>
      </c>
      <c r="I114" s="2" t="s">
        <v>3390</v>
      </c>
      <c r="J114" s="3">
        <v>8.99</v>
      </c>
      <c r="K114" s="3">
        <v>8.99</v>
      </c>
      <c r="L114" s="2" t="s">
        <v>3391</v>
      </c>
      <c r="M114" s="2" t="s">
        <v>9</v>
      </c>
      <c r="N114" s="3">
        <v>304</v>
      </c>
      <c r="O114" s="2" t="s">
        <v>75</v>
      </c>
      <c r="P114" s="2" t="s">
        <v>177</v>
      </c>
      <c r="Q114" s="3"/>
      <c r="R114" s="3"/>
      <c r="S114" s="2" t="s">
        <v>21</v>
      </c>
      <c r="T114" s="4">
        <v>44955</v>
      </c>
      <c r="U114" s="2" t="s">
        <v>1964</v>
      </c>
      <c r="V114" s="6">
        <f>(Real_Sales[[#This Row],[Price_retail]]-Real_Sales[[#This Row],[Price_current]])/Real_Sales[[#This Row],[Price_retail]]</f>
        <v>0</v>
      </c>
      <c r="W114" s="3" t="str" cm="1">
        <f t="array" ref="W1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4" s="2" t="str">
        <f>IF(Real_Sales[[#This Row],[Price_retail]]&gt;$AC$3,"Premium","Average")</f>
        <v>Average</v>
      </c>
      <c r="Y114" s="2" t="str">
        <f>IF(ISNUMBER(SEARCH("Basic",Real_Sales[[#This Row],[Product_name]])),"Yes","No")</f>
        <v>No</v>
      </c>
      <c r="Z114" s="2" cm="1">
        <f t="array" ref="Z114">_xlfn.IFS(Real_Sales[[#This Row],[Price_retail]]&lt;=15,1, Real_Sales[[#This Row],[Price_retail]]&lt;=30,2, Real_Sales[[#This Row],[Price_retail]]&lt;=50,3,Real_Sales[[#This Row],[Price_retail]]&gt;50,4)</f>
        <v>1</v>
      </c>
    </row>
    <row r="115" spans="1:26" x14ac:dyDescent="0.35">
      <c r="A115" s="2" t="s">
        <v>1999</v>
      </c>
      <c r="B115" s="2" t="s">
        <v>2000</v>
      </c>
      <c r="C115" s="2" t="s">
        <v>65</v>
      </c>
      <c r="D115" s="2" t="s">
        <v>446</v>
      </c>
      <c r="E115" s="2" t="s">
        <v>4</v>
      </c>
      <c r="F115" s="2" t="s">
        <v>17</v>
      </c>
      <c r="G115" s="2" t="s">
        <v>50</v>
      </c>
      <c r="H115" s="2" t="s">
        <v>145</v>
      </c>
      <c r="I115" s="2" t="s">
        <v>3393</v>
      </c>
      <c r="J115" s="3">
        <v>8.99</v>
      </c>
      <c r="K115" s="3">
        <v>8.99</v>
      </c>
      <c r="L115" s="2" t="s">
        <v>3391</v>
      </c>
      <c r="M115" s="2" t="s">
        <v>9</v>
      </c>
      <c r="N115" s="3">
        <v>834</v>
      </c>
      <c r="O115" s="2" t="s">
        <v>140</v>
      </c>
      <c r="P115" s="2" t="s">
        <v>192</v>
      </c>
      <c r="Q115" s="3"/>
      <c r="R115" s="3"/>
      <c r="S115" s="2" t="s">
        <v>21</v>
      </c>
      <c r="T115" s="4">
        <v>44955</v>
      </c>
      <c r="U115" s="2" t="s">
        <v>2001</v>
      </c>
      <c r="V115" s="6">
        <f>(Real_Sales[[#This Row],[Price_retail]]-Real_Sales[[#This Row],[Price_current]])/Real_Sales[[#This Row],[Price_retail]]</f>
        <v>0</v>
      </c>
      <c r="W115" s="3" t="str" cm="1">
        <f t="array" ref="W11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5" s="2" t="str">
        <f>IF(Real_Sales[[#This Row],[Price_retail]]&gt;$AC$3,"Premium","Average")</f>
        <v>Average</v>
      </c>
      <c r="Y115" s="2" t="str">
        <f>IF(ISNUMBER(SEARCH("Basic",Real_Sales[[#This Row],[Product_name]])),"Yes","No")</f>
        <v>Yes</v>
      </c>
      <c r="Z115" s="2" cm="1">
        <f t="array" ref="Z115">_xlfn.IFS(Real_Sales[[#This Row],[Price_retail]]&lt;=15,1, Real_Sales[[#This Row],[Price_retail]]&lt;=30,2, Real_Sales[[#This Row],[Price_retail]]&lt;=50,3,Real_Sales[[#This Row],[Price_retail]]&gt;50,4)</f>
        <v>1</v>
      </c>
    </row>
    <row r="116" spans="1:26" x14ac:dyDescent="0.35">
      <c r="A116" s="2" t="s">
        <v>2044</v>
      </c>
      <c r="B116" s="2" t="s">
        <v>2045</v>
      </c>
      <c r="C116" s="2" t="s">
        <v>1010</v>
      </c>
      <c r="D116" s="2" t="s">
        <v>608</v>
      </c>
      <c r="E116" s="2" t="s">
        <v>4</v>
      </c>
      <c r="F116" s="2" t="s">
        <v>17</v>
      </c>
      <c r="G116" s="2" t="s">
        <v>27</v>
      </c>
      <c r="H116" s="2" t="s">
        <v>51</v>
      </c>
      <c r="I116" s="2" t="s">
        <v>3393</v>
      </c>
      <c r="J116" s="3">
        <v>8.99</v>
      </c>
      <c r="K116" s="3">
        <v>8.99</v>
      </c>
      <c r="L116" s="2" t="s">
        <v>3391</v>
      </c>
      <c r="M116" s="2" t="s">
        <v>9</v>
      </c>
      <c r="N116" s="3">
        <v>816</v>
      </c>
      <c r="O116" s="2" t="s">
        <v>140</v>
      </c>
      <c r="P116" s="2" t="s">
        <v>92</v>
      </c>
      <c r="Q116" s="3"/>
      <c r="R116" s="3"/>
      <c r="S116" s="2" t="s">
        <v>12</v>
      </c>
      <c r="T116" s="4">
        <v>44955</v>
      </c>
      <c r="U116" s="2" t="s">
        <v>2046</v>
      </c>
      <c r="V116" s="6">
        <f>(Real_Sales[[#This Row],[Price_retail]]-Real_Sales[[#This Row],[Price_current]])/Real_Sales[[#This Row],[Price_retail]]</f>
        <v>0</v>
      </c>
      <c r="W116" s="3" t="str" cm="1">
        <f t="array" ref="W11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6" s="2" t="str">
        <f>IF(Real_Sales[[#This Row],[Price_retail]]&gt;$AC$3,"Premium","Average")</f>
        <v>Average</v>
      </c>
      <c r="Y116" s="2" t="str">
        <f>IF(ISNUMBER(SEARCH("Basic",Real_Sales[[#This Row],[Product_name]])),"Yes","No")</f>
        <v>No</v>
      </c>
      <c r="Z116" s="2" cm="1">
        <f t="array" ref="Z116">_xlfn.IFS(Real_Sales[[#This Row],[Price_retail]]&lt;=15,1, Real_Sales[[#This Row],[Price_retail]]&lt;=30,2, Real_Sales[[#This Row],[Price_retail]]&lt;=50,3,Real_Sales[[#This Row],[Price_retail]]&gt;50,4)</f>
        <v>1</v>
      </c>
    </row>
    <row r="117" spans="1:26" x14ac:dyDescent="0.35">
      <c r="A117" s="2" t="s">
        <v>2047</v>
      </c>
      <c r="B117" s="2" t="s">
        <v>2048</v>
      </c>
      <c r="C117" s="2" t="s">
        <v>585</v>
      </c>
      <c r="D117" s="2" t="s">
        <v>1165</v>
      </c>
      <c r="E117" s="2" t="s">
        <v>4</v>
      </c>
      <c r="F117" s="2" t="s">
        <v>17</v>
      </c>
      <c r="G117" s="2" t="s">
        <v>27</v>
      </c>
      <c r="H117" s="2" t="s">
        <v>185</v>
      </c>
      <c r="I117" s="2" t="s">
        <v>3393</v>
      </c>
      <c r="J117" s="3">
        <v>8.99</v>
      </c>
      <c r="K117" s="3">
        <v>8.99</v>
      </c>
      <c r="L117" s="2" t="s">
        <v>3391</v>
      </c>
      <c r="M117" s="2" t="s">
        <v>9</v>
      </c>
      <c r="N117" s="3">
        <v>878</v>
      </c>
      <c r="O117" s="2" t="s">
        <v>98</v>
      </c>
      <c r="P117" s="2" t="s">
        <v>221</v>
      </c>
      <c r="Q117" s="3"/>
      <c r="R117" s="3"/>
      <c r="S117" s="2" t="s">
        <v>12</v>
      </c>
      <c r="T117" s="4">
        <v>44955</v>
      </c>
      <c r="U117" s="2" t="s">
        <v>2049</v>
      </c>
      <c r="V117" s="6">
        <f>(Real_Sales[[#This Row],[Price_retail]]-Real_Sales[[#This Row],[Price_current]])/Real_Sales[[#This Row],[Price_retail]]</f>
        <v>0</v>
      </c>
      <c r="W117" s="3" t="str" cm="1">
        <f t="array" ref="W1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7" s="2" t="str">
        <f>IF(Real_Sales[[#This Row],[Price_retail]]&gt;$AC$3,"Premium","Average")</f>
        <v>Average</v>
      </c>
      <c r="Y117" s="2" t="str">
        <f>IF(ISNUMBER(SEARCH("Basic",Real_Sales[[#This Row],[Product_name]])),"Yes","No")</f>
        <v>No</v>
      </c>
      <c r="Z117" s="2" cm="1">
        <f t="array" ref="Z117">_xlfn.IFS(Real_Sales[[#This Row],[Price_retail]]&lt;=15,1, Real_Sales[[#This Row],[Price_retail]]&lt;=30,2, Real_Sales[[#This Row],[Price_retail]]&lt;=50,3,Real_Sales[[#This Row],[Price_retail]]&gt;50,4)</f>
        <v>1</v>
      </c>
    </row>
    <row r="118" spans="1:26" x14ac:dyDescent="0.35">
      <c r="A118" s="2" t="s">
        <v>2050</v>
      </c>
      <c r="B118" s="2" t="s">
        <v>2051</v>
      </c>
      <c r="C118" s="2" t="s">
        <v>3420</v>
      </c>
      <c r="D118" s="2" t="s">
        <v>1823</v>
      </c>
      <c r="E118" s="2" t="s">
        <v>4</v>
      </c>
      <c r="F118" s="2" t="s">
        <v>17</v>
      </c>
      <c r="G118" s="2" t="s">
        <v>27</v>
      </c>
      <c r="H118" s="2" t="s">
        <v>168</v>
      </c>
      <c r="I118" s="2" t="s">
        <v>3395</v>
      </c>
      <c r="J118" s="3">
        <v>8.99</v>
      </c>
      <c r="K118" s="3">
        <v>8.99</v>
      </c>
      <c r="L118" s="2" t="s">
        <v>3391</v>
      </c>
      <c r="M118" s="2" t="s">
        <v>9</v>
      </c>
      <c r="N118" s="3">
        <v>842</v>
      </c>
      <c r="O118" s="2" t="s">
        <v>75</v>
      </c>
      <c r="P118" s="2" t="s">
        <v>3392</v>
      </c>
      <c r="Q118" s="3"/>
      <c r="R118" s="3"/>
      <c r="S118" s="2" t="s">
        <v>21</v>
      </c>
      <c r="T118" s="4">
        <v>44955</v>
      </c>
      <c r="U118" s="2" t="s">
        <v>2052</v>
      </c>
      <c r="V118" s="6">
        <f>(Real_Sales[[#This Row],[Price_retail]]-Real_Sales[[#This Row],[Price_current]])/Real_Sales[[#This Row],[Price_retail]]</f>
        <v>0</v>
      </c>
      <c r="W118" s="3" t="str" cm="1">
        <f t="array" ref="W1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8" s="2" t="str">
        <f>IF(Real_Sales[[#This Row],[Price_retail]]&gt;$AC$3,"Premium","Average")</f>
        <v>Average</v>
      </c>
      <c r="Y118" s="2" t="str">
        <f>IF(ISNUMBER(SEARCH("Basic",Real_Sales[[#This Row],[Product_name]])),"Yes","No")</f>
        <v>No</v>
      </c>
      <c r="Z118" s="2" cm="1">
        <f t="array" ref="Z118">_xlfn.IFS(Real_Sales[[#This Row],[Price_retail]]&lt;=15,1, Real_Sales[[#This Row],[Price_retail]]&lt;=30,2, Real_Sales[[#This Row],[Price_retail]]&lt;=50,3,Real_Sales[[#This Row],[Price_retail]]&gt;50,4)</f>
        <v>1</v>
      </c>
    </row>
    <row r="119" spans="1:26" x14ac:dyDescent="0.35">
      <c r="A119" s="2" t="s">
        <v>2056</v>
      </c>
      <c r="B119" s="2" t="s">
        <v>2057</v>
      </c>
      <c r="C119" s="2" t="s">
        <v>999</v>
      </c>
      <c r="D119" s="2" t="s">
        <v>660</v>
      </c>
      <c r="E119" s="2" t="s">
        <v>4</v>
      </c>
      <c r="F119" s="2" t="s">
        <v>5</v>
      </c>
      <c r="G119" s="2" t="s">
        <v>82</v>
      </c>
      <c r="H119" s="2" t="s">
        <v>237</v>
      </c>
      <c r="I119" s="2" t="s">
        <v>3393</v>
      </c>
      <c r="J119" s="3">
        <v>8.99</v>
      </c>
      <c r="K119" s="3">
        <v>8.99</v>
      </c>
      <c r="L119" s="2" t="s">
        <v>3391</v>
      </c>
      <c r="M119" s="2" t="s">
        <v>9</v>
      </c>
      <c r="N119" s="3">
        <v>127</v>
      </c>
      <c r="O119" s="2" t="s">
        <v>29</v>
      </c>
      <c r="P119" s="2" t="s">
        <v>37</v>
      </c>
      <c r="Q119" s="3"/>
      <c r="R119" s="3"/>
      <c r="S119" s="2" t="s">
        <v>21</v>
      </c>
      <c r="T119" s="4">
        <v>44955</v>
      </c>
      <c r="U119" s="2" t="s">
        <v>2058</v>
      </c>
      <c r="V119" s="6">
        <f>(Real_Sales[[#This Row],[Price_retail]]-Real_Sales[[#This Row],[Price_current]])/Real_Sales[[#This Row],[Price_retail]]</f>
        <v>0</v>
      </c>
      <c r="W119" s="3" t="str" cm="1">
        <f t="array" ref="W11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19" s="2" t="str">
        <f>IF(Real_Sales[[#This Row],[Price_retail]]&gt;$AC$3,"Premium","Average")</f>
        <v>Average</v>
      </c>
      <c r="Y119" s="2" t="str">
        <f>IF(ISNUMBER(SEARCH("Basic",Real_Sales[[#This Row],[Product_name]])),"Yes","No")</f>
        <v>No</v>
      </c>
      <c r="Z119" s="2" cm="1">
        <f t="array" ref="Z119">_xlfn.IFS(Real_Sales[[#This Row],[Price_retail]]&lt;=15,1, Real_Sales[[#This Row],[Price_retail]]&lt;=30,2, Real_Sales[[#This Row],[Price_retail]]&lt;=50,3,Real_Sales[[#This Row],[Price_retail]]&gt;50,4)</f>
        <v>1</v>
      </c>
    </row>
    <row r="120" spans="1:26" x14ac:dyDescent="0.35">
      <c r="A120" s="2" t="s">
        <v>2081</v>
      </c>
      <c r="B120" s="2" t="s">
        <v>2082</v>
      </c>
      <c r="C120" s="2" t="s">
        <v>484</v>
      </c>
      <c r="D120" s="2" t="s">
        <v>3425</v>
      </c>
      <c r="E120" s="2" t="s">
        <v>4</v>
      </c>
      <c r="F120" s="2" t="s">
        <v>5</v>
      </c>
      <c r="G120" s="2" t="s">
        <v>121</v>
      </c>
      <c r="H120" s="2" t="s">
        <v>145</v>
      </c>
      <c r="I120" s="2" t="s">
        <v>3390</v>
      </c>
      <c r="J120" s="3">
        <v>8.99</v>
      </c>
      <c r="K120" s="3">
        <v>8.99</v>
      </c>
      <c r="L120" s="2" t="s">
        <v>3391</v>
      </c>
      <c r="M120" s="2" t="s">
        <v>9</v>
      </c>
      <c r="N120" s="3">
        <v>757</v>
      </c>
      <c r="O120" s="2" t="s">
        <v>3392</v>
      </c>
      <c r="P120" s="2" t="s">
        <v>128</v>
      </c>
      <c r="Q120" s="3"/>
      <c r="R120" s="3"/>
      <c r="S120" s="2" t="s">
        <v>21</v>
      </c>
      <c r="T120" s="4">
        <v>44955</v>
      </c>
      <c r="U120" s="2" t="s">
        <v>2083</v>
      </c>
      <c r="V120" s="6">
        <f>(Real_Sales[[#This Row],[Price_retail]]-Real_Sales[[#This Row],[Price_current]])/Real_Sales[[#This Row],[Price_retail]]</f>
        <v>0</v>
      </c>
      <c r="W120" s="3" t="str" cm="1">
        <f t="array" ref="W12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0" s="2" t="str">
        <f>IF(Real_Sales[[#This Row],[Price_retail]]&gt;$AC$3,"Premium","Average")</f>
        <v>Average</v>
      </c>
      <c r="Y120" s="2" t="str">
        <f>IF(ISNUMBER(SEARCH("Basic",Real_Sales[[#This Row],[Product_name]])),"Yes","No")</f>
        <v>No</v>
      </c>
      <c r="Z120" s="2" cm="1">
        <f t="array" ref="Z120">_xlfn.IFS(Real_Sales[[#This Row],[Price_retail]]&lt;=15,1, Real_Sales[[#This Row],[Price_retail]]&lt;=30,2, Real_Sales[[#This Row],[Price_retail]]&lt;=50,3,Real_Sales[[#This Row],[Price_retail]]&gt;50,4)</f>
        <v>1</v>
      </c>
    </row>
    <row r="121" spans="1:26" x14ac:dyDescent="0.35">
      <c r="A121" s="2" t="s">
        <v>2181</v>
      </c>
      <c r="B121" s="2" t="s">
        <v>2182</v>
      </c>
      <c r="C121" s="2" t="s">
        <v>3426</v>
      </c>
      <c r="D121" s="2" t="s">
        <v>604</v>
      </c>
      <c r="E121" s="2" t="s">
        <v>4</v>
      </c>
      <c r="F121" s="2" t="s">
        <v>5</v>
      </c>
      <c r="G121" s="2" t="s">
        <v>82</v>
      </c>
      <c r="H121" s="2" t="s">
        <v>418</v>
      </c>
      <c r="I121" s="2" t="s">
        <v>3393</v>
      </c>
      <c r="J121" s="3">
        <v>8.99</v>
      </c>
      <c r="K121" s="3">
        <v>8.99</v>
      </c>
      <c r="L121" s="2" t="s">
        <v>3391</v>
      </c>
      <c r="M121" s="2" t="s">
        <v>9</v>
      </c>
      <c r="N121" s="3">
        <v>481</v>
      </c>
      <c r="O121" s="2" t="s">
        <v>52</v>
      </c>
      <c r="P121" s="2" t="s">
        <v>186</v>
      </c>
      <c r="Q121" s="3"/>
      <c r="R121" s="3"/>
      <c r="S121" s="2" t="s">
        <v>12</v>
      </c>
      <c r="T121" s="4">
        <v>44955</v>
      </c>
      <c r="U121" s="2" t="s">
        <v>2183</v>
      </c>
      <c r="V121" s="6">
        <f>(Real_Sales[[#This Row],[Price_retail]]-Real_Sales[[#This Row],[Price_current]])/Real_Sales[[#This Row],[Price_retail]]</f>
        <v>0</v>
      </c>
      <c r="W121" s="3" t="str" cm="1">
        <f t="array" ref="W12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1" s="2" t="str">
        <f>IF(Real_Sales[[#This Row],[Price_retail]]&gt;$AC$3,"Premium","Average")</f>
        <v>Average</v>
      </c>
      <c r="Y121" s="2" t="str">
        <f>IF(ISNUMBER(SEARCH("Basic",Real_Sales[[#This Row],[Product_name]])),"Yes","No")</f>
        <v>No</v>
      </c>
      <c r="Z121" s="2" cm="1">
        <f t="array" ref="Z121">_xlfn.IFS(Real_Sales[[#This Row],[Price_retail]]&lt;=15,1, Real_Sales[[#This Row],[Price_retail]]&lt;=30,2, Real_Sales[[#This Row],[Price_retail]]&lt;=50,3,Real_Sales[[#This Row],[Price_retail]]&gt;50,4)</f>
        <v>1</v>
      </c>
    </row>
    <row r="122" spans="1:26" x14ac:dyDescent="0.35">
      <c r="A122" s="2" t="s">
        <v>2208</v>
      </c>
      <c r="B122" s="2" t="s">
        <v>2209</v>
      </c>
      <c r="C122" s="2" t="s">
        <v>2210</v>
      </c>
      <c r="D122" s="2" t="s">
        <v>704</v>
      </c>
      <c r="E122" s="2" t="s">
        <v>4</v>
      </c>
      <c r="F122" s="2" t="s">
        <v>17</v>
      </c>
      <c r="G122" s="2" t="s">
        <v>50</v>
      </c>
      <c r="H122" s="2" t="s">
        <v>51</v>
      </c>
      <c r="I122" s="2" t="s">
        <v>3390</v>
      </c>
      <c r="J122" s="3">
        <v>8.99</v>
      </c>
      <c r="K122" s="3">
        <v>8.99</v>
      </c>
      <c r="L122" s="2" t="s">
        <v>3391</v>
      </c>
      <c r="M122" s="2" t="s">
        <v>9</v>
      </c>
      <c r="N122" s="3">
        <v>807</v>
      </c>
      <c r="O122" s="2" t="s">
        <v>140</v>
      </c>
      <c r="P122" s="2" t="s">
        <v>2211</v>
      </c>
      <c r="Q122" s="3"/>
      <c r="R122" s="3"/>
      <c r="S122" s="2" t="s">
        <v>21</v>
      </c>
      <c r="T122" s="4">
        <v>44955</v>
      </c>
      <c r="U122" s="2" t="s">
        <v>2212</v>
      </c>
      <c r="V122" s="6">
        <f>(Real_Sales[[#This Row],[Price_retail]]-Real_Sales[[#This Row],[Price_current]])/Real_Sales[[#This Row],[Price_retail]]</f>
        <v>0</v>
      </c>
      <c r="W122" s="3" t="str" cm="1">
        <f t="array" ref="W1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2" s="2" t="str">
        <f>IF(Real_Sales[[#This Row],[Price_retail]]&gt;$AC$3,"Premium","Average")</f>
        <v>Average</v>
      </c>
      <c r="Y122" s="2" t="str">
        <f>IF(ISNUMBER(SEARCH("Basic",Real_Sales[[#This Row],[Product_name]])),"Yes","No")</f>
        <v>No</v>
      </c>
      <c r="Z122" s="2" cm="1">
        <f t="array" ref="Z122">_xlfn.IFS(Real_Sales[[#This Row],[Price_retail]]&lt;=15,1, Real_Sales[[#This Row],[Price_retail]]&lt;=30,2, Real_Sales[[#This Row],[Price_retail]]&lt;=50,3,Real_Sales[[#This Row],[Price_retail]]&gt;50,4)</f>
        <v>1</v>
      </c>
    </row>
    <row r="123" spans="1:26" x14ac:dyDescent="0.35">
      <c r="A123" s="2" t="s">
        <v>2258</v>
      </c>
      <c r="B123" s="2" t="s">
        <v>2259</v>
      </c>
      <c r="C123" s="2" t="s">
        <v>750</v>
      </c>
      <c r="D123" s="2" t="s">
        <v>511</v>
      </c>
      <c r="E123" s="2" t="s">
        <v>4</v>
      </c>
      <c r="F123" s="2" t="s">
        <v>5</v>
      </c>
      <c r="G123" s="2" t="s">
        <v>6</v>
      </c>
      <c r="H123" s="2" t="s">
        <v>7</v>
      </c>
      <c r="I123" s="2" t="s">
        <v>3395</v>
      </c>
      <c r="J123" s="3">
        <v>8.99</v>
      </c>
      <c r="K123" s="3">
        <v>8.99</v>
      </c>
      <c r="L123" s="2" t="s">
        <v>3391</v>
      </c>
      <c r="M123" s="2" t="s">
        <v>9</v>
      </c>
      <c r="N123" s="3">
        <v>345</v>
      </c>
      <c r="O123" s="2" t="s">
        <v>43</v>
      </c>
      <c r="P123" s="2" t="s">
        <v>37</v>
      </c>
      <c r="Q123" s="3"/>
      <c r="R123" s="3"/>
      <c r="S123" s="2" t="s">
        <v>21</v>
      </c>
      <c r="T123" s="4">
        <v>44955</v>
      </c>
      <c r="U123" s="2" t="s">
        <v>2260</v>
      </c>
      <c r="V123" s="6">
        <f>(Real_Sales[[#This Row],[Price_retail]]-Real_Sales[[#This Row],[Price_current]])/Real_Sales[[#This Row],[Price_retail]]</f>
        <v>0</v>
      </c>
      <c r="W123" s="3" t="str" cm="1">
        <f t="array" ref="W12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3" s="2" t="str">
        <f>IF(Real_Sales[[#This Row],[Price_retail]]&gt;$AC$3,"Premium","Average")</f>
        <v>Average</v>
      </c>
      <c r="Y123" s="2" t="str">
        <f>IF(ISNUMBER(SEARCH("Basic",Real_Sales[[#This Row],[Product_name]])),"Yes","No")</f>
        <v>No</v>
      </c>
      <c r="Z123" s="2" cm="1">
        <f t="array" ref="Z123">_xlfn.IFS(Real_Sales[[#This Row],[Price_retail]]&lt;=15,1, Real_Sales[[#This Row],[Price_retail]]&lt;=30,2, Real_Sales[[#This Row],[Price_retail]]&lt;=50,3,Real_Sales[[#This Row],[Price_retail]]&gt;50,4)</f>
        <v>1</v>
      </c>
    </row>
    <row r="124" spans="1:26" x14ac:dyDescent="0.35">
      <c r="A124" s="2" t="s">
        <v>2267</v>
      </c>
      <c r="B124" s="2" t="s">
        <v>2268</v>
      </c>
      <c r="C124" s="2" t="s">
        <v>963</v>
      </c>
      <c r="D124" s="2" t="s">
        <v>1748</v>
      </c>
      <c r="E124" s="2" t="s">
        <v>4</v>
      </c>
      <c r="F124" s="2" t="s">
        <v>17</v>
      </c>
      <c r="G124" s="2" t="s">
        <v>67</v>
      </c>
      <c r="H124" s="2" t="s">
        <v>110</v>
      </c>
      <c r="I124" s="2" t="s">
        <v>3393</v>
      </c>
      <c r="J124" s="3">
        <v>8.99</v>
      </c>
      <c r="K124" s="3">
        <v>8.99</v>
      </c>
      <c r="L124" s="2" t="s">
        <v>3391</v>
      </c>
      <c r="M124" s="2" t="s">
        <v>9</v>
      </c>
      <c r="N124" s="3">
        <v>583</v>
      </c>
      <c r="O124" s="2" t="s">
        <v>10</v>
      </c>
      <c r="P124" s="2" t="s">
        <v>192</v>
      </c>
      <c r="Q124" s="3"/>
      <c r="R124" s="3"/>
      <c r="S124" s="2" t="s">
        <v>12</v>
      </c>
      <c r="T124" s="4">
        <v>44955</v>
      </c>
      <c r="U124" s="2" t="s">
        <v>2269</v>
      </c>
      <c r="V124" s="6">
        <f>(Real_Sales[[#This Row],[Price_retail]]-Real_Sales[[#This Row],[Price_current]])/Real_Sales[[#This Row],[Price_retail]]</f>
        <v>0</v>
      </c>
      <c r="W124" s="3" t="str" cm="1">
        <f t="array" ref="W12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4" s="2" t="str">
        <f>IF(Real_Sales[[#This Row],[Price_retail]]&gt;$AC$3,"Premium","Average")</f>
        <v>Average</v>
      </c>
      <c r="Y124" s="2" t="str">
        <f>IF(ISNUMBER(SEARCH("Basic",Real_Sales[[#This Row],[Product_name]])),"Yes","No")</f>
        <v>No</v>
      </c>
      <c r="Z124" s="2" cm="1">
        <f t="array" ref="Z124">_xlfn.IFS(Real_Sales[[#This Row],[Price_retail]]&lt;=15,1, Real_Sales[[#This Row],[Price_retail]]&lt;=30,2, Real_Sales[[#This Row],[Price_retail]]&lt;=50,3,Real_Sales[[#This Row],[Price_retail]]&gt;50,4)</f>
        <v>1</v>
      </c>
    </row>
    <row r="125" spans="1:26" x14ac:dyDescent="0.35">
      <c r="A125" s="2" t="s">
        <v>2301</v>
      </c>
      <c r="B125" s="2" t="s">
        <v>2302</v>
      </c>
      <c r="C125" s="2" t="s">
        <v>1670</v>
      </c>
      <c r="D125" s="2" t="s">
        <v>1247</v>
      </c>
      <c r="E125" s="2" t="s">
        <v>4</v>
      </c>
      <c r="F125" s="2" t="s">
        <v>5</v>
      </c>
      <c r="G125" s="2" t="s">
        <v>121</v>
      </c>
      <c r="H125" s="2" t="s">
        <v>237</v>
      </c>
      <c r="I125" s="2" t="s">
        <v>3393</v>
      </c>
      <c r="J125" s="3">
        <v>8.99</v>
      </c>
      <c r="K125" s="3">
        <v>8.99</v>
      </c>
      <c r="L125" s="2" t="s">
        <v>3391</v>
      </c>
      <c r="M125" s="2" t="s">
        <v>9</v>
      </c>
      <c r="N125" s="3">
        <v>999</v>
      </c>
      <c r="O125" s="2" t="s">
        <v>267</v>
      </c>
      <c r="P125" s="2" t="s">
        <v>186</v>
      </c>
      <c r="Q125" s="3"/>
      <c r="R125" s="3"/>
      <c r="S125" s="2" t="s">
        <v>21</v>
      </c>
      <c r="T125" s="4">
        <v>44955</v>
      </c>
      <c r="U125" s="2" t="s">
        <v>2303</v>
      </c>
      <c r="V125" s="6">
        <f>(Real_Sales[[#This Row],[Price_retail]]-Real_Sales[[#This Row],[Price_current]])/Real_Sales[[#This Row],[Price_retail]]</f>
        <v>0</v>
      </c>
      <c r="W125" s="3" t="str" cm="1">
        <f t="array" ref="W12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5" s="2" t="str">
        <f>IF(Real_Sales[[#This Row],[Price_retail]]&gt;$AC$3,"Premium","Average")</f>
        <v>Average</v>
      </c>
      <c r="Y125" s="2" t="str">
        <f>IF(ISNUMBER(SEARCH("Basic",Real_Sales[[#This Row],[Product_name]])),"Yes","No")</f>
        <v>No</v>
      </c>
      <c r="Z125" s="2" cm="1">
        <f t="array" ref="Z125">_xlfn.IFS(Real_Sales[[#This Row],[Price_retail]]&lt;=15,1, Real_Sales[[#This Row],[Price_retail]]&lt;=30,2, Real_Sales[[#This Row],[Price_retail]]&lt;=50,3,Real_Sales[[#This Row],[Price_retail]]&gt;50,4)</f>
        <v>1</v>
      </c>
    </row>
    <row r="126" spans="1:26" x14ac:dyDescent="0.35">
      <c r="A126" s="2" t="s">
        <v>2310</v>
      </c>
      <c r="B126" s="2" t="s">
        <v>2311</v>
      </c>
      <c r="C126" s="2" t="s">
        <v>25</v>
      </c>
      <c r="D126" s="2" t="s">
        <v>2312</v>
      </c>
      <c r="E126" s="2" t="s">
        <v>4</v>
      </c>
      <c r="F126" s="2" t="s">
        <v>5</v>
      </c>
      <c r="G126" s="2" t="s">
        <v>82</v>
      </c>
      <c r="H126" s="2" t="s">
        <v>145</v>
      </c>
      <c r="I126" s="2" t="s">
        <v>3393</v>
      </c>
      <c r="J126" s="3">
        <v>8.99</v>
      </c>
      <c r="K126" s="3">
        <v>8.99</v>
      </c>
      <c r="L126" s="2" t="s">
        <v>248</v>
      </c>
      <c r="M126" s="2" t="s">
        <v>9</v>
      </c>
      <c r="N126" s="3">
        <v>574</v>
      </c>
      <c r="O126" s="2" t="s">
        <v>287</v>
      </c>
      <c r="P126" s="2" t="s">
        <v>288</v>
      </c>
      <c r="Q126" s="3"/>
      <c r="R126" s="3"/>
      <c r="S126" s="2" t="s">
        <v>12</v>
      </c>
      <c r="T126" s="4">
        <v>44955</v>
      </c>
      <c r="U126" s="2" t="s">
        <v>2313</v>
      </c>
      <c r="V126" s="6">
        <f>(Real_Sales[[#This Row],[Price_retail]]-Real_Sales[[#This Row],[Price_current]])/Real_Sales[[#This Row],[Price_retail]]</f>
        <v>0</v>
      </c>
      <c r="W126" s="3" t="str" cm="1">
        <f t="array" ref="W12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6" s="2" t="str">
        <f>IF(Real_Sales[[#This Row],[Price_retail]]&gt;$AC$3,"Premium","Average")</f>
        <v>Average</v>
      </c>
      <c r="Y126" s="2" t="str">
        <f>IF(ISNUMBER(SEARCH("Basic",Real_Sales[[#This Row],[Product_name]])),"Yes","No")</f>
        <v>No</v>
      </c>
      <c r="Z126" s="2" cm="1">
        <f t="array" ref="Z126">_xlfn.IFS(Real_Sales[[#This Row],[Price_retail]]&lt;=15,1, Real_Sales[[#This Row],[Price_retail]]&lt;=30,2, Real_Sales[[#This Row],[Price_retail]]&lt;=50,3,Real_Sales[[#This Row],[Price_retail]]&gt;50,4)</f>
        <v>1</v>
      </c>
    </row>
    <row r="127" spans="1:26" x14ac:dyDescent="0.35">
      <c r="A127" s="2" t="s">
        <v>2385</v>
      </c>
      <c r="B127" s="2" t="s">
        <v>2386</v>
      </c>
      <c r="C127" s="2" t="s">
        <v>306</v>
      </c>
      <c r="D127" s="2" t="s">
        <v>1723</v>
      </c>
      <c r="E127" s="2" t="s">
        <v>4</v>
      </c>
      <c r="F127" s="2" t="s">
        <v>17</v>
      </c>
      <c r="G127" s="2" t="s">
        <v>50</v>
      </c>
      <c r="H127" s="2" t="s">
        <v>139</v>
      </c>
      <c r="I127" s="2" t="s">
        <v>3395</v>
      </c>
      <c r="J127" s="3">
        <v>8.99</v>
      </c>
      <c r="K127" s="3">
        <v>8.99</v>
      </c>
      <c r="L127" s="2" t="s">
        <v>3391</v>
      </c>
      <c r="M127" s="2" t="s">
        <v>9</v>
      </c>
      <c r="N127" s="3">
        <v>778</v>
      </c>
      <c r="O127" s="2" t="s">
        <v>347</v>
      </c>
      <c r="P127" s="2" t="s">
        <v>128</v>
      </c>
      <c r="Q127" s="3"/>
      <c r="R127" s="3"/>
      <c r="S127" s="2" t="s">
        <v>21</v>
      </c>
      <c r="T127" s="4">
        <v>44955</v>
      </c>
      <c r="U127" s="2" t="s">
        <v>2387</v>
      </c>
      <c r="V127" s="6">
        <f>(Real_Sales[[#This Row],[Price_retail]]-Real_Sales[[#This Row],[Price_current]])/Real_Sales[[#This Row],[Price_retail]]</f>
        <v>0</v>
      </c>
      <c r="W127" s="3" t="str" cm="1">
        <f t="array" ref="W12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7" s="2" t="str">
        <f>IF(Real_Sales[[#This Row],[Price_retail]]&gt;$AC$3,"Premium","Average")</f>
        <v>Average</v>
      </c>
      <c r="Y127" s="2" t="str">
        <f>IF(ISNUMBER(SEARCH("Basic",Real_Sales[[#This Row],[Product_name]])),"Yes","No")</f>
        <v>No</v>
      </c>
      <c r="Z127" s="2" cm="1">
        <f t="array" ref="Z127">_xlfn.IFS(Real_Sales[[#This Row],[Price_retail]]&lt;=15,1, Real_Sales[[#This Row],[Price_retail]]&lt;=30,2, Real_Sales[[#This Row],[Price_retail]]&lt;=50,3,Real_Sales[[#This Row],[Price_retail]]&gt;50,4)</f>
        <v>1</v>
      </c>
    </row>
    <row r="128" spans="1:26" x14ac:dyDescent="0.35">
      <c r="A128" s="2" t="s">
        <v>2426</v>
      </c>
      <c r="B128" s="2" t="s">
        <v>2427</v>
      </c>
      <c r="C128" s="2" t="s">
        <v>1670</v>
      </c>
      <c r="D128" s="2" t="s">
        <v>388</v>
      </c>
      <c r="E128" s="2" t="s">
        <v>4</v>
      </c>
      <c r="F128" s="2" t="s">
        <v>17</v>
      </c>
      <c r="G128" s="2" t="s">
        <v>67</v>
      </c>
      <c r="H128" s="2" t="s">
        <v>168</v>
      </c>
      <c r="I128" s="2" t="s">
        <v>3393</v>
      </c>
      <c r="J128" s="3">
        <v>8.99</v>
      </c>
      <c r="K128" s="3">
        <v>8.99</v>
      </c>
      <c r="L128" s="2" t="s">
        <v>3391</v>
      </c>
      <c r="M128" s="2" t="s">
        <v>9</v>
      </c>
      <c r="N128" s="3">
        <v>331</v>
      </c>
      <c r="O128" s="2" t="s">
        <v>104</v>
      </c>
      <c r="P128" s="2" t="s">
        <v>44</v>
      </c>
      <c r="Q128" s="3"/>
      <c r="R128" s="3"/>
      <c r="S128" s="2" t="s">
        <v>21</v>
      </c>
      <c r="T128" s="4">
        <v>44955</v>
      </c>
      <c r="U128" s="2" t="s">
        <v>2428</v>
      </c>
      <c r="V128" s="6">
        <f>(Real_Sales[[#This Row],[Price_retail]]-Real_Sales[[#This Row],[Price_current]])/Real_Sales[[#This Row],[Price_retail]]</f>
        <v>0</v>
      </c>
      <c r="W128" s="3" t="str" cm="1">
        <f t="array" ref="W12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8" s="2" t="str">
        <f>IF(Real_Sales[[#This Row],[Price_retail]]&gt;$AC$3,"Premium","Average")</f>
        <v>Average</v>
      </c>
      <c r="Y128" s="2" t="str">
        <f>IF(ISNUMBER(SEARCH("Basic",Real_Sales[[#This Row],[Product_name]])),"Yes","No")</f>
        <v>No</v>
      </c>
      <c r="Z128" s="2" cm="1">
        <f t="array" ref="Z128">_xlfn.IFS(Real_Sales[[#This Row],[Price_retail]]&lt;=15,1, Real_Sales[[#This Row],[Price_retail]]&lt;=30,2, Real_Sales[[#This Row],[Price_retail]]&lt;=50,3,Real_Sales[[#This Row],[Price_retail]]&gt;50,4)</f>
        <v>1</v>
      </c>
    </row>
    <row r="129" spans="1:26" x14ac:dyDescent="0.35">
      <c r="A129" s="2" t="s">
        <v>2432</v>
      </c>
      <c r="B129" s="2" t="s">
        <v>2433</v>
      </c>
      <c r="C129" s="2" t="s">
        <v>65</v>
      </c>
      <c r="D129" s="2" t="s">
        <v>133</v>
      </c>
      <c r="E129" s="2" t="s">
        <v>4</v>
      </c>
      <c r="F129" s="2" t="s">
        <v>17</v>
      </c>
      <c r="G129" s="2" t="s">
        <v>27</v>
      </c>
      <c r="H129" s="2" t="s">
        <v>134</v>
      </c>
      <c r="I129" s="2" t="s">
        <v>3393</v>
      </c>
      <c r="J129" s="3">
        <v>8.99</v>
      </c>
      <c r="K129" s="3">
        <v>8.99</v>
      </c>
      <c r="L129" s="2" t="s">
        <v>3391</v>
      </c>
      <c r="M129" s="2" t="s">
        <v>9</v>
      </c>
      <c r="N129" s="3">
        <v>126</v>
      </c>
      <c r="O129" s="2" t="s">
        <v>60</v>
      </c>
      <c r="P129" s="2" t="s">
        <v>3392</v>
      </c>
      <c r="Q129" s="3"/>
      <c r="R129" s="3"/>
      <c r="S129" s="2" t="s">
        <v>12</v>
      </c>
      <c r="T129" s="4">
        <v>44955</v>
      </c>
      <c r="U129" s="2" t="s">
        <v>2434</v>
      </c>
      <c r="V129" s="6">
        <f>(Real_Sales[[#This Row],[Price_retail]]-Real_Sales[[#This Row],[Price_current]])/Real_Sales[[#This Row],[Price_retail]]</f>
        <v>0</v>
      </c>
      <c r="W129" s="3" t="str" cm="1">
        <f t="array" ref="W12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29" s="2" t="str">
        <f>IF(Real_Sales[[#This Row],[Price_retail]]&gt;$AC$3,"Premium","Average")</f>
        <v>Average</v>
      </c>
      <c r="Y129" s="2" t="str">
        <f>IF(ISNUMBER(SEARCH("Basic",Real_Sales[[#This Row],[Product_name]])),"Yes","No")</f>
        <v>No</v>
      </c>
      <c r="Z129" s="2" cm="1">
        <f t="array" ref="Z129">_xlfn.IFS(Real_Sales[[#This Row],[Price_retail]]&lt;=15,1, Real_Sales[[#This Row],[Price_retail]]&lt;=30,2, Real_Sales[[#This Row],[Price_retail]]&lt;=50,3,Real_Sales[[#This Row],[Price_retail]]&gt;50,4)</f>
        <v>1</v>
      </c>
    </row>
    <row r="130" spans="1:26" x14ac:dyDescent="0.35">
      <c r="A130" s="2" t="s">
        <v>2477</v>
      </c>
      <c r="B130" s="2" t="s">
        <v>2478</v>
      </c>
      <c r="C130" s="2" t="s">
        <v>3400</v>
      </c>
      <c r="D130" s="2" t="s">
        <v>229</v>
      </c>
      <c r="E130" s="2" t="s">
        <v>4</v>
      </c>
      <c r="F130" s="2" t="s">
        <v>5</v>
      </c>
      <c r="G130" s="2" t="s">
        <v>82</v>
      </c>
      <c r="H130" s="2" t="s">
        <v>168</v>
      </c>
      <c r="I130" s="2" t="s">
        <v>3393</v>
      </c>
      <c r="J130" s="3">
        <v>8.99</v>
      </c>
      <c r="K130" s="3">
        <v>8.99</v>
      </c>
      <c r="L130" s="2" t="s">
        <v>3391</v>
      </c>
      <c r="M130" s="2" t="s">
        <v>9</v>
      </c>
      <c r="N130" s="3">
        <v>810</v>
      </c>
      <c r="O130" s="2" t="s">
        <v>347</v>
      </c>
      <c r="P130" s="2" t="s">
        <v>238</v>
      </c>
      <c r="Q130" s="3"/>
      <c r="R130" s="3"/>
      <c r="S130" s="2" t="s">
        <v>12</v>
      </c>
      <c r="T130" s="4">
        <v>44955</v>
      </c>
      <c r="U130" s="2" t="s">
        <v>2479</v>
      </c>
      <c r="V130" s="6">
        <f>(Real_Sales[[#This Row],[Price_retail]]-Real_Sales[[#This Row],[Price_current]])/Real_Sales[[#This Row],[Price_retail]]</f>
        <v>0</v>
      </c>
      <c r="W130" s="3" t="str" cm="1">
        <f t="array" ref="W1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0" s="2" t="str">
        <f>IF(Real_Sales[[#This Row],[Price_retail]]&gt;$AC$3,"Premium","Average")</f>
        <v>Average</v>
      </c>
      <c r="Y130" s="2" t="str">
        <f>IF(ISNUMBER(SEARCH("Basic",Real_Sales[[#This Row],[Product_name]])),"Yes","No")</f>
        <v>No</v>
      </c>
      <c r="Z130" s="2" cm="1">
        <f t="array" ref="Z130">_xlfn.IFS(Real_Sales[[#This Row],[Price_retail]]&lt;=15,1, Real_Sales[[#This Row],[Price_retail]]&lt;=30,2, Real_Sales[[#This Row],[Price_retail]]&lt;=50,3,Real_Sales[[#This Row],[Price_retail]]&gt;50,4)</f>
        <v>1</v>
      </c>
    </row>
    <row r="131" spans="1:26" x14ac:dyDescent="0.35">
      <c r="A131" s="2" t="s">
        <v>2508</v>
      </c>
      <c r="B131" s="2" t="s">
        <v>2509</v>
      </c>
      <c r="C131" s="2" t="s">
        <v>484</v>
      </c>
      <c r="D131" s="2" t="s">
        <v>581</v>
      </c>
      <c r="E131" s="2" t="s">
        <v>4</v>
      </c>
      <c r="F131" s="2" t="s">
        <v>17</v>
      </c>
      <c r="G131" s="2" t="s">
        <v>27</v>
      </c>
      <c r="H131" s="2" t="s">
        <v>7</v>
      </c>
      <c r="I131" s="2" t="s">
        <v>3390</v>
      </c>
      <c r="J131" s="3">
        <v>8.99</v>
      </c>
      <c r="K131" s="3">
        <v>8.99</v>
      </c>
      <c r="L131" s="2" t="s">
        <v>3391</v>
      </c>
      <c r="M131" s="2" t="s">
        <v>9</v>
      </c>
      <c r="N131" s="3">
        <v>555</v>
      </c>
      <c r="O131" s="2" t="s">
        <v>43</v>
      </c>
      <c r="P131" s="2" t="s">
        <v>70</v>
      </c>
      <c r="Q131" s="3"/>
      <c r="R131" s="3"/>
      <c r="S131" s="2" t="s">
        <v>21</v>
      </c>
      <c r="T131" s="4">
        <v>44955</v>
      </c>
      <c r="U131" s="2" t="s">
        <v>2510</v>
      </c>
      <c r="V131" s="6">
        <f>(Real_Sales[[#This Row],[Price_retail]]-Real_Sales[[#This Row],[Price_current]])/Real_Sales[[#This Row],[Price_retail]]</f>
        <v>0</v>
      </c>
      <c r="W131" s="3" t="str" cm="1">
        <f t="array" ref="W13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1" s="2" t="str">
        <f>IF(Real_Sales[[#This Row],[Price_retail]]&gt;$AC$3,"Premium","Average")</f>
        <v>Average</v>
      </c>
      <c r="Y131" s="2" t="str">
        <f>IF(ISNUMBER(SEARCH("Basic",Real_Sales[[#This Row],[Product_name]])),"Yes","No")</f>
        <v>No</v>
      </c>
      <c r="Z131" s="2" cm="1">
        <f t="array" ref="Z131">_xlfn.IFS(Real_Sales[[#This Row],[Price_retail]]&lt;=15,1, Real_Sales[[#This Row],[Price_retail]]&lt;=30,2, Real_Sales[[#This Row],[Price_retail]]&lt;=50,3,Real_Sales[[#This Row],[Price_retail]]&gt;50,4)</f>
        <v>1</v>
      </c>
    </row>
    <row r="132" spans="1:26" x14ac:dyDescent="0.35">
      <c r="A132" s="2" t="s">
        <v>2541</v>
      </c>
      <c r="B132" s="2" t="s">
        <v>2542</v>
      </c>
      <c r="C132" s="2" t="s">
        <v>1359</v>
      </c>
      <c r="D132" s="2" t="s">
        <v>247</v>
      </c>
      <c r="E132" s="2" t="s">
        <v>4</v>
      </c>
      <c r="F132" s="2" t="s">
        <v>17</v>
      </c>
      <c r="G132" s="2" t="s">
        <v>18</v>
      </c>
      <c r="H132" s="2" t="s">
        <v>68</v>
      </c>
      <c r="I132" s="2" t="s">
        <v>3390</v>
      </c>
      <c r="J132" s="3">
        <v>8.99</v>
      </c>
      <c r="K132" s="3">
        <v>8.99</v>
      </c>
      <c r="L132" s="2" t="s">
        <v>3391</v>
      </c>
      <c r="M132" s="2" t="s">
        <v>9</v>
      </c>
      <c r="N132" s="3">
        <v>924</v>
      </c>
      <c r="O132" s="2" t="s">
        <v>20</v>
      </c>
      <c r="P132" s="2" t="s">
        <v>76</v>
      </c>
      <c r="Q132" s="3"/>
      <c r="R132" s="3"/>
      <c r="S132" s="2" t="s">
        <v>21</v>
      </c>
      <c r="T132" s="4">
        <v>44955</v>
      </c>
      <c r="U132" s="2" t="s">
        <v>2543</v>
      </c>
      <c r="V132" s="6">
        <f>(Real_Sales[[#This Row],[Price_retail]]-Real_Sales[[#This Row],[Price_current]])/Real_Sales[[#This Row],[Price_retail]]</f>
        <v>0</v>
      </c>
      <c r="W132" s="3" t="str" cm="1">
        <f t="array" ref="W13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2" s="2" t="str">
        <f>IF(Real_Sales[[#This Row],[Price_retail]]&gt;$AC$3,"Premium","Average")</f>
        <v>Average</v>
      </c>
      <c r="Y132" s="2" t="str">
        <f>IF(ISNUMBER(SEARCH("Basic",Real_Sales[[#This Row],[Product_name]])),"Yes","No")</f>
        <v>No</v>
      </c>
      <c r="Z132" s="2" cm="1">
        <f t="array" ref="Z132">_xlfn.IFS(Real_Sales[[#This Row],[Price_retail]]&lt;=15,1, Real_Sales[[#This Row],[Price_retail]]&lt;=30,2, Real_Sales[[#This Row],[Price_retail]]&lt;=50,3,Real_Sales[[#This Row],[Price_retail]]&gt;50,4)</f>
        <v>1</v>
      </c>
    </row>
    <row r="133" spans="1:26" x14ac:dyDescent="0.35">
      <c r="A133" s="2" t="s">
        <v>2590</v>
      </c>
      <c r="B133" s="2" t="s">
        <v>2591</v>
      </c>
      <c r="C133" s="2" t="s">
        <v>65</v>
      </c>
      <c r="D133" s="2" t="s">
        <v>1680</v>
      </c>
      <c r="E133" s="2" t="s">
        <v>4</v>
      </c>
      <c r="F133" s="2" t="s">
        <v>5</v>
      </c>
      <c r="G133" s="2" t="s">
        <v>121</v>
      </c>
      <c r="H133" s="2" t="s">
        <v>51</v>
      </c>
      <c r="I133" s="2" t="s">
        <v>3393</v>
      </c>
      <c r="J133" s="3">
        <v>8.99</v>
      </c>
      <c r="K133" s="3">
        <v>8.99</v>
      </c>
      <c r="L133" s="2" t="s">
        <v>3391</v>
      </c>
      <c r="M133" s="2" t="s">
        <v>9</v>
      </c>
      <c r="N133" s="3">
        <v>100</v>
      </c>
      <c r="O133" s="2" t="s">
        <v>191</v>
      </c>
      <c r="P133" s="2" t="s">
        <v>3392</v>
      </c>
      <c r="Q133" s="3"/>
      <c r="R133" s="3"/>
      <c r="S133" s="2" t="s">
        <v>21</v>
      </c>
      <c r="T133" s="4">
        <v>44955</v>
      </c>
      <c r="U133" s="2" t="s">
        <v>2592</v>
      </c>
      <c r="V133" s="6">
        <f>(Real_Sales[[#This Row],[Price_retail]]-Real_Sales[[#This Row],[Price_current]])/Real_Sales[[#This Row],[Price_retail]]</f>
        <v>0</v>
      </c>
      <c r="W133" s="3" t="str" cm="1">
        <f t="array" ref="W1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3" s="2" t="str">
        <f>IF(Real_Sales[[#This Row],[Price_retail]]&gt;$AC$3,"Premium","Average")</f>
        <v>Average</v>
      </c>
      <c r="Y133" s="2" t="str">
        <f>IF(ISNUMBER(SEARCH("Basic",Real_Sales[[#This Row],[Product_name]])),"Yes","No")</f>
        <v>No</v>
      </c>
      <c r="Z133" s="2" cm="1">
        <f t="array" ref="Z133">_xlfn.IFS(Real_Sales[[#This Row],[Price_retail]]&lt;=15,1, Real_Sales[[#This Row],[Price_retail]]&lt;=30,2, Real_Sales[[#This Row],[Price_retail]]&lt;=50,3,Real_Sales[[#This Row],[Price_retail]]&gt;50,4)</f>
        <v>1</v>
      </c>
    </row>
    <row r="134" spans="1:26" x14ac:dyDescent="0.35">
      <c r="A134" s="2" t="s">
        <v>2611</v>
      </c>
      <c r="B134" s="2" t="s">
        <v>2612</v>
      </c>
      <c r="C134" s="2" t="s">
        <v>3394</v>
      </c>
      <c r="D134" s="2" t="s">
        <v>1574</v>
      </c>
      <c r="E134" s="2" t="s">
        <v>4</v>
      </c>
      <c r="F134" s="2" t="s">
        <v>17</v>
      </c>
      <c r="G134" s="2" t="s">
        <v>67</v>
      </c>
      <c r="H134" s="2" t="s">
        <v>237</v>
      </c>
      <c r="I134" s="2" t="s">
        <v>3393</v>
      </c>
      <c r="J134" s="3">
        <v>8.99</v>
      </c>
      <c r="K134" s="3">
        <v>8.99</v>
      </c>
      <c r="L134" s="2" t="s">
        <v>3391</v>
      </c>
      <c r="M134" s="2" t="s">
        <v>9</v>
      </c>
      <c r="N134" s="3">
        <v>76</v>
      </c>
      <c r="O134" s="2" t="s">
        <v>52</v>
      </c>
      <c r="P134" s="2" t="s">
        <v>3392</v>
      </c>
      <c r="Q134" s="3"/>
      <c r="R134" s="3"/>
      <c r="S134" s="2" t="s">
        <v>12</v>
      </c>
      <c r="T134" s="4">
        <v>44955</v>
      </c>
      <c r="U134" s="2" t="s">
        <v>2613</v>
      </c>
      <c r="V134" s="6">
        <f>(Real_Sales[[#This Row],[Price_retail]]-Real_Sales[[#This Row],[Price_current]])/Real_Sales[[#This Row],[Price_retail]]</f>
        <v>0</v>
      </c>
      <c r="W134" s="3" t="str" cm="1">
        <f t="array" ref="W1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4" s="2" t="str">
        <f>IF(Real_Sales[[#This Row],[Price_retail]]&gt;$AC$3,"Premium","Average")</f>
        <v>Average</v>
      </c>
      <c r="Y134" s="2" t="str">
        <f>IF(ISNUMBER(SEARCH("Basic",Real_Sales[[#This Row],[Product_name]])),"Yes","No")</f>
        <v>No</v>
      </c>
      <c r="Z134" s="2" cm="1">
        <f t="array" ref="Z134">_xlfn.IFS(Real_Sales[[#This Row],[Price_retail]]&lt;=15,1, Real_Sales[[#This Row],[Price_retail]]&lt;=30,2, Real_Sales[[#This Row],[Price_retail]]&lt;=50,3,Real_Sales[[#This Row],[Price_retail]]&gt;50,4)</f>
        <v>1</v>
      </c>
    </row>
    <row r="135" spans="1:26" x14ac:dyDescent="0.35">
      <c r="A135" s="2" t="s">
        <v>2689</v>
      </c>
      <c r="B135" s="2" t="s">
        <v>2690</v>
      </c>
      <c r="C135" s="2" t="s">
        <v>252</v>
      </c>
      <c r="D135" s="2" t="s">
        <v>1482</v>
      </c>
      <c r="E135" s="2" t="s">
        <v>4</v>
      </c>
      <c r="F135" s="2" t="s">
        <v>17</v>
      </c>
      <c r="G135" s="2" t="s">
        <v>18</v>
      </c>
      <c r="H135" s="2" t="s">
        <v>185</v>
      </c>
      <c r="I135" s="2" t="s">
        <v>3393</v>
      </c>
      <c r="J135" s="3">
        <v>8.99</v>
      </c>
      <c r="K135" s="3">
        <v>8.99</v>
      </c>
      <c r="L135" s="2" t="s">
        <v>3391</v>
      </c>
      <c r="M135" s="2" t="s">
        <v>9</v>
      </c>
      <c r="N135" s="3">
        <v>104</v>
      </c>
      <c r="O135" s="2" t="s">
        <v>36</v>
      </c>
      <c r="P135" s="2" t="s">
        <v>128</v>
      </c>
      <c r="Q135" s="3"/>
      <c r="R135" s="3"/>
      <c r="S135" s="2" t="s">
        <v>12</v>
      </c>
      <c r="T135" s="4">
        <v>44955</v>
      </c>
      <c r="U135" s="2" t="s">
        <v>2691</v>
      </c>
      <c r="V135" s="6">
        <f>(Real_Sales[[#This Row],[Price_retail]]-Real_Sales[[#This Row],[Price_current]])/Real_Sales[[#This Row],[Price_retail]]</f>
        <v>0</v>
      </c>
      <c r="W135" s="3" t="str" cm="1">
        <f t="array" ref="W13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5" s="2" t="str">
        <f>IF(Real_Sales[[#This Row],[Price_retail]]&gt;$AC$3,"Premium","Average")</f>
        <v>Average</v>
      </c>
      <c r="Y135" s="2" t="str">
        <f>IF(ISNUMBER(SEARCH("Basic",Real_Sales[[#This Row],[Product_name]])),"Yes","No")</f>
        <v>No</v>
      </c>
      <c r="Z135" s="2" cm="1">
        <f t="array" ref="Z135">_xlfn.IFS(Real_Sales[[#This Row],[Price_retail]]&lt;=15,1, Real_Sales[[#This Row],[Price_retail]]&lt;=30,2, Real_Sales[[#This Row],[Price_retail]]&lt;=50,3,Real_Sales[[#This Row],[Price_retail]]&gt;50,4)</f>
        <v>1</v>
      </c>
    </row>
    <row r="136" spans="1:26" x14ac:dyDescent="0.35">
      <c r="A136" s="2" t="s">
        <v>2698</v>
      </c>
      <c r="B136" s="2" t="s">
        <v>2699</v>
      </c>
      <c r="C136" s="2" t="s">
        <v>242</v>
      </c>
      <c r="D136" s="2" t="s">
        <v>474</v>
      </c>
      <c r="E136" s="2" t="s">
        <v>4</v>
      </c>
      <c r="F136" s="2" t="s">
        <v>17</v>
      </c>
      <c r="G136" s="2" t="s">
        <v>50</v>
      </c>
      <c r="H136" s="2" t="s">
        <v>83</v>
      </c>
      <c r="I136" s="2" t="s">
        <v>3390</v>
      </c>
      <c r="J136" s="3">
        <v>8.99</v>
      </c>
      <c r="K136" s="3">
        <v>8.99</v>
      </c>
      <c r="L136" s="2" t="s">
        <v>3391</v>
      </c>
      <c r="M136" s="2" t="s">
        <v>9</v>
      </c>
      <c r="N136" s="3">
        <v>489</v>
      </c>
      <c r="O136" s="2" t="s">
        <v>140</v>
      </c>
      <c r="P136" s="2" t="s">
        <v>221</v>
      </c>
      <c r="Q136" s="3"/>
      <c r="R136" s="3"/>
      <c r="S136" s="2" t="s">
        <v>21</v>
      </c>
      <c r="T136" s="4">
        <v>44955</v>
      </c>
      <c r="U136" s="2" t="s">
        <v>2700</v>
      </c>
      <c r="V136" s="6">
        <f>(Real_Sales[[#This Row],[Price_retail]]-Real_Sales[[#This Row],[Price_current]])/Real_Sales[[#This Row],[Price_retail]]</f>
        <v>0</v>
      </c>
      <c r="W136" s="3" t="str" cm="1">
        <f t="array" ref="W1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6" s="2" t="str">
        <f>IF(Real_Sales[[#This Row],[Price_retail]]&gt;$AC$3,"Premium","Average")</f>
        <v>Average</v>
      </c>
      <c r="Y136" s="2" t="str">
        <f>IF(ISNUMBER(SEARCH("Basic",Real_Sales[[#This Row],[Product_name]])),"Yes","No")</f>
        <v>No</v>
      </c>
      <c r="Z136" s="2" cm="1">
        <f t="array" ref="Z136">_xlfn.IFS(Real_Sales[[#This Row],[Price_retail]]&lt;=15,1, Real_Sales[[#This Row],[Price_retail]]&lt;=30,2, Real_Sales[[#This Row],[Price_retail]]&lt;=50,3,Real_Sales[[#This Row],[Price_retail]]&gt;50,4)</f>
        <v>1</v>
      </c>
    </row>
    <row r="137" spans="1:26" x14ac:dyDescent="0.35">
      <c r="A137" s="2" t="s">
        <v>2716</v>
      </c>
      <c r="B137" s="2" t="s">
        <v>2717</v>
      </c>
      <c r="C137" s="2" t="s">
        <v>423</v>
      </c>
      <c r="D137" s="2" t="s">
        <v>734</v>
      </c>
      <c r="E137" s="2" t="s">
        <v>4</v>
      </c>
      <c r="F137" s="2" t="s">
        <v>5</v>
      </c>
      <c r="G137" s="2" t="s">
        <v>6</v>
      </c>
      <c r="H137" s="2" t="s">
        <v>19</v>
      </c>
      <c r="I137" s="2" t="s">
        <v>3393</v>
      </c>
      <c r="J137" s="3">
        <v>8.99</v>
      </c>
      <c r="K137" s="3">
        <v>8.99</v>
      </c>
      <c r="L137" s="2" t="s">
        <v>3391</v>
      </c>
      <c r="M137" s="2" t="s">
        <v>9</v>
      </c>
      <c r="N137" s="3">
        <v>102</v>
      </c>
      <c r="O137" s="2" t="s">
        <v>104</v>
      </c>
      <c r="P137" s="2" t="s">
        <v>92</v>
      </c>
      <c r="Q137" s="3"/>
      <c r="R137" s="3"/>
      <c r="S137" s="2" t="s">
        <v>21</v>
      </c>
      <c r="T137" s="4">
        <v>44955</v>
      </c>
      <c r="U137" s="2" t="s">
        <v>2718</v>
      </c>
      <c r="V137" s="6">
        <f>(Real_Sales[[#This Row],[Price_retail]]-Real_Sales[[#This Row],[Price_current]])/Real_Sales[[#This Row],[Price_retail]]</f>
        <v>0</v>
      </c>
      <c r="W137" s="3" t="str" cm="1">
        <f t="array" ref="W13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7" s="2" t="str">
        <f>IF(Real_Sales[[#This Row],[Price_retail]]&gt;$AC$3,"Premium","Average")</f>
        <v>Average</v>
      </c>
      <c r="Y137" s="2" t="str">
        <f>IF(ISNUMBER(SEARCH("Basic",Real_Sales[[#This Row],[Product_name]])),"Yes","No")</f>
        <v>No</v>
      </c>
      <c r="Z137" s="2" cm="1">
        <f t="array" ref="Z137">_xlfn.IFS(Real_Sales[[#This Row],[Price_retail]]&lt;=15,1, Real_Sales[[#This Row],[Price_retail]]&lt;=30,2, Real_Sales[[#This Row],[Price_retail]]&lt;=50,3,Real_Sales[[#This Row],[Price_retail]]&gt;50,4)</f>
        <v>1</v>
      </c>
    </row>
    <row r="138" spans="1:26" x14ac:dyDescent="0.35">
      <c r="A138" s="2" t="s">
        <v>2758</v>
      </c>
      <c r="B138" s="2" t="s">
        <v>2759</v>
      </c>
      <c r="C138" s="2" t="s">
        <v>323</v>
      </c>
      <c r="D138" s="2" t="s">
        <v>327</v>
      </c>
      <c r="E138" s="2" t="s">
        <v>4</v>
      </c>
      <c r="F138" s="2" t="s">
        <v>5</v>
      </c>
      <c r="G138" s="2" t="s">
        <v>121</v>
      </c>
      <c r="H138" s="2" t="s">
        <v>110</v>
      </c>
      <c r="I138" s="2" t="s">
        <v>3390</v>
      </c>
      <c r="J138" s="3">
        <v>8.99</v>
      </c>
      <c r="K138" s="3">
        <v>8.99</v>
      </c>
      <c r="L138" s="2" t="s">
        <v>3391</v>
      </c>
      <c r="M138" s="2" t="s">
        <v>9</v>
      </c>
      <c r="N138" s="3">
        <v>767</v>
      </c>
      <c r="O138" s="2" t="s">
        <v>3392</v>
      </c>
      <c r="P138" s="2" t="s">
        <v>70</v>
      </c>
      <c r="Q138" s="3"/>
      <c r="R138" s="3"/>
      <c r="S138" s="2" t="s">
        <v>21</v>
      </c>
      <c r="T138" s="4">
        <v>44955</v>
      </c>
      <c r="U138" s="2" t="s">
        <v>2760</v>
      </c>
      <c r="V138" s="6">
        <f>(Real_Sales[[#This Row],[Price_retail]]-Real_Sales[[#This Row],[Price_current]])/Real_Sales[[#This Row],[Price_retail]]</f>
        <v>0</v>
      </c>
      <c r="W138" s="3" t="str" cm="1">
        <f t="array" ref="W13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8" s="2" t="str">
        <f>IF(Real_Sales[[#This Row],[Price_retail]]&gt;$AC$3,"Premium","Average")</f>
        <v>Average</v>
      </c>
      <c r="Y138" s="2" t="str">
        <f>IF(ISNUMBER(SEARCH("Basic",Real_Sales[[#This Row],[Product_name]])),"Yes","No")</f>
        <v>No</v>
      </c>
      <c r="Z138" s="2" cm="1">
        <f t="array" ref="Z138">_xlfn.IFS(Real_Sales[[#This Row],[Price_retail]]&lt;=15,1, Real_Sales[[#This Row],[Price_retail]]&lt;=30,2, Real_Sales[[#This Row],[Price_retail]]&lt;=50,3,Real_Sales[[#This Row],[Price_retail]]&gt;50,4)</f>
        <v>1</v>
      </c>
    </row>
    <row r="139" spans="1:26" x14ac:dyDescent="0.35">
      <c r="A139" s="2" t="s">
        <v>2773</v>
      </c>
      <c r="B139" s="2" t="s">
        <v>2774</v>
      </c>
      <c r="C139" s="2" t="s">
        <v>569</v>
      </c>
      <c r="D139" s="2" t="s">
        <v>857</v>
      </c>
      <c r="E139" s="2" t="s">
        <v>4</v>
      </c>
      <c r="F139" s="2" t="s">
        <v>5</v>
      </c>
      <c r="G139" s="2" t="s">
        <v>82</v>
      </c>
      <c r="H139" s="2" t="s">
        <v>51</v>
      </c>
      <c r="I139" s="2" t="s">
        <v>3395</v>
      </c>
      <c r="J139" s="3">
        <v>8.99</v>
      </c>
      <c r="K139" s="3">
        <v>8.99</v>
      </c>
      <c r="L139" s="2" t="s">
        <v>3391</v>
      </c>
      <c r="M139" s="2" t="s">
        <v>9</v>
      </c>
      <c r="N139" s="3">
        <v>799</v>
      </c>
      <c r="O139" s="2" t="s">
        <v>43</v>
      </c>
      <c r="P139" s="2" t="s">
        <v>177</v>
      </c>
      <c r="Q139" s="3"/>
      <c r="R139" s="3"/>
      <c r="S139" s="2" t="s">
        <v>21</v>
      </c>
      <c r="T139" s="4">
        <v>44955</v>
      </c>
      <c r="U139" s="2" t="s">
        <v>2775</v>
      </c>
      <c r="V139" s="6">
        <f>(Real_Sales[[#This Row],[Price_retail]]-Real_Sales[[#This Row],[Price_current]])/Real_Sales[[#This Row],[Price_retail]]</f>
        <v>0</v>
      </c>
      <c r="W139" s="3" t="str" cm="1">
        <f t="array" ref="W1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39" s="2" t="str">
        <f>IF(Real_Sales[[#This Row],[Price_retail]]&gt;$AC$3,"Premium","Average")</f>
        <v>Average</v>
      </c>
      <c r="Y139" s="2" t="str">
        <f>IF(ISNUMBER(SEARCH("Basic",Real_Sales[[#This Row],[Product_name]])),"Yes","No")</f>
        <v>No</v>
      </c>
      <c r="Z139" s="2" cm="1">
        <f t="array" ref="Z139">_xlfn.IFS(Real_Sales[[#This Row],[Price_retail]]&lt;=15,1, Real_Sales[[#This Row],[Price_retail]]&lt;=30,2, Real_Sales[[#This Row],[Price_retail]]&lt;=50,3,Real_Sales[[#This Row],[Price_retail]]&gt;50,4)</f>
        <v>1</v>
      </c>
    </row>
    <row r="140" spans="1:26" x14ac:dyDescent="0.35">
      <c r="A140" s="2" t="s">
        <v>2820</v>
      </c>
      <c r="B140" s="2" t="s">
        <v>2821</v>
      </c>
      <c r="C140" s="2" t="s">
        <v>25</v>
      </c>
      <c r="D140" s="2" t="s">
        <v>526</v>
      </c>
      <c r="E140" s="2" t="s">
        <v>4</v>
      </c>
      <c r="F140" s="2" t="s">
        <v>5</v>
      </c>
      <c r="G140" s="2" t="s">
        <v>82</v>
      </c>
      <c r="H140" s="2"/>
      <c r="I140" s="2" t="s">
        <v>3393</v>
      </c>
      <c r="J140" s="3">
        <v>8.99</v>
      </c>
      <c r="K140" s="3">
        <v>8.99</v>
      </c>
      <c r="L140" s="2" t="s">
        <v>3391</v>
      </c>
      <c r="M140" s="2" t="s">
        <v>9</v>
      </c>
      <c r="N140" s="3">
        <v>382</v>
      </c>
      <c r="O140" s="2" t="s">
        <v>191</v>
      </c>
      <c r="P140" s="2" t="s">
        <v>238</v>
      </c>
      <c r="Q140" s="3"/>
      <c r="R140" s="3"/>
      <c r="S140" s="2" t="s">
        <v>12</v>
      </c>
      <c r="T140" s="4">
        <v>44955</v>
      </c>
      <c r="U140" s="2" t="s">
        <v>2822</v>
      </c>
      <c r="V140" s="6">
        <f>(Real_Sales[[#This Row],[Price_retail]]-Real_Sales[[#This Row],[Price_current]])/Real_Sales[[#This Row],[Price_retail]]</f>
        <v>0</v>
      </c>
      <c r="W140" s="3" t="str" cm="1">
        <f t="array" ref="W14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0" s="2" t="str">
        <f>IF(Real_Sales[[#This Row],[Price_retail]]&gt;$AC$3,"Premium","Average")</f>
        <v>Average</v>
      </c>
      <c r="Y140" s="2" t="str">
        <f>IF(ISNUMBER(SEARCH("Basic",Real_Sales[[#This Row],[Product_name]])),"Yes","No")</f>
        <v>No</v>
      </c>
      <c r="Z140" s="2" cm="1">
        <f t="array" ref="Z140">_xlfn.IFS(Real_Sales[[#This Row],[Price_retail]]&lt;=15,1, Real_Sales[[#This Row],[Price_retail]]&lt;=30,2, Real_Sales[[#This Row],[Price_retail]]&lt;=50,3,Real_Sales[[#This Row],[Price_retail]]&gt;50,4)</f>
        <v>1</v>
      </c>
    </row>
    <row r="141" spans="1:26" x14ac:dyDescent="0.35">
      <c r="A141" s="2" t="s">
        <v>2844</v>
      </c>
      <c r="B141" s="2" t="s">
        <v>2845</v>
      </c>
      <c r="C141" s="2" t="s">
        <v>3394</v>
      </c>
      <c r="D141" s="2" t="s">
        <v>149</v>
      </c>
      <c r="E141" s="2" t="s">
        <v>4</v>
      </c>
      <c r="F141" s="2" t="s">
        <v>5</v>
      </c>
      <c r="G141" s="2" t="s">
        <v>121</v>
      </c>
      <c r="H141" s="2" t="s">
        <v>28</v>
      </c>
      <c r="I141" s="2" t="s">
        <v>3390</v>
      </c>
      <c r="J141" s="3">
        <v>8.99</v>
      </c>
      <c r="K141" s="3">
        <v>8.99</v>
      </c>
      <c r="L141" s="2" t="s">
        <v>3391</v>
      </c>
      <c r="M141" s="2" t="s">
        <v>9</v>
      </c>
      <c r="N141" s="3">
        <v>306</v>
      </c>
      <c r="O141" s="2" t="s">
        <v>104</v>
      </c>
      <c r="P141" s="2" t="s">
        <v>53</v>
      </c>
      <c r="Q141" s="3"/>
      <c r="R141" s="3"/>
      <c r="S141" s="2" t="s">
        <v>12</v>
      </c>
      <c r="T141" s="4">
        <v>44955</v>
      </c>
      <c r="U141" s="2" t="s">
        <v>2846</v>
      </c>
      <c r="V141" s="6">
        <f>(Real_Sales[[#This Row],[Price_retail]]-Real_Sales[[#This Row],[Price_current]])/Real_Sales[[#This Row],[Price_retail]]</f>
        <v>0</v>
      </c>
      <c r="W141" s="3" t="str" cm="1">
        <f t="array" ref="W14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1" s="2" t="str">
        <f>IF(Real_Sales[[#This Row],[Price_retail]]&gt;$AC$3,"Premium","Average")</f>
        <v>Average</v>
      </c>
      <c r="Y141" s="2" t="str">
        <f>IF(ISNUMBER(SEARCH("Basic",Real_Sales[[#This Row],[Product_name]])),"Yes","No")</f>
        <v>Yes</v>
      </c>
      <c r="Z141" s="2" cm="1">
        <f t="array" ref="Z141">_xlfn.IFS(Real_Sales[[#This Row],[Price_retail]]&lt;=15,1, Real_Sales[[#This Row],[Price_retail]]&lt;=30,2, Real_Sales[[#This Row],[Price_retail]]&lt;=50,3,Real_Sales[[#This Row],[Price_retail]]&gt;50,4)</f>
        <v>1</v>
      </c>
    </row>
    <row r="142" spans="1:26" x14ac:dyDescent="0.35">
      <c r="A142" s="2" t="s">
        <v>2913</v>
      </c>
      <c r="B142" s="2" t="s">
        <v>2914</v>
      </c>
      <c r="C142" s="2" t="s">
        <v>2915</v>
      </c>
      <c r="D142" s="2" t="s">
        <v>1247</v>
      </c>
      <c r="E142" s="2" t="s">
        <v>4</v>
      </c>
      <c r="F142" s="2" t="s">
        <v>5</v>
      </c>
      <c r="G142" s="2" t="s">
        <v>82</v>
      </c>
      <c r="H142" s="2" t="s">
        <v>237</v>
      </c>
      <c r="I142" s="2" t="s">
        <v>3390</v>
      </c>
      <c r="J142" s="3">
        <v>8.99</v>
      </c>
      <c r="K142" s="3">
        <v>8.99</v>
      </c>
      <c r="L142" s="2" t="s">
        <v>3391</v>
      </c>
      <c r="M142" s="2" t="s">
        <v>9</v>
      </c>
      <c r="N142" s="3">
        <v>566</v>
      </c>
      <c r="O142" s="2" t="s">
        <v>140</v>
      </c>
      <c r="P142" s="2" t="s">
        <v>163</v>
      </c>
      <c r="Q142" s="3"/>
      <c r="R142" s="3"/>
      <c r="S142" s="2" t="s">
        <v>21</v>
      </c>
      <c r="T142" s="4">
        <v>44955</v>
      </c>
      <c r="U142" s="2" t="s">
        <v>2916</v>
      </c>
      <c r="V142" s="6">
        <f>(Real_Sales[[#This Row],[Price_retail]]-Real_Sales[[#This Row],[Price_current]])/Real_Sales[[#This Row],[Price_retail]]</f>
        <v>0</v>
      </c>
      <c r="W142" s="3" t="str" cm="1">
        <f t="array" ref="W14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2" s="2" t="str">
        <f>IF(Real_Sales[[#This Row],[Price_retail]]&gt;$AC$3,"Premium","Average")</f>
        <v>Average</v>
      </c>
      <c r="Y142" s="2" t="str">
        <f>IF(ISNUMBER(SEARCH("Basic",Real_Sales[[#This Row],[Product_name]])),"Yes","No")</f>
        <v>No</v>
      </c>
      <c r="Z142" s="2" cm="1">
        <f t="array" ref="Z142">_xlfn.IFS(Real_Sales[[#This Row],[Price_retail]]&lt;=15,1, Real_Sales[[#This Row],[Price_retail]]&lt;=30,2, Real_Sales[[#This Row],[Price_retail]]&lt;=50,3,Real_Sales[[#This Row],[Price_retail]]&gt;50,4)</f>
        <v>1</v>
      </c>
    </row>
    <row r="143" spans="1:26" x14ac:dyDescent="0.35">
      <c r="A143" s="2" t="s">
        <v>2917</v>
      </c>
      <c r="B143" s="2" t="s">
        <v>2918</v>
      </c>
      <c r="C143" s="2" t="s">
        <v>2781</v>
      </c>
      <c r="D143" s="2" t="s">
        <v>842</v>
      </c>
      <c r="E143" s="2" t="s">
        <v>4</v>
      </c>
      <c r="F143" s="2" t="s">
        <v>5</v>
      </c>
      <c r="G143" s="2" t="s">
        <v>82</v>
      </c>
      <c r="H143" s="2" t="s">
        <v>7</v>
      </c>
      <c r="I143" s="2" t="s">
        <v>3393</v>
      </c>
      <c r="J143" s="3">
        <v>8.99</v>
      </c>
      <c r="K143" s="3">
        <v>8.99</v>
      </c>
      <c r="L143" s="2" t="s">
        <v>3391</v>
      </c>
      <c r="M143" s="2" t="s">
        <v>9</v>
      </c>
      <c r="N143" s="3">
        <v>906</v>
      </c>
      <c r="O143" s="2" t="s">
        <v>359</v>
      </c>
      <c r="P143" s="2" t="s">
        <v>419</v>
      </c>
      <c r="Q143" s="3"/>
      <c r="R143" s="3"/>
      <c r="S143" s="2" t="s">
        <v>21</v>
      </c>
      <c r="T143" s="4">
        <v>44955</v>
      </c>
      <c r="U143" s="2" t="s">
        <v>2919</v>
      </c>
      <c r="V143" s="6">
        <f>(Real_Sales[[#This Row],[Price_retail]]-Real_Sales[[#This Row],[Price_current]])/Real_Sales[[#This Row],[Price_retail]]</f>
        <v>0</v>
      </c>
      <c r="W143" s="3" t="str" cm="1">
        <f t="array" ref="W14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3" s="2" t="str">
        <f>IF(Real_Sales[[#This Row],[Price_retail]]&gt;$AC$3,"Premium","Average")</f>
        <v>Average</v>
      </c>
      <c r="Y143" s="2" t="str">
        <f>IF(ISNUMBER(SEARCH("Basic",Real_Sales[[#This Row],[Product_name]])),"Yes","No")</f>
        <v>No</v>
      </c>
      <c r="Z143" s="2" cm="1">
        <f t="array" ref="Z143">_xlfn.IFS(Real_Sales[[#This Row],[Price_retail]]&lt;=15,1, Real_Sales[[#This Row],[Price_retail]]&lt;=30,2, Real_Sales[[#This Row],[Price_retail]]&lt;=50,3,Real_Sales[[#This Row],[Price_retail]]&gt;50,4)</f>
        <v>1</v>
      </c>
    </row>
    <row r="144" spans="1:26" x14ac:dyDescent="0.35">
      <c r="A144" s="2" t="s">
        <v>2932</v>
      </c>
      <c r="B144" s="2" t="s">
        <v>2933</v>
      </c>
      <c r="C144" s="2" t="s">
        <v>585</v>
      </c>
      <c r="D144" s="2" t="s">
        <v>115</v>
      </c>
      <c r="E144" s="2" t="s">
        <v>4</v>
      </c>
      <c r="F144" s="2" t="s">
        <v>17</v>
      </c>
      <c r="G144" s="2" t="s">
        <v>18</v>
      </c>
      <c r="H144" s="2" t="s">
        <v>90</v>
      </c>
      <c r="I144" s="2" t="s">
        <v>3393</v>
      </c>
      <c r="J144" s="3">
        <v>8.99</v>
      </c>
      <c r="K144" s="3">
        <v>8.99</v>
      </c>
      <c r="L144" s="2" t="s">
        <v>3391</v>
      </c>
      <c r="M144" s="2" t="s">
        <v>9</v>
      </c>
      <c r="N144" s="3">
        <v>830</v>
      </c>
      <c r="O144" s="2" t="s">
        <v>91</v>
      </c>
      <c r="P144" s="2" t="s">
        <v>92</v>
      </c>
      <c r="Q144" s="3"/>
      <c r="R144" s="3"/>
      <c r="S144" s="2" t="s">
        <v>21</v>
      </c>
      <c r="T144" s="4">
        <v>44955</v>
      </c>
      <c r="U144" s="2" t="s">
        <v>2934</v>
      </c>
      <c r="V144" s="6">
        <f>(Real_Sales[[#This Row],[Price_retail]]-Real_Sales[[#This Row],[Price_current]])/Real_Sales[[#This Row],[Price_retail]]</f>
        <v>0</v>
      </c>
      <c r="W144" s="3" t="str" cm="1">
        <f t="array" ref="W1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4" s="2" t="str">
        <f>IF(Real_Sales[[#This Row],[Price_retail]]&gt;$AC$3,"Premium","Average")</f>
        <v>Average</v>
      </c>
      <c r="Y144" s="2" t="str">
        <f>IF(ISNUMBER(SEARCH("Basic",Real_Sales[[#This Row],[Product_name]])),"Yes","No")</f>
        <v>No</v>
      </c>
      <c r="Z144" s="2" cm="1">
        <f t="array" ref="Z144">_xlfn.IFS(Real_Sales[[#This Row],[Price_retail]]&lt;=15,1, Real_Sales[[#This Row],[Price_retail]]&lt;=30,2, Real_Sales[[#This Row],[Price_retail]]&lt;=50,3,Real_Sales[[#This Row],[Price_retail]]&gt;50,4)</f>
        <v>1</v>
      </c>
    </row>
    <row r="145" spans="1:26" x14ac:dyDescent="0.35">
      <c r="A145" s="2" t="s">
        <v>2962</v>
      </c>
      <c r="B145" s="2" t="s">
        <v>2963</v>
      </c>
      <c r="C145" s="2" t="s">
        <v>3394</v>
      </c>
      <c r="D145" s="2" t="s">
        <v>1176</v>
      </c>
      <c r="E145" s="2" t="s">
        <v>4</v>
      </c>
      <c r="F145" s="2" t="s">
        <v>17</v>
      </c>
      <c r="G145" s="2" t="s">
        <v>67</v>
      </c>
      <c r="H145" s="2" t="s">
        <v>83</v>
      </c>
      <c r="I145" s="2" t="s">
        <v>3393</v>
      </c>
      <c r="J145" s="3">
        <v>8.99</v>
      </c>
      <c r="K145" s="3">
        <v>8.99</v>
      </c>
      <c r="L145" s="2" t="s">
        <v>3391</v>
      </c>
      <c r="M145" s="2" t="s">
        <v>9</v>
      </c>
      <c r="N145" s="3">
        <v>290</v>
      </c>
      <c r="O145" s="2" t="s">
        <v>75</v>
      </c>
      <c r="P145" s="2" t="s">
        <v>128</v>
      </c>
      <c r="Q145" s="3"/>
      <c r="R145" s="3"/>
      <c r="S145" s="2" t="s">
        <v>21</v>
      </c>
      <c r="T145" s="4">
        <v>44955</v>
      </c>
      <c r="U145" s="2" t="s">
        <v>2964</v>
      </c>
      <c r="V145" s="6">
        <f>(Real_Sales[[#This Row],[Price_retail]]-Real_Sales[[#This Row],[Price_current]])/Real_Sales[[#This Row],[Price_retail]]</f>
        <v>0</v>
      </c>
      <c r="W145" s="3" t="str" cm="1">
        <f t="array" ref="W14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5" s="2" t="str">
        <f>IF(Real_Sales[[#This Row],[Price_retail]]&gt;$AC$3,"Premium","Average")</f>
        <v>Average</v>
      </c>
      <c r="Y145" s="2" t="str">
        <f>IF(ISNUMBER(SEARCH("Basic",Real_Sales[[#This Row],[Product_name]])),"Yes","No")</f>
        <v>No</v>
      </c>
      <c r="Z145" s="2" cm="1">
        <f t="array" ref="Z145">_xlfn.IFS(Real_Sales[[#This Row],[Price_retail]]&lt;=15,1, Real_Sales[[#This Row],[Price_retail]]&lt;=30,2, Real_Sales[[#This Row],[Price_retail]]&lt;=50,3,Real_Sales[[#This Row],[Price_retail]]&gt;50,4)</f>
        <v>1</v>
      </c>
    </row>
    <row r="146" spans="1:26" x14ac:dyDescent="0.35">
      <c r="A146" s="2" t="s">
        <v>3011</v>
      </c>
      <c r="B146" s="2" t="s">
        <v>3012</v>
      </c>
      <c r="C146" s="2" t="s">
        <v>1594</v>
      </c>
      <c r="D146" s="2" t="s">
        <v>704</v>
      </c>
      <c r="E146" s="2" t="s">
        <v>4</v>
      </c>
      <c r="F146" s="2" t="s">
        <v>17</v>
      </c>
      <c r="G146" s="2" t="s">
        <v>50</v>
      </c>
      <c r="H146" s="2" t="s">
        <v>51</v>
      </c>
      <c r="I146" s="2" t="s">
        <v>3390</v>
      </c>
      <c r="J146" s="3">
        <v>8.99</v>
      </c>
      <c r="K146" s="3">
        <v>8.99</v>
      </c>
      <c r="L146" s="2" t="s">
        <v>3391</v>
      </c>
      <c r="M146" s="2" t="s">
        <v>9</v>
      </c>
      <c r="N146" s="3">
        <v>505</v>
      </c>
      <c r="O146" s="2" t="s">
        <v>91</v>
      </c>
      <c r="P146" s="2" t="s">
        <v>629</v>
      </c>
      <c r="Q146" s="3"/>
      <c r="R146" s="3"/>
      <c r="S146" s="2" t="s">
        <v>21</v>
      </c>
      <c r="T146" s="4">
        <v>44955</v>
      </c>
      <c r="U146" s="2" t="s">
        <v>3013</v>
      </c>
      <c r="V146" s="6">
        <f>(Real_Sales[[#This Row],[Price_retail]]-Real_Sales[[#This Row],[Price_current]])/Real_Sales[[#This Row],[Price_retail]]</f>
        <v>0</v>
      </c>
      <c r="W146" s="3" t="str" cm="1">
        <f t="array" ref="W1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6" s="2" t="str">
        <f>IF(Real_Sales[[#This Row],[Price_retail]]&gt;$AC$3,"Premium","Average")</f>
        <v>Average</v>
      </c>
      <c r="Y146" s="2" t="str">
        <f>IF(ISNUMBER(SEARCH("Basic",Real_Sales[[#This Row],[Product_name]])),"Yes","No")</f>
        <v>No</v>
      </c>
      <c r="Z146" s="2" cm="1">
        <f t="array" ref="Z146">_xlfn.IFS(Real_Sales[[#This Row],[Price_retail]]&lt;=15,1, Real_Sales[[#This Row],[Price_retail]]&lt;=30,2, Real_Sales[[#This Row],[Price_retail]]&lt;=50,3,Real_Sales[[#This Row],[Price_retail]]&gt;50,4)</f>
        <v>1</v>
      </c>
    </row>
    <row r="147" spans="1:26" x14ac:dyDescent="0.35">
      <c r="A147" s="2" t="s">
        <v>3017</v>
      </c>
      <c r="B147" s="2" t="s">
        <v>3018</v>
      </c>
      <c r="C147" s="2" t="s">
        <v>750</v>
      </c>
      <c r="D147" s="2" t="s">
        <v>1015</v>
      </c>
      <c r="E147" s="2" t="s">
        <v>4</v>
      </c>
      <c r="F147" s="2" t="s">
        <v>5</v>
      </c>
      <c r="G147" s="2" t="s">
        <v>82</v>
      </c>
      <c r="H147" s="2" t="s">
        <v>7</v>
      </c>
      <c r="I147" s="2" t="s">
        <v>3393</v>
      </c>
      <c r="J147" s="3">
        <v>8.99</v>
      </c>
      <c r="K147" s="3">
        <v>8.99</v>
      </c>
      <c r="L147" s="2" t="s">
        <v>3391</v>
      </c>
      <c r="M147" s="2" t="s">
        <v>9</v>
      </c>
      <c r="N147" s="3">
        <v>558</v>
      </c>
      <c r="O147" s="2" t="s">
        <v>29</v>
      </c>
      <c r="P147" s="2" t="s">
        <v>92</v>
      </c>
      <c r="Q147" s="3"/>
      <c r="R147" s="3"/>
      <c r="S147" s="2" t="s">
        <v>21</v>
      </c>
      <c r="T147" s="4">
        <v>44955</v>
      </c>
      <c r="U147" s="2" t="s">
        <v>3019</v>
      </c>
      <c r="V147" s="6">
        <f>(Real_Sales[[#This Row],[Price_retail]]-Real_Sales[[#This Row],[Price_current]])/Real_Sales[[#This Row],[Price_retail]]</f>
        <v>0</v>
      </c>
      <c r="W147" s="3" t="str" cm="1">
        <f t="array" ref="W14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7" s="2" t="str">
        <f>IF(Real_Sales[[#This Row],[Price_retail]]&gt;$AC$3,"Premium","Average")</f>
        <v>Average</v>
      </c>
      <c r="Y147" s="2" t="str">
        <f>IF(ISNUMBER(SEARCH("Basic",Real_Sales[[#This Row],[Product_name]])),"Yes","No")</f>
        <v>Yes</v>
      </c>
      <c r="Z147" s="2" cm="1">
        <f t="array" ref="Z147">_xlfn.IFS(Real_Sales[[#This Row],[Price_retail]]&lt;=15,1, Real_Sales[[#This Row],[Price_retail]]&lt;=30,2, Real_Sales[[#This Row],[Price_retail]]&lt;=50,3,Real_Sales[[#This Row],[Price_retail]]&gt;50,4)</f>
        <v>1</v>
      </c>
    </row>
    <row r="148" spans="1:26" x14ac:dyDescent="0.35">
      <c r="A148" s="2" t="s">
        <v>3086</v>
      </c>
      <c r="B148" s="2" t="s">
        <v>3087</v>
      </c>
      <c r="C148" s="2" t="s">
        <v>3394</v>
      </c>
      <c r="D148" s="2" t="s">
        <v>1147</v>
      </c>
      <c r="E148" s="2" t="s">
        <v>4</v>
      </c>
      <c r="F148" s="2" t="s">
        <v>5</v>
      </c>
      <c r="G148" s="2" t="s">
        <v>82</v>
      </c>
      <c r="H148" s="2" t="s">
        <v>51</v>
      </c>
      <c r="I148" s="2" t="s">
        <v>3395</v>
      </c>
      <c r="J148" s="3">
        <v>8.99</v>
      </c>
      <c r="K148" s="3">
        <v>8.99</v>
      </c>
      <c r="L148" s="2" t="s">
        <v>3391</v>
      </c>
      <c r="M148" s="2" t="s">
        <v>9</v>
      </c>
      <c r="N148" s="3">
        <v>700</v>
      </c>
      <c r="O148" s="2" t="s">
        <v>98</v>
      </c>
      <c r="P148" s="2" t="s">
        <v>238</v>
      </c>
      <c r="Q148" s="3"/>
      <c r="R148" s="3"/>
      <c r="S148" s="2" t="s">
        <v>21</v>
      </c>
      <c r="T148" s="4">
        <v>44955</v>
      </c>
      <c r="U148" s="2" t="s">
        <v>3088</v>
      </c>
      <c r="V148" s="6">
        <f>(Real_Sales[[#This Row],[Price_retail]]-Real_Sales[[#This Row],[Price_current]])/Real_Sales[[#This Row],[Price_retail]]</f>
        <v>0</v>
      </c>
      <c r="W148" s="3" t="str" cm="1">
        <f t="array" ref="W14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8" s="2" t="str">
        <f>IF(Real_Sales[[#This Row],[Price_retail]]&gt;$AC$3,"Premium","Average")</f>
        <v>Average</v>
      </c>
      <c r="Y148" s="2" t="str">
        <f>IF(ISNUMBER(SEARCH("Basic",Real_Sales[[#This Row],[Product_name]])),"Yes","No")</f>
        <v>Yes</v>
      </c>
      <c r="Z148" s="2" cm="1">
        <f t="array" ref="Z148">_xlfn.IFS(Real_Sales[[#This Row],[Price_retail]]&lt;=15,1, Real_Sales[[#This Row],[Price_retail]]&lt;=30,2, Real_Sales[[#This Row],[Price_retail]]&lt;=50,3,Real_Sales[[#This Row],[Price_retail]]&gt;50,4)</f>
        <v>1</v>
      </c>
    </row>
    <row r="149" spans="1:26" x14ac:dyDescent="0.35">
      <c r="A149" s="2" t="s">
        <v>3128</v>
      </c>
      <c r="B149" s="2" t="s">
        <v>3129</v>
      </c>
      <c r="C149" s="2" t="s">
        <v>616</v>
      </c>
      <c r="D149" s="2" t="s">
        <v>1184</v>
      </c>
      <c r="E149" s="2" t="s">
        <v>4</v>
      </c>
      <c r="F149" s="2" t="s">
        <v>17</v>
      </c>
      <c r="G149" s="2" t="s">
        <v>27</v>
      </c>
      <c r="H149" s="2" t="s">
        <v>90</v>
      </c>
      <c r="I149" s="2" t="s">
        <v>3390</v>
      </c>
      <c r="J149" s="3">
        <v>8.99</v>
      </c>
      <c r="K149" s="3">
        <v>8.99</v>
      </c>
      <c r="L149" s="2" t="s">
        <v>3391</v>
      </c>
      <c r="M149" s="2" t="s">
        <v>9</v>
      </c>
      <c r="N149" s="3">
        <v>749</v>
      </c>
      <c r="O149" s="2" t="s">
        <v>347</v>
      </c>
      <c r="P149" s="2" t="s">
        <v>128</v>
      </c>
      <c r="Q149" s="3"/>
      <c r="R149" s="3"/>
      <c r="S149" s="2" t="s">
        <v>21</v>
      </c>
      <c r="T149" s="4">
        <v>44955</v>
      </c>
      <c r="U149" s="2" t="s">
        <v>3130</v>
      </c>
      <c r="V149" s="6">
        <f>(Real_Sales[[#This Row],[Price_retail]]-Real_Sales[[#This Row],[Price_current]])/Real_Sales[[#This Row],[Price_retail]]</f>
        <v>0</v>
      </c>
      <c r="W149" s="3" t="str" cm="1">
        <f t="array" ref="W14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49" s="2" t="str">
        <f>IF(Real_Sales[[#This Row],[Price_retail]]&gt;$AC$3,"Premium","Average")</f>
        <v>Average</v>
      </c>
      <c r="Y149" s="2" t="str">
        <f>IF(ISNUMBER(SEARCH("Basic",Real_Sales[[#This Row],[Product_name]])),"Yes","No")</f>
        <v>No</v>
      </c>
      <c r="Z149" s="2" cm="1">
        <f t="array" ref="Z149">_xlfn.IFS(Real_Sales[[#This Row],[Price_retail]]&lt;=15,1, Real_Sales[[#This Row],[Price_retail]]&lt;=30,2, Real_Sales[[#This Row],[Price_retail]]&lt;=50,3,Real_Sales[[#This Row],[Price_retail]]&gt;50,4)</f>
        <v>1</v>
      </c>
    </row>
    <row r="150" spans="1:26" x14ac:dyDescent="0.35">
      <c r="A150" s="2" t="s">
        <v>3131</v>
      </c>
      <c r="B150" s="2" t="s">
        <v>3132</v>
      </c>
      <c r="C150" s="2" t="s">
        <v>242</v>
      </c>
      <c r="D150" s="2" t="s">
        <v>342</v>
      </c>
      <c r="E150" s="2" t="s">
        <v>4</v>
      </c>
      <c r="F150" s="2" t="s">
        <v>17</v>
      </c>
      <c r="G150" s="2" t="s">
        <v>27</v>
      </c>
      <c r="H150" s="2" t="s">
        <v>237</v>
      </c>
      <c r="I150" s="2" t="s">
        <v>3395</v>
      </c>
      <c r="J150" s="3">
        <v>8.99</v>
      </c>
      <c r="K150" s="3">
        <v>8.99</v>
      </c>
      <c r="L150" s="2" t="s">
        <v>3391</v>
      </c>
      <c r="M150" s="2" t="s">
        <v>9</v>
      </c>
      <c r="N150" s="3">
        <v>354</v>
      </c>
      <c r="O150" s="2" t="s">
        <v>191</v>
      </c>
      <c r="P150" s="2" t="s">
        <v>92</v>
      </c>
      <c r="Q150" s="3"/>
      <c r="R150" s="3"/>
      <c r="S150" s="2" t="s">
        <v>12</v>
      </c>
      <c r="T150" s="4">
        <v>44955</v>
      </c>
      <c r="U150" s="2" t="s">
        <v>3133</v>
      </c>
      <c r="V150" s="6">
        <f>(Real_Sales[[#This Row],[Price_retail]]-Real_Sales[[#This Row],[Price_current]])/Real_Sales[[#This Row],[Price_retail]]</f>
        <v>0</v>
      </c>
      <c r="W150" s="3" t="str" cm="1">
        <f t="array" ref="W15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0" s="2" t="str">
        <f>IF(Real_Sales[[#This Row],[Price_retail]]&gt;$AC$3,"Premium","Average")</f>
        <v>Average</v>
      </c>
      <c r="Y150" s="2" t="str">
        <f>IF(ISNUMBER(SEARCH("Basic",Real_Sales[[#This Row],[Product_name]])),"Yes","No")</f>
        <v>No</v>
      </c>
      <c r="Z150" s="2" cm="1">
        <f t="array" ref="Z150">_xlfn.IFS(Real_Sales[[#This Row],[Price_retail]]&lt;=15,1, Real_Sales[[#This Row],[Price_retail]]&lt;=30,2, Real_Sales[[#This Row],[Price_retail]]&lt;=50,3,Real_Sales[[#This Row],[Price_retail]]&gt;50,4)</f>
        <v>1</v>
      </c>
    </row>
    <row r="151" spans="1:26" x14ac:dyDescent="0.35">
      <c r="A151" s="2" t="s">
        <v>3137</v>
      </c>
      <c r="B151" s="2" t="s">
        <v>3138</v>
      </c>
      <c r="C151" s="2" t="s">
        <v>1973</v>
      </c>
      <c r="D151" s="2" t="s">
        <v>678</v>
      </c>
      <c r="E151" s="2" t="s">
        <v>4</v>
      </c>
      <c r="F151" s="2" t="s">
        <v>17</v>
      </c>
      <c r="G151" s="2" t="s">
        <v>27</v>
      </c>
      <c r="H151" s="2" t="s">
        <v>134</v>
      </c>
      <c r="I151" s="2" t="s">
        <v>3390</v>
      </c>
      <c r="J151" s="3">
        <v>8.99</v>
      </c>
      <c r="K151" s="3">
        <v>8.99</v>
      </c>
      <c r="L151" s="2" t="s">
        <v>3391</v>
      </c>
      <c r="M151" s="2" t="s">
        <v>9</v>
      </c>
      <c r="N151" s="3">
        <v>401</v>
      </c>
      <c r="O151" s="2" t="s">
        <v>347</v>
      </c>
      <c r="P151" s="2" t="s">
        <v>221</v>
      </c>
      <c r="Q151" s="3"/>
      <c r="R151" s="3"/>
      <c r="S151" s="2" t="s">
        <v>21</v>
      </c>
      <c r="T151" s="4">
        <v>44955</v>
      </c>
      <c r="U151" s="2" t="s">
        <v>3139</v>
      </c>
      <c r="V151" s="6">
        <f>(Real_Sales[[#This Row],[Price_retail]]-Real_Sales[[#This Row],[Price_current]])/Real_Sales[[#This Row],[Price_retail]]</f>
        <v>0</v>
      </c>
      <c r="W151" s="3" t="str" cm="1">
        <f t="array" ref="W15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1" s="2" t="str">
        <f>IF(Real_Sales[[#This Row],[Price_retail]]&gt;$AC$3,"Premium","Average")</f>
        <v>Average</v>
      </c>
      <c r="Y151" s="2" t="str">
        <f>IF(ISNUMBER(SEARCH("Basic",Real_Sales[[#This Row],[Product_name]])),"Yes","No")</f>
        <v>No</v>
      </c>
      <c r="Z151" s="2" cm="1">
        <f t="array" ref="Z151">_xlfn.IFS(Real_Sales[[#This Row],[Price_retail]]&lt;=15,1, Real_Sales[[#This Row],[Price_retail]]&lt;=30,2, Real_Sales[[#This Row],[Price_retail]]&lt;=50,3,Real_Sales[[#This Row],[Price_retail]]&gt;50,4)</f>
        <v>1</v>
      </c>
    </row>
    <row r="152" spans="1:26" x14ac:dyDescent="0.35">
      <c r="A152" s="2" t="s">
        <v>3179</v>
      </c>
      <c r="B152" s="2" t="s">
        <v>3180</v>
      </c>
      <c r="C152" s="2" t="s">
        <v>126</v>
      </c>
      <c r="D152" s="2" t="s">
        <v>417</v>
      </c>
      <c r="E152" s="2" t="s">
        <v>4</v>
      </c>
      <c r="F152" s="2" t="s">
        <v>17</v>
      </c>
      <c r="G152" s="2" t="s">
        <v>67</v>
      </c>
      <c r="H152" s="2" t="s">
        <v>418</v>
      </c>
      <c r="I152" s="2" t="s">
        <v>3395</v>
      </c>
      <c r="J152" s="3">
        <v>8.99</v>
      </c>
      <c r="K152" s="3">
        <v>8.99</v>
      </c>
      <c r="L152" s="2" t="s">
        <v>3391</v>
      </c>
      <c r="M152" s="2" t="s">
        <v>9</v>
      </c>
      <c r="N152" s="3">
        <v>58</v>
      </c>
      <c r="O152" s="2" t="s">
        <v>3392</v>
      </c>
      <c r="P152" s="2" t="s">
        <v>163</v>
      </c>
      <c r="Q152" s="3"/>
      <c r="R152" s="3"/>
      <c r="S152" s="2" t="s">
        <v>21</v>
      </c>
      <c r="T152" s="4">
        <v>44955</v>
      </c>
      <c r="U152" s="2" t="s">
        <v>3181</v>
      </c>
      <c r="V152" s="6">
        <f>(Real_Sales[[#This Row],[Price_retail]]-Real_Sales[[#This Row],[Price_current]])/Real_Sales[[#This Row],[Price_retail]]</f>
        <v>0</v>
      </c>
      <c r="W152" s="3" t="str" cm="1">
        <f t="array" ref="W1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2" s="2" t="str">
        <f>IF(Real_Sales[[#This Row],[Price_retail]]&gt;$AC$3,"Premium","Average")</f>
        <v>Average</v>
      </c>
      <c r="Y152" s="2" t="str">
        <f>IF(ISNUMBER(SEARCH("Basic",Real_Sales[[#This Row],[Product_name]])),"Yes","No")</f>
        <v>Yes</v>
      </c>
      <c r="Z152" s="2" cm="1">
        <f t="array" ref="Z152">_xlfn.IFS(Real_Sales[[#This Row],[Price_retail]]&lt;=15,1, Real_Sales[[#This Row],[Price_retail]]&lt;=30,2, Real_Sales[[#This Row],[Price_retail]]&lt;=50,3,Real_Sales[[#This Row],[Price_retail]]&gt;50,4)</f>
        <v>1</v>
      </c>
    </row>
    <row r="153" spans="1:26" x14ac:dyDescent="0.35">
      <c r="A153" s="2" t="s">
        <v>3206</v>
      </c>
      <c r="B153" s="2" t="s">
        <v>3207</v>
      </c>
      <c r="C153" s="2" t="s">
        <v>750</v>
      </c>
      <c r="D153" s="2" t="s">
        <v>1139</v>
      </c>
      <c r="E153" s="2" t="s">
        <v>4</v>
      </c>
      <c r="F153" s="2" t="s">
        <v>17</v>
      </c>
      <c r="G153" s="2" t="s">
        <v>67</v>
      </c>
      <c r="H153" s="2" t="s">
        <v>418</v>
      </c>
      <c r="I153" s="2" t="s">
        <v>3390</v>
      </c>
      <c r="J153" s="3">
        <v>8.99</v>
      </c>
      <c r="K153" s="3">
        <v>8.99</v>
      </c>
      <c r="L153" s="2" t="s">
        <v>3391</v>
      </c>
      <c r="M153" s="2" t="s">
        <v>9</v>
      </c>
      <c r="N153" s="3">
        <v>685</v>
      </c>
      <c r="O153" s="2" t="s">
        <v>302</v>
      </c>
      <c r="P153" s="2" t="s">
        <v>3392</v>
      </c>
      <c r="Q153" s="3"/>
      <c r="R153" s="3"/>
      <c r="S153" s="2" t="s">
        <v>21</v>
      </c>
      <c r="T153" s="4">
        <v>44955</v>
      </c>
      <c r="U153" s="2" t="s">
        <v>3208</v>
      </c>
      <c r="V153" s="6">
        <f>(Real_Sales[[#This Row],[Price_retail]]-Real_Sales[[#This Row],[Price_current]])/Real_Sales[[#This Row],[Price_retail]]</f>
        <v>0</v>
      </c>
      <c r="W153" s="3" t="str" cm="1">
        <f t="array" ref="W15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3" s="2" t="str">
        <f>IF(Real_Sales[[#This Row],[Price_retail]]&gt;$AC$3,"Premium","Average")</f>
        <v>Average</v>
      </c>
      <c r="Y153" s="2" t="str">
        <f>IF(ISNUMBER(SEARCH("Basic",Real_Sales[[#This Row],[Product_name]])),"Yes","No")</f>
        <v>No</v>
      </c>
      <c r="Z153" s="2" cm="1">
        <f t="array" ref="Z153">_xlfn.IFS(Real_Sales[[#This Row],[Price_retail]]&lt;=15,1, Real_Sales[[#This Row],[Price_retail]]&lt;=30,2, Real_Sales[[#This Row],[Price_retail]]&lt;=50,3,Real_Sales[[#This Row],[Price_retail]]&gt;50,4)</f>
        <v>1</v>
      </c>
    </row>
    <row r="154" spans="1:26" x14ac:dyDescent="0.35">
      <c r="A154" s="2" t="s">
        <v>3326</v>
      </c>
      <c r="B154" s="2" t="s">
        <v>3327</v>
      </c>
      <c r="C154" s="2" t="s">
        <v>65</v>
      </c>
      <c r="D154" s="2" t="s">
        <v>1651</v>
      </c>
      <c r="E154" s="2" t="s">
        <v>4</v>
      </c>
      <c r="F154" s="2" t="s">
        <v>5</v>
      </c>
      <c r="G154" s="2" t="s">
        <v>6</v>
      </c>
      <c r="H154" s="2" t="s">
        <v>139</v>
      </c>
      <c r="I154" s="2" t="s">
        <v>3390</v>
      </c>
      <c r="J154" s="3">
        <v>8.99</v>
      </c>
      <c r="K154" s="3">
        <v>8.99</v>
      </c>
      <c r="L154" s="2" t="s">
        <v>3391</v>
      </c>
      <c r="M154" s="2" t="s">
        <v>9</v>
      </c>
      <c r="N154" s="3">
        <v>456</v>
      </c>
      <c r="O154" s="2" t="s">
        <v>91</v>
      </c>
      <c r="P154" s="2" t="s">
        <v>192</v>
      </c>
      <c r="Q154" s="3"/>
      <c r="R154" s="3"/>
      <c r="S154" s="2" t="s">
        <v>12</v>
      </c>
      <c r="T154" s="4">
        <v>44955</v>
      </c>
      <c r="U154" s="2" t="s">
        <v>3328</v>
      </c>
      <c r="V154" s="6">
        <f>(Real_Sales[[#This Row],[Price_retail]]-Real_Sales[[#This Row],[Price_current]])/Real_Sales[[#This Row],[Price_retail]]</f>
        <v>0</v>
      </c>
      <c r="W154" s="3" t="str" cm="1">
        <f t="array" ref="W15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4" s="2" t="str">
        <f>IF(Real_Sales[[#This Row],[Price_retail]]&gt;$AC$3,"Premium","Average")</f>
        <v>Average</v>
      </c>
      <c r="Y154" s="2" t="str">
        <f>IF(ISNUMBER(SEARCH("Basic",Real_Sales[[#This Row],[Product_name]])),"Yes","No")</f>
        <v>No</v>
      </c>
      <c r="Z154" s="2" cm="1">
        <f t="array" ref="Z154">_xlfn.IFS(Real_Sales[[#This Row],[Price_retail]]&lt;=15,1, Real_Sales[[#This Row],[Price_retail]]&lt;=30,2, Real_Sales[[#This Row],[Price_retail]]&lt;=50,3,Real_Sales[[#This Row],[Price_retail]]&gt;50,4)</f>
        <v>1</v>
      </c>
    </row>
    <row r="155" spans="1:26" x14ac:dyDescent="0.35">
      <c r="A155" s="2" t="s">
        <v>3329</v>
      </c>
      <c r="B155" s="2" t="s">
        <v>3330</v>
      </c>
      <c r="C155" s="2" t="s">
        <v>1784</v>
      </c>
      <c r="D155" s="2" t="s">
        <v>653</v>
      </c>
      <c r="E155" s="2" t="s">
        <v>4</v>
      </c>
      <c r="F155" s="2" t="s">
        <v>17</v>
      </c>
      <c r="G155" s="2" t="s">
        <v>50</v>
      </c>
      <c r="H155" s="2" t="s">
        <v>110</v>
      </c>
      <c r="I155" s="2" t="s">
        <v>3395</v>
      </c>
      <c r="J155" s="3">
        <v>8.99</v>
      </c>
      <c r="K155" s="3">
        <v>8.99</v>
      </c>
      <c r="L155" s="2" t="s">
        <v>3391</v>
      </c>
      <c r="M155" s="2" t="s">
        <v>9</v>
      </c>
      <c r="N155" s="3">
        <v>567</v>
      </c>
      <c r="O155" s="2" t="s">
        <v>261</v>
      </c>
      <c r="P155" s="2" t="s">
        <v>44</v>
      </c>
      <c r="Q155" s="3"/>
      <c r="R155" s="3"/>
      <c r="S155" s="2" t="s">
        <v>21</v>
      </c>
      <c r="T155" s="4">
        <v>44955</v>
      </c>
      <c r="U155" s="2" t="s">
        <v>3331</v>
      </c>
      <c r="V155" s="6">
        <f>(Real_Sales[[#This Row],[Price_retail]]-Real_Sales[[#This Row],[Price_current]])/Real_Sales[[#This Row],[Price_retail]]</f>
        <v>0</v>
      </c>
      <c r="W155" s="3" t="str" cm="1">
        <f t="array" ref="W15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5" s="2" t="str">
        <f>IF(Real_Sales[[#This Row],[Price_retail]]&gt;$AC$3,"Premium","Average")</f>
        <v>Average</v>
      </c>
      <c r="Y155" s="2" t="str">
        <f>IF(ISNUMBER(SEARCH("Basic",Real_Sales[[#This Row],[Product_name]])),"Yes","No")</f>
        <v>No</v>
      </c>
      <c r="Z155" s="2" cm="1">
        <f t="array" ref="Z155">_xlfn.IFS(Real_Sales[[#This Row],[Price_retail]]&lt;=15,1, Real_Sales[[#This Row],[Price_retail]]&lt;=30,2, Real_Sales[[#This Row],[Price_retail]]&lt;=50,3,Real_Sales[[#This Row],[Price_retail]]&gt;50,4)</f>
        <v>1</v>
      </c>
    </row>
    <row r="156" spans="1:26" x14ac:dyDescent="0.35">
      <c r="A156" s="2" t="s">
        <v>1013</v>
      </c>
      <c r="B156" s="2" t="s">
        <v>1014</v>
      </c>
      <c r="C156" s="2" t="s">
        <v>108</v>
      </c>
      <c r="D156" s="2" t="s">
        <v>1015</v>
      </c>
      <c r="E156" s="2" t="s">
        <v>4</v>
      </c>
      <c r="F156" s="2" t="s">
        <v>5</v>
      </c>
      <c r="G156" s="2" t="s">
        <v>6</v>
      </c>
      <c r="H156" s="2" t="s">
        <v>7</v>
      </c>
      <c r="I156" s="2" t="s">
        <v>3393</v>
      </c>
      <c r="J156" s="3">
        <v>9.0500000000000007</v>
      </c>
      <c r="K156" s="3">
        <v>9.0500000000000007</v>
      </c>
      <c r="L156" s="2" t="s">
        <v>3391</v>
      </c>
      <c r="M156" s="2" t="s">
        <v>9</v>
      </c>
      <c r="N156" s="3">
        <v>804</v>
      </c>
      <c r="O156" s="2" t="s">
        <v>267</v>
      </c>
      <c r="P156" s="2" t="s">
        <v>44</v>
      </c>
      <c r="Q156" s="3"/>
      <c r="R156" s="3"/>
      <c r="S156" s="2" t="s">
        <v>21</v>
      </c>
      <c r="T156" s="4">
        <v>44955</v>
      </c>
      <c r="U156" s="2" t="s">
        <v>1016</v>
      </c>
      <c r="V156" s="6">
        <f>(Real_Sales[[#This Row],[Price_retail]]-Real_Sales[[#This Row],[Price_current]])/Real_Sales[[#This Row],[Price_retail]]</f>
        <v>0</v>
      </c>
      <c r="W156" s="3" t="str" cm="1">
        <f t="array" ref="W1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6" s="2" t="str">
        <f>IF(Real_Sales[[#This Row],[Price_retail]]&gt;$AC$3,"Premium","Average")</f>
        <v>Average</v>
      </c>
      <c r="Y156" s="2" t="str">
        <f>IF(ISNUMBER(SEARCH("Basic",Real_Sales[[#This Row],[Product_name]])),"Yes","No")</f>
        <v>Yes</v>
      </c>
      <c r="Z156" s="2" cm="1">
        <f t="array" ref="Z156">_xlfn.IFS(Real_Sales[[#This Row],[Price_retail]]&lt;=15,1, Real_Sales[[#This Row],[Price_retail]]&lt;=30,2, Real_Sales[[#This Row],[Price_retail]]&lt;=50,3,Real_Sales[[#This Row],[Price_retail]]&gt;50,4)</f>
        <v>1</v>
      </c>
    </row>
    <row r="157" spans="1:26" x14ac:dyDescent="0.35">
      <c r="A157" s="2" t="s">
        <v>816</v>
      </c>
      <c r="B157" s="2" t="s">
        <v>817</v>
      </c>
      <c r="C157" s="2" t="s">
        <v>3433</v>
      </c>
      <c r="D157" s="2" t="s">
        <v>542</v>
      </c>
      <c r="E157" s="2" t="s">
        <v>4</v>
      </c>
      <c r="F157" s="2" t="s">
        <v>17</v>
      </c>
      <c r="G157" s="2" t="s">
        <v>18</v>
      </c>
      <c r="H157" s="2" t="s">
        <v>333</v>
      </c>
      <c r="I157" s="2" t="s">
        <v>3393</v>
      </c>
      <c r="J157" s="3">
        <v>9.07</v>
      </c>
      <c r="K157" s="3">
        <v>9.07</v>
      </c>
      <c r="L157" s="2" t="s">
        <v>3391</v>
      </c>
      <c r="M157" s="2" t="s">
        <v>9</v>
      </c>
      <c r="N157" s="3">
        <v>119</v>
      </c>
      <c r="O157" s="2" t="s">
        <v>191</v>
      </c>
      <c r="P157" s="2" t="s">
        <v>177</v>
      </c>
      <c r="Q157" s="3"/>
      <c r="R157" s="3"/>
      <c r="S157" s="2" t="s">
        <v>21</v>
      </c>
      <c r="T157" s="4">
        <v>44955</v>
      </c>
      <c r="U157" s="2" t="s">
        <v>818</v>
      </c>
      <c r="V157" s="6">
        <f>(Real_Sales[[#This Row],[Price_retail]]-Real_Sales[[#This Row],[Price_current]])/Real_Sales[[#This Row],[Price_retail]]</f>
        <v>0</v>
      </c>
      <c r="W157" s="3" t="str" cm="1">
        <f t="array" ref="W15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57" s="2" t="str">
        <f>IF(Real_Sales[[#This Row],[Price_retail]]&gt;$AC$3,"Premium","Average")</f>
        <v>Average</v>
      </c>
      <c r="Y157" s="2" t="str">
        <f>IF(ISNUMBER(SEARCH("Basic",Real_Sales[[#This Row],[Product_name]])),"Yes","No")</f>
        <v>No</v>
      </c>
      <c r="Z157" s="2" cm="1">
        <f t="array" ref="Z157">_xlfn.IFS(Real_Sales[[#This Row],[Price_retail]]&lt;=15,1, Real_Sales[[#This Row],[Price_retail]]&lt;=30,2, Real_Sales[[#This Row],[Price_retail]]&lt;=50,3,Real_Sales[[#This Row],[Price_retail]]&gt;50,4)</f>
        <v>1</v>
      </c>
    </row>
    <row r="158" spans="1:26" x14ac:dyDescent="0.35">
      <c r="A158" s="2" t="s">
        <v>2653</v>
      </c>
      <c r="B158" s="2" t="s">
        <v>2654</v>
      </c>
      <c r="C158" s="2" t="s">
        <v>200</v>
      </c>
      <c r="D158" s="2" t="s">
        <v>214</v>
      </c>
      <c r="E158" s="2" t="s">
        <v>4</v>
      </c>
      <c r="F158" s="2" t="s">
        <v>5</v>
      </c>
      <c r="G158" s="2" t="s">
        <v>6</v>
      </c>
      <c r="H158" s="2" t="s">
        <v>139</v>
      </c>
      <c r="I158" s="2" t="s">
        <v>3390</v>
      </c>
      <c r="J158" s="3">
        <v>9.09</v>
      </c>
      <c r="K158" s="3">
        <v>5.66</v>
      </c>
      <c r="L158" s="2" t="s">
        <v>8</v>
      </c>
      <c r="M158" s="2" t="s">
        <v>9</v>
      </c>
      <c r="N158" s="3">
        <v>418</v>
      </c>
      <c r="O158" s="2" t="s">
        <v>29</v>
      </c>
      <c r="P158" s="2" t="s">
        <v>53</v>
      </c>
      <c r="Q158" s="3"/>
      <c r="R158" s="3"/>
      <c r="S158" s="2" t="s">
        <v>21</v>
      </c>
      <c r="T158" s="4">
        <v>44955</v>
      </c>
      <c r="U158" s="2" t="s">
        <v>2655</v>
      </c>
      <c r="V158" s="6">
        <f>(Real_Sales[[#This Row],[Price_retail]]-Real_Sales[[#This Row],[Price_current]])/Real_Sales[[#This Row],[Price_retail]]</f>
        <v>0.37733773377337732</v>
      </c>
      <c r="W158" s="3" t="str" cm="1">
        <f t="array" ref="W15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58" s="2" t="str">
        <f>IF(Real_Sales[[#This Row],[Price_retail]]&gt;$AC$3,"Premium","Average")</f>
        <v>Average</v>
      </c>
      <c r="Y158" s="2" t="str">
        <f>IF(ISNUMBER(SEARCH("Basic",Real_Sales[[#This Row],[Product_name]])),"Yes","No")</f>
        <v>No</v>
      </c>
      <c r="Z158" s="2" cm="1">
        <f t="array" ref="Z158">_xlfn.IFS(Real_Sales[[#This Row],[Price_retail]]&lt;=15,1, Real_Sales[[#This Row],[Price_retail]]&lt;=30,2, Real_Sales[[#This Row],[Price_retail]]&lt;=50,3,Real_Sales[[#This Row],[Price_retail]]&gt;50,4)</f>
        <v>1</v>
      </c>
    </row>
    <row r="159" spans="1:26" x14ac:dyDescent="0.35">
      <c r="A159" s="2" t="s">
        <v>3059</v>
      </c>
      <c r="B159" s="2" t="s">
        <v>3060</v>
      </c>
      <c r="C159" s="2" t="s">
        <v>108</v>
      </c>
      <c r="D159" s="2" t="s">
        <v>625</v>
      </c>
      <c r="E159" s="2" t="s">
        <v>4</v>
      </c>
      <c r="F159" s="2" t="s">
        <v>17</v>
      </c>
      <c r="G159" s="2" t="s">
        <v>18</v>
      </c>
      <c r="H159" s="2" t="s">
        <v>333</v>
      </c>
      <c r="I159" s="2" t="s">
        <v>3390</v>
      </c>
      <c r="J159" s="3">
        <v>9.15</v>
      </c>
      <c r="K159" s="3">
        <v>6.65</v>
      </c>
      <c r="L159" s="2" t="s">
        <v>8</v>
      </c>
      <c r="M159" s="2" t="s">
        <v>9</v>
      </c>
      <c r="N159" s="3">
        <v>132</v>
      </c>
      <c r="O159" s="2" t="s">
        <v>104</v>
      </c>
      <c r="P159" s="2" t="s">
        <v>215</v>
      </c>
      <c r="Q159" s="3"/>
      <c r="R159" s="3"/>
      <c r="S159" s="2" t="s">
        <v>12</v>
      </c>
      <c r="T159" s="4">
        <v>44955</v>
      </c>
      <c r="U159" s="2" t="s">
        <v>3061</v>
      </c>
      <c r="V159" s="6">
        <f>(Real_Sales[[#This Row],[Price_retail]]-Real_Sales[[#This Row],[Price_current]])/Real_Sales[[#This Row],[Price_retail]]</f>
        <v>0.27322404371584696</v>
      </c>
      <c r="W159" s="3" t="str" cm="1">
        <f t="array" ref="W15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59" s="2" t="str">
        <f>IF(Real_Sales[[#This Row],[Price_retail]]&gt;$AC$3,"Premium","Average")</f>
        <v>Average</v>
      </c>
      <c r="Y159" s="2" t="str">
        <f>IF(ISNUMBER(SEARCH("Basic",Real_Sales[[#This Row],[Product_name]])),"Yes","No")</f>
        <v>No</v>
      </c>
      <c r="Z159" s="2" cm="1">
        <f t="array" ref="Z159">_xlfn.IFS(Real_Sales[[#This Row],[Price_retail]]&lt;=15,1, Real_Sales[[#This Row],[Price_retail]]&lt;=30,2, Real_Sales[[#This Row],[Price_retail]]&lt;=50,3,Real_Sales[[#This Row],[Price_retail]]&gt;50,4)</f>
        <v>1</v>
      </c>
    </row>
    <row r="160" spans="1:26" x14ac:dyDescent="0.35">
      <c r="A160" s="2" t="s">
        <v>2587</v>
      </c>
      <c r="B160" s="2" t="s">
        <v>2588</v>
      </c>
      <c r="C160" s="2" t="s">
        <v>1421</v>
      </c>
      <c r="D160" s="2" t="s">
        <v>470</v>
      </c>
      <c r="E160" s="2" t="s">
        <v>4</v>
      </c>
      <c r="F160" s="2" t="s">
        <v>17</v>
      </c>
      <c r="G160" s="2" t="s">
        <v>18</v>
      </c>
      <c r="H160" s="2" t="s">
        <v>185</v>
      </c>
      <c r="I160" s="2" t="s">
        <v>3393</v>
      </c>
      <c r="J160" s="3">
        <v>9.16</v>
      </c>
      <c r="K160" s="3">
        <v>7.05</v>
      </c>
      <c r="L160" s="2" t="s">
        <v>8</v>
      </c>
      <c r="M160" s="2" t="s">
        <v>9</v>
      </c>
      <c r="N160" s="3">
        <v>544</v>
      </c>
      <c r="O160" s="2" t="s">
        <v>29</v>
      </c>
      <c r="P160" s="2" t="s">
        <v>37</v>
      </c>
      <c r="Q160" s="3"/>
      <c r="R160" s="3"/>
      <c r="S160" s="2" t="s">
        <v>21</v>
      </c>
      <c r="T160" s="4">
        <v>44955</v>
      </c>
      <c r="U160" s="2" t="s">
        <v>2589</v>
      </c>
      <c r="V160" s="6">
        <f>(Real_Sales[[#This Row],[Price_retail]]-Real_Sales[[#This Row],[Price_current]])/Real_Sales[[#This Row],[Price_retail]]</f>
        <v>0.23034934497816598</v>
      </c>
      <c r="W160" s="3" t="str" cm="1">
        <f t="array" ref="W16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60" s="2" t="str">
        <f>IF(Real_Sales[[#This Row],[Price_retail]]&gt;$AC$3,"Premium","Average")</f>
        <v>Average</v>
      </c>
      <c r="Y160" s="2" t="str">
        <f>IF(ISNUMBER(SEARCH("Basic",Real_Sales[[#This Row],[Product_name]])),"Yes","No")</f>
        <v>No</v>
      </c>
      <c r="Z160" s="2" cm="1">
        <f t="array" ref="Z160">_xlfn.IFS(Real_Sales[[#This Row],[Price_retail]]&lt;=15,1, Real_Sales[[#This Row],[Price_retail]]&lt;=30,2, Real_Sales[[#This Row],[Price_retail]]&lt;=50,3,Real_Sales[[#This Row],[Price_retail]]&gt;50,4)</f>
        <v>1</v>
      </c>
    </row>
    <row r="161" spans="1:26" x14ac:dyDescent="0.35">
      <c r="A161" s="2" t="s">
        <v>3335</v>
      </c>
      <c r="B161" s="2" t="s">
        <v>3336</v>
      </c>
      <c r="C161" s="2" t="s">
        <v>1481</v>
      </c>
      <c r="D161" s="2" t="s">
        <v>314</v>
      </c>
      <c r="E161" s="2" t="s">
        <v>4</v>
      </c>
      <c r="F161" s="2" t="s">
        <v>17</v>
      </c>
      <c r="G161" s="2" t="s">
        <v>67</v>
      </c>
      <c r="H161" s="2" t="s">
        <v>59</v>
      </c>
      <c r="I161" s="2" t="s">
        <v>3390</v>
      </c>
      <c r="J161" s="3">
        <v>9.27</v>
      </c>
      <c r="K161" s="3">
        <v>5.0599999999999996</v>
      </c>
      <c r="L161" s="2" t="s">
        <v>8</v>
      </c>
      <c r="M161" s="2" t="s">
        <v>9</v>
      </c>
      <c r="N161" s="3">
        <v>872</v>
      </c>
      <c r="O161" s="2" t="s">
        <v>91</v>
      </c>
      <c r="P161" s="2" t="s">
        <v>186</v>
      </c>
      <c r="Q161" s="3"/>
      <c r="R161" s="3"/>
      <c r="S161" s="2" t="s">
        <v>21</v>
      </c>
      <c r="T161" s="4">
        <v>44955</v>
      </c>
      <c r="U161" s="2" t="s">
        <v>3337</v>
      </c>
      <c r="V161" s="6">
        <f>(Real_Sales[[#This Row],[Price_retail]]-Real_Sales[[#This Row],[Price_current]])/Real_Sales[[#This Row],[Price_retail]]</f>
        <v>0.45415318230852214</v>
      </c>
      <c r="W161" s="3" t="str" cm="1">
        <f t="array" ref="W16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61" s="2" t="str">
        <f>IF(Real_Sales[[#This Row],[Price_retail]]&gt;$AC$3,"Premium","Average")</f>
        <v>Average</v>
      </c>
      <c r="Y161" s="2" t="str">
        <f>IF(ISNUMBER(SEARCH("Basic",Real_Sales[[#This Row],[Product_name]])),"Yes","No")</f>
        <v>No</v>
      </c>
      <c r="Z161" s="2" cm="1">
        <f t="array" ref="Z161">_xlfn.IFS(Real_Sales[[#This Row],[Price_retail]]&lt;=15,1, Real_Sales[[#This Row],[Price_retail]]&lt;=30,2, Real_Sales[[#This Row],[Price_retail]]&lt;=50,3,Real_Sales[[#This Row],[Price_retail]]&gt;50,4)</f>
        <v>1</v>
      </c>
    </row>
    <row r="162" spans="1:26" x14ac:dyDescent="0.35">
      <c r="A162" s="2" t="s">
        <v>763</v>
      </c>
      <c r="B162" s="2" t="s">
        <v>764</v>
      </c>
      <c r="C162" s="2" t="s">
        <v>3394</v>
      </c>
      <c r="D162" s="2" t="s">
        <v>765</v>
      </c>
      <c r="E162" s="2" t="s">
        <v>4</v>
      </c>
      <c r="F162" s="2" t="s">
        <v>17</v>
      </c>
      <c r="G162" s="2" t="s">
        <v>27</v>
      </c>
      <c r="H162" s="2" t="s">
        <v>51</v>
      </c>
      <c r="I162" s="2" t="s">
        <v>3393</v>
      </c>
      <c r="J162" s="3">
        <v>9.27</v>
      </c>
      <c r="K162" s="3">
        <v>9.27</v>
      </c>
      <c r="L162" s="2" t="s">
        <v>3391</v>
      </c>
      <c r="M162" s="2" t="s">
        <v>9</v>
      </c>
      <c r="N162" s="3">
        <v>714</v>
      </c>
      <c r="O162" s="2" t="s">
        <v>91</v>
      </c>
      <c r="P162" s="2" t="s">
        <v>76</v>
      </c>
      <c r="Q162" s="3"/>
      <c r="R162" s="3"/>
      <c r="S162" s="2" t="s">
        <v>21</v>
      </c>
      <c r="T162" s="4">
        <v>44955</v>
      </c>
      <c r="U162" s="2" t="s">
        <v>766</v>
      </c>
      <c r="V162" s="6">
        <f>(Real_Sales[[#This Row],[Price_retail]]-Real_Sales[[#This Row],[Price_current]])/Real_Sales[[#This Row],[Price_retail]]</f>
        <v>0</v>
      </c>
      <c r="W162" s="3" t="str" cm="1">
        <f t="array" ref="W1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62" s="2" t="str">
        <f>IF(Real_Sales[[#This Row],[Price_retail]]&gt;$AC$3,"Premium","Average")</f>
        <v>Average</v>
      </c>
      <c r="Y162" s="2" t="str">
        <f>IF(ISNUMBER(SEARCH("Basic",Real_Sales[[#This Row],[Product_name]])),"Yes","No")</f>
        <v>No</v>
      </c>
      <c r="Z162" s="2" cm="1">
        <f t="array" ref="Z162">_xlfn.IFS(Real_Sales[[#This Row],[Price_retail]]&lt;=15,1, Real_Sales[[#This Row],[Price_retail]]&lt;=30,2, Real_Sales[[#This Row],[Price_retail]]&lt;=50,3,Real_Sales[[#This Row],[Price_retail]]&gt;50,4)</f>
        <v>1</v>
      </c>
    </row>
    <row r="163" spans="1:26" x14ac:dyDescent="0.35">
      <c r="A163" s="2" t="s">
        <v>2814</v>
      </c>
      <c r="B163" s="2" t="s">
        <v>2815</v>
      </c>
      <c r="C163" s="2" t="s">
        <v>242</v>
      </c>
      <c r="D163" s="2" t="s">
        <v>236</v>
      </c>
      <c r="E163" s="2" t="s">
        <v>4</v>
      </c>
      <c r="F163" s="2" t="s">
        <v>17</v>
      </c>
      <c r="G163" s="2" t="s">
        <v>67</v>
      </c>
      <c r="H163" s="2" t="s">
        <v>237</v>
      </c>
      <c r="I163" s="2" t="s">
        <v>3395</v>
      </c>
      <c r="J163" s="3">
        <v>9.31</v>
      </c>
      <c r="K163" s="3">
        <v>9.31</v>
      </c>
      <c r="L163" s="2" t="s">
        <v>3391</v>
      </c>
      <c r="M163" s="2" t="s">
        <v>9</v>
      </c>
      <c r="N163" s="3">
        <v>379</v>
      </c>
      <c r="O163" s="2" t="s">
        <v>29</v>
      </c>
      <c r="P163" s="2" t="s">
        <v>70</v>
      </c>
      <c r="Q163" s="3"/>
      <c r="R163" s="3"/>
      <c r="S163" s="2" t="s">
        <v>21</v>
      </c>
      <c r="T163" s="4">
        <v>44955</v>
      </c>
      <c r="U163" s="2" t="s">
        <v>2816</v>
      </c>
      <c r="V163" s="6">
        <f>(Real_Sales[[#This Row],[Price_retail]]-Real_Sales[[#This Row],[Price_current]])/Real_Sales[[#This Row],[Price_retail]]</f>
        <v>0</v>
      </c>
      <c r="W163" s="3" t="str" cm="1">
        <f t="array" ref="W16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63" s="2" t="str">
        <f>IF(Real_Sales[[#This Row],[Price_retail]]&gt;$AC$3,"Premium","Average")</f>
        <v>Average</v>
      </c>
      <c r="Y163" s="2" t="str">
        <f>IF(ISNUMBER(SEARCH("Basic",Real_Sales[[#This Row],[Product_name]])),"Yes","No")</f>
        <v>No</v>
      </c>
      <c r="Z163" s="2" cm="1">
        <f t="array" ref="Z163">_xlfn.IFS(Real_Sales[[#This Row],[Price_retail]]&lt;=15,1, Real_Sales[[#This Row],[Price_retail]]&lt;=30,2, Real_Sales[[#This Row],[Price_retail]]&lt;=50,3,Real_Sales[[#This Row],[Price_retail]]&gt;50,4)</f>
        <v>1</v>
      </c>
    </row>
    <row r="164" spans="1:26" x14ac:dyDescent="0.35">
      <c r="A164" s="2" t="s">
        <v>1036</v>
      </c>
      <c r="B164" s="2" t="s">
        <v>1037</v>
      </c>
      <c r="C164" s="2" t="s">
        <v>96</v>
      </c>
      <c r="D164" s="2" t="s">
        <v>894</v>
      </c>
      <c r="E164" s="2" t="s">
        <v>4</v>
      </c>
      <c r="F164" s="2" t="s">
        <v>5</v>
      </c>
      <c r="G164" s="2" t="s">
        <v>6</v>
      </c>
      <c r="H164" s="2" t="s">
        <v>145</v>
      </c>
      <c r="I164" s="2" t="s">
        <v>3390</v>
      </c>
      <c r="J164" s="3">
        <v>9.34</v>
      </c>
      <c r="K164" s="3">
        <v>6.63</v>
      </c>
      <c r="L164" s="2" t="s">
        <v>8</v>
      </c>
      <c r="M164" s="2" t="s">
        <v>9</v>
      </c>
      <c r="N164" s="3">
        <v>131</v>
      </c>
      <c r="O164" s="2" t="s">
        <v>3392</v>
      </c>
      <c r="P164" s="2" t="s">
        <v>70</v>
      </c>
      <c r="Q164" s="3"/>
      <c r="R164" s="3"/>
      <c r="S164" s="2" t="s">
        <v>21</v>
      </c>
      <c r="T164" s="4">
        <v>44955</v>
      </c>
      <c r="U164" s="2" t="s">
        <v>1038</v>
      </c>
      <c r="V164" s="6">
        <f>(Real_Sales[[#This Row],[Price_retail]]-Real_Sales[[#This Row],[Price_current]])/Real_Sales[[#This Row],[Price_retail]]</f>
        <v>0.29014989293361887</v>
      </c>
      <c r="W164" s="3" t="str" cm="1">
        <f t="array" ref="W16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64" s="2" t="str">
        <f>IF(Real_Sales[[#This Row],[Price_retail]]&gt;$AC$3,"Premium","Average")</f>
        <v>Average</v>
      </c>
      <c r="Y164" s="2" t="str">
        <f>IF(ISNUMBER(SEARCH("Basic",Real_Sales[[#This Row],[Product_name]])),"Yes","No")</f>
        <v>No</v>
      </c>
      <c r="Z164" s="2" cm="1">
        <f t="array" ref="Z164">_xlfn.IFS(Real_Sales[[#This Row],[Price_retail]]&lt;=15,1, Real_Sales[[#This Row],[Price_retail]]&lt;=30,2, Real_Sales[[#This Row],[Price_retail]]&lt;=50,3,Real_Sales[[#This Row],[Price_retail]]&gt;50,4)</f>
        <v>1</v>
      </c>
    </row>
    <row r="165" spans="1:26" x14ac:dyDescent="0.35">
      <c r="A165" s="2" t="s">
        <v>1856</v>
      </c>
      <c r="B165" s="2" t="s">
        <v>1857</v>
      </c>
      <c r="C165" s="2" t="s">
        <v>469</v>
      </c>
      <c r="D165" s="2" t="s">
        <v>81</v>
      </c>
      <c r="E165" s="2" t="s">
        <v>4</v>
      </c>
      <c r="F165" s="2" t="s">
        <v>5</v>
      </c>
      <c r="G165" s="2" t="s">
        <v>6</v>
      </c>
      <c r="H165" s="2" t="s">
        <v>83</v>
      </c>
      <c r="I165" s="2" t="s">
        <v>3390</v>
      </c>
      <c r="J165" s="3">
        <v>9.34</v>
      </c>
      <c r="K165" s="3">
        <v>9.34</v>
      </c>
      <c r="L165" s="2" t="s">
        <v>3391</v>
      </c>
      <c r="M165" s="2" t="s">
        <v>9</v>
      </c>
      <c r="N165" s="3">
        <v>916</v>
      </c>
      <c r="O165" s="2" t="s">
        <v>36</v>
      </c>
      <c r="P165" s="2" t="s">
        <v>37</v>
      </c>
      <c r="Q165" s="3"/>
      <c r="R165" s="3"/>
      <c r="S165" s="2" t="s">
        <v>21</v>
      </c>
      <c r="T165" s="4">
        <v>44955</v>
      </c>
      <c r="U165" s="2" t="s">
        <v>1858</v>
      </c>
      <c r="V165" s="6">
        <f>(Real_Sales[[#This Row],[Price_retail]]-Real_Sales[[#This Row],[Price_current]])/Real_Sales[[#This Row],[Price_retail]]</f>
        <v>0</v>
      </c>
      <c r="W165" s="3" t="str" cm="1">
        <f t="array" ref="W16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65" s="2" t="str">
        <f>IF(Real_Sales[[#This Row],[Price_retail]]&gt;$AC$3,"Premium","Average")</f>
        <v>Average</v>
      </c>
      <c r="Y165" s="2" t="str">
        <f>IF(ISNUMBER(SEARCH("Basic",Real_Sales[[#This Row],[Product_name]])),"Yes","No")</f>
        <v>No</v>
      </c>
      <c r="Z165" s="2" cm="1">
        <f t="array" ref="Z165">_xlfn.IFS(Real_Sales[[#This Row],[Price_retail]]&lt;=15,1, Real_Sales[[#This Row],[Price_retail]]&lt;=30,2, Real_Sales[[#This Row],[Price_retail]]&lt;=50,3,Real_Sales[[#This Row],[Price_retail]]&gt;50,4)</f>
        <v>1</v>
      </c>
    </row>
    <row r="166" spans="1:26" x14ac:dyDescent="0.35">
      <c r="A166" s="2" t="s">
        <v>934</v>
      </c>
      <c r="B166" s="2" t="s">
        <v>935</v>
      </c>
      <c r="C166" s="2" t="s">
        <v>242</v>
      </c>
      <c r="D166" s="2" t="s">
        <v>506</v>
      </c>
      <c r="E166" s="2" t="s">
        <v>4</v>
      </c>
      <c r="F166" s="2" t="s">
        <v>5</v>
      </c>
      <c r="G166" s="2" t="s">
        <v>82</v>
      </c>
      <c r="H166" s="2" t="s">
        <v>237</v>
      </c>
      <c r="I166" s="2" t="s">
        <v>3393</v>
      </c>
      <c r="J166" s="3">
        <v>9.3800000000000008</v>
      </c>
      <c r="K166" s="3">
        <v>6.02</v>
      </c>
      <c r="L166" s="2" t="s">
        <v>8</v>
      </c>
      <c r="M166" s="2" t="s">
        <v>9</v>
      </c>
      <c r="N166" s="3">
        <v>346</v>
      </c>
      <c r="O166" s="2" t="s">
        <v>104</v>
      </c>
      <c r="P166" s="2" t="s">
        <v>3392</v>
      </c>
      <c r="Q166" s="3"/>
      <c r="R166" s="3"/>
      <c r="S166" s="2" t="s">
        <v>21</v>
      </c>
      <c r="T166" s="4">
        <v>44955</v>
      </c>
      <c r="U166" s="2" t="s">
        <v>936</v>
      </c>
      <c r="V166" s="6">
        <f>(Real_Sales[[#This Row],[Price_retail]]-Real_Sales[[#This Row],[Price_current]])/Real_Sales[[#This Row],[Price_retail]]</f>
        <v>0.35820895522388069</v>
      </c>
      <c r="W166" s="3" t="str" cm="1">
        <f t="array" ref="W16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66" s="2" t="str">
        <f>IF(Real_Sales[[#This Row],[Price_retail]]&gt;$AC$3,"Premium","Average")</f>
        <v>Average</v>
      </c>
      <c r="Y166" s="2" t="str">
        <f>IF(ISNUMBER(SEARCH("Basic",Real_Sales[[#This Row],[Product_name]])),"Yes","No")</f>
        <v>Yes</v>
      </c>
      <c r="Z166" s="2" cm="1">
        <f t="array" ref="Z166">_xlfn.IFS(Real_Sales[[#This Row],[Price_retail]]&lt;=15,1, Real_Sales[[#This Row],[Price_retail]]&lt;=30,2, Real_Sales[[#This Row],[Price_retail]]&lt;=50,3,Real_Sales[[#This Row],[Price_retail]]&gt;50,4)</f>
        <v>1</v>
      </c>
    </row>
    <row r="167" spans="1:26" x14ac:dyDescent="0.35">
      <c r="A167" s="2" t="s">
        <v>3287</v>
      </c>
      <c r="B167" s="2" t="s">
        <v>3288</v>
      </c>
      <c r="C167" s="2" t="s">
        <v>3406</v>
      </c>
      <c r="D167" s="2" t="s">
        <v>1243</v>
      </c>
      <c r="E167" s="2" t="s">
        <v>4</v>
      </c>
      <c r="F167" s="2" t="s">
        <v>17</v>
      </c>
      <c r="G167" s="2" t="s">
        <v>67</v>
      </c>
      <c r="H167" s="2" t="s">
        <v>90</v>
      </c>
      <c r="I167" s="2" t="s">
        <v>3393</v>
      </c>
      <c r="J167" s="3">
        <v>9.41</v>
      </c>
      <c r="K167" s="3">
        <v>9.41</v>
      </c>
      <c r="L167" s="2" t="s">
        <v>3391</v>
      </c>
      <c r="M167" s="2" t="s">
        <v>9</v>
      </c>
      <c r="N167" s="3">
        <v>740</v>
      </c>
      <c r="O167" s="2" t="s">
        <v>359</v>
      </c>
      <c r="P167" s="2" t="s">
        <v>221</v>
      </c>
      <c r="Q167" s="3"/>
      <c r="R167" s="3"/>
      <c r="S167" s="2" t="s">
        <v>21</v>
      </c>
      <c r="T167" s="4">
        <v>44955</v>
      </c>
      <c r="U167" s="2" t="s">
        <v>3289</v>
      </c>
      <c r="V167" s="6">
        <f>(Real_Sales[[#This Row],[Price_retail]]-Real_Sales[[#This Row],[Price_current]])/Real_Sales[[#This Row],[Price_retail]]</f>
        <v>0</v>
      </c>
      <c r="W167" s="3" t="str" cm="1">
        <f t="array" ref="W16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67" s="2" t="str">
        <f>IF(Real_Sales[[#This Row],[Price_retail]]&gt;$AC$3,"Premium","Average")</f>
        <v>Average</v>
      </c>
      <c r="Y167" s="2" t="str">
        <f>IF(ISNUMBER(SEARCH("Basic",Real_Sales[[#This Row],[Product_name]])),"Yes","No")</f>
        <v>Yes</v>
      </c>
      <c r="Z167" s="2" cm="1">
        <f t="array" ref="Z167">_xlfn.IFS(Real_Sales[[#This Row],[Price_retail]]&lt;=15,1, Real_Sales[[#This Row],[Price_retail]]&lt;=30,2, Real_Sales[[#This Row],[Price_retail]]&lt;=50,3,Real_Sales[[#This Row],[Price_retail]]&gt;50,4)</f>
        <v>1</v>
      </c>
    </row>
    <row r="168" spans="1:26" x14ac:dyDescent="0.35">
      <c r="A168" s="2" t="s">
        <v>2222</v>
      </c>
      <c r="B168" s="2" t="s">
        <v>2223</v>
      </c>
      <c r="C168" s="2" t="s">
        <v>323</v>
      </c>
      <c r="D168" s="2" t="s">
        <v>338</v>
      </c>
      <c r="E168" s="2" t="s">
        <v>4</v>
      </c>
      <c r="F168" s="2" t="s">
        <v>17</v>
      </c>
      <c r="G168" s="2" t="s">
        <v>18</v>
      </c>
      <c r="H168" s="2" t="s">
        <v>90</v>
      </c>
      <c r="I168" s="2" t="s">
        <v>3393</v>
      </c>
      <c r="J168" s="3">
        <v>9.42</v>
      </c>
      <c r="K168" s="3">
        <v>9.42</v>
      </c>
      <c r="L168" s="2" t="s">
        <v>3391</v>
      </c>
      <c r="M168" s="2" t="s">
        <v>9</v>
      </c>
      <c r="N168" s="3">
        <v>20</v>
      </c>
      <c r="O168" s="2" t="s">
        <v>3392</v>
      </c>
      <c r="P168" s="2" t="s">
        <v>288</v>
      </c>
      <c r="Q168" s="3"/>
      <c r="R168" s="3"/>
      <c r="S168" s="2" t="s">
        <v>21</v>
      </c>
      <c r="T168" s="4">
        <v>44955</v>
      </c>
      <c r="U168" s="2" t="s">
        <v>2224</v>
      </c>
      <c r="V168" s="6">
        <f>(Real_Sales[[#This Row],[Price_retail]]-Real_Sales[[#This Row],[Price_current]])/Real_Sales[[#This Row],[Price_retail]]</f>
        <v>0</v>
      </c>
      <c r="W168" s="3" t="str" cm="1">
        <f t="array" ref="W1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68" s="2" t="str">
        <f>IF(Real_Sales[[#This Row],[Price_retail]]&gt;$AC$3,"Premium","Average")</f>
        <v>Average</v>
      </c>
      <c r="Y168" s="2" t="str">
        <f>IF(ISNUMBER(SEARCH("Basic",Real_Sales[[#This Row],[Product_name]])),"Yes","No")</f>
        <v>No</v>
      </c>
      <c r="Z168" s="2" cm="1">
        <f t="array" ref="Z168">_xlfn.IFS(Real_Sales[[#This Row],[Price_retail]]&lt;=15,1, Real_Sales[[#This Row],[Price_retail]]&lt;=30,2, Real_Sales[[#This Row],[Price_retail]]&lt;=50,3,Real_Sales[[#This Row],[Price_retail]]&gt;50,4)</f>
        <v>1</v>
      </c>
    </row>
    <row r="169" spans="1:26" x14ac:dyDescent="0.35">
      <c r="A169" s="2" t="s">
        <v>3185</v>
      </c>
      <c r="B169" s="2" t="s">
        <v>3186</v>
      </c>
      <c r="C169" s="2" t="s">
        <v>1888</v>
      </c>
      <c r="D169" s="2" t="s">
        <v>674</v>
      </c>
      <c r="E169" s="2" t="s">
        <v>4</v>
      </c>
      <c r="F169" s="2" t="s">
        <v>5</v>
      </c>
      <c r="G169" s="2" t="s">
        <v>121</v>
      </c>
      <c r="H169" s="2" t="s">
        <v>333</v>
      </c>
      <c r="I169" s="2" t="s">
        <v>3390</v>
      </c>
      <c r="J169" s="3">
        <v>9.42</v>
      </c>
      <c r="K169" s="3">
        <v>9.42</v>
      </c>
      <c r="L169" s="2" t="s">
        <v>248</v>
      </c>
      <c r="M169" s="2" t="s">
        <v>9</v>
      </c>
      <c r="N169" s="3">
        <v>114</v>
      </c>
      <c r="O169" s="2" t="s">
        <v>261</v>
      </c>
      <c r="P169" s="2" t="s">
        <v>30</v>
      </c>
      <c r="Q169" s="3"/>
      <c r="R169" s="3"/>
      <c r="S169" s="2" t="s">
        <v>21</v>
      </c>
      <c r="T169" s="4">
        <v>44955</v>
      </c>
      <c r="U169" s="2" t="s">
        <v>3187</v>
      </c>
      <c r="V169" s="6">
        <f>(Real_Sales[[#This Row],[Price_retail]]-Real_Sales[[#This Row],[Price_current]])/Real_Sales[[#This Row],[Price_retail]]</f>
        <v>0</v>
      </c>
      <c r="W169" s="3" t="str" cm="1">
        <f t="array" ref="W16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69" s="2" t="str">
        <f>IF(Real_Sales[[#This Row],[Price_retail]]&gt;$AC$3,"Premium","Average")</f>
        <v>Average</v>
      </c>
      <c r="Y169" s="2" t="str">
        <f>IF(ISNUMBER(SEARCH("Basic",Real_Sales[[#This Row],[Product_name]])),"Yes","No")</f>
        <v>No</v>
      </c>
      <c r="Z169" s="2" cm="1">
        <f t="array" ref="Z169">_xlfn.IFS(Real_Sales[[#This Row],[Price_retail]]&lt;=15,1, Real_Sales[[#This Row],[Price_retail]]&lt;=30,2, Real_Sales[[#This Row],[Price_retail]]&lt;=50,3,Real_Sales[[#This Row],[Price_retail]]&gt;50,4)</f>
        <v>1</v>
      </c>
    </row>
    <row r="170" spans="1:26" x14ac:dyDescent="0.35">
      <c r="A170" s="2" t="s">
        <v>117</v>
      </c>
      <c r="B170" s="2" t="s">
        <v>118</v>
      </c>
      <c r="C170" s="2" t="s">
        <v>119</v>
      </c>
      <c r="D170" s="2" t="s">
        <v>120</v>
      </c>
      <c r="E170" s="2" t="s">
        <v>4</v>
      </c>
      <c r="F170" s="2" t="s">
        <v>5</v>
      </c>
      <c r="G170" s="2" t="s">
        <v>121</v>
      </c>
      <c r="H170" s="2" t="s">
        <v>35</v>
      </c>
      <c r="I170" s="2" t="s">
        <v>3390</v>
      </c>
      <c r="J170" s="3">
        <v>9.4499999999999993</v>
      </c>
      <c r="K170" s="3">
        <v>6.58</v>
      </c>
      <c r="L170" s="2" t="s">
        <v>8</v>
      </c>
      <c r="M170" s="2" t="s">
        <v>9</v>
      </c>
      <c r="N170" s="3">
        <v>106</v>
      </c>
      <c r="O170" s="2" t="s">
        <v>52</v>
      </c>
      <c r="P170" s="2" t="s">
        <v>122</v>
      </c>
      <c r="Q170" s="3"/>
      <c r="R170" s="3"/>
      <c r="S170" s="2" t="s">
        <v>21</v>
      </c>
      <c r="T170" s="4">
        <v>44955</v>
      </c>
      <c r="U170" s="2" t="s">
        <v>123</v>
      </c>
      <c r="V170" s="6">
        <f>(Real_Sales[[#This Row],[Price_retail]]-Real_Sales[[#This Row],[Price_current]])/Real_Sales[[#This Row],[Price_retail]]</f>
        <v>0.30370370370370364</v>
      </c>
      <c r="W170" s="3" t="str" cm="1">
        <f t="array" ref="W17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70" s="2" t="str">
        <f>IF(Real_Sales[[#This Row],[Price_retail]]&gt;$AC$3,"Premium","Average")</f>
        <v>Average</v>
      </c>
      <c r="Y170" s="2" t="str">
        <f>IF(ISNUMBER(SEARCH("Basic",Real_Sales[[#This Row],[Product_name]])),"Yes","No")</f>
        <v>No</v>
      </c>
      <c r="Z170" s="2" cm="1">
        <f t="array" ref="Z170">_xlfn.IFS(Real_Sales[[#This Row],[Price_retail]]&lt;=15,1, Real_Sales[[#This Row],[Price_retail]]&lt;=30,2, Real_Sales[[#This Row],[Price_retail]]&lt;=50,3,Real_Sales[[#This Row],[Price_retail]]&gt;50,4)</f>
        <v>1</v>
      </c>
    </row>
    <row r="171" spans="1:26" x14ac:dyDescent="0.35">
      <c r="A171" s="2" t="s">
        <v>2498</v>
      </c>
      <c r="B171" s="2" t="s">
        <v>2499</v>
      </c>
      <c r="C171" s="2" t="s">
        <v>3394</v>
      </c>
      <c r="D171" s="2" t="s">
        <v>2500</v>
      </c>
      <c r="E171" s="2" t="s">
        <v>4</v>
      </c>
      <c r="F171" s="2" t="s">
        <v>17</v>
      </c>
      <c r="G171" s="2" t="s">
        <v>67</v>
      </c>
      <c r="H171" s="2" t="s">
        <v>35</v>
      </c>
      <c r="I171" s="2" t="s">
        <v>3393</v>
      </c>
      <c r="J171" s="3">
        <v>9.49</v>
      </c>
      <c r="K171" s="3">
        <v>9.49</v>
      </c>
      <c r="L171" s="2" t="s">
        <v>3391</v>
      </c>
      <c r="M171" s="2" t="s">
        <v>9</v>
      </c>
      <c r="N171" s="3">
        <v>660</v>
      </c>
      <c r="O171" s="2" t="s">
        <v>75</v>
      </c>
      <c r="P171" s="2" t="s">
        <v>192</v>
      </c>
      <c r="Q171" s="3"/>
      <c r="R171" s="3"/>
      <c r="S171" s="2" t="s">
        <v>21</v>
      </c>
      <c r="T171" s="4">
        <v>44955</v>
      </c>
      <c r="U171" s="2" t="s">
        <v>2501</v>
      </c>
      <c r="V171" s="6">
        <f>(Real_Sales[[#This Row],[Price_retail]]-Real_Sales[[#This Row],[Price_current]])/Real_Sales[[#This Row],[Price_retail]]</f>
        <v>0</v>
      </c>
      <c r="W171" s="3" t="str" cm="1">
        <f t="array" ref="W1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71" s="2" t="str">
        <f>IF(Real_Sales[[#This Row],[Price_retail]]&gt;$AC$3,"Premium","Average")</f>
        <v>Average</v>
      </c>
      <c r="Y171" s="2" t="str">
        <f>IF(ISNUMBER(SEARCH("Basic",Real_Sales[[#This Row],[Product_name]])),"Yes","No")</f>
        <v>No</v>
      </c>
      <c r="Z171" s="2" cm="1">
        <f t="array" ref="Z171">_xlfn.IFS(Real_Sales[[#This Row],[Price_retail]]&lt;=15,1, Real_Sales[[#This Row],[Price_retail]]&lt;=30,2, Real_Sales[[#This Row],[Price_retail]]&lt;=50,3,Real_Sales[[#This Row],[Price_retail]]&gt;50,4)</f>
        <v>1</v>
      </c>
    </row>
    <row r="172" spans="1:26" x14ac:dyDescent="0.35">
      <c r="A172" s="2" t="s">
        <v>688</v>
      </c>
      <c r="B172" s="2" t="s">
        <v>689</v>
      </c>
      <c r="C172" s="2" t="s">
        <v>690</v>
      </c>
      <c r="D172" s="2" t="s">
        <v>432</v>
      </c>
      <c r="E172" s="2" t="s">
        <v>4</v>
      </c>
      <c r="F172" s="2" t="s">
        <v>5</v>
      </c>
      <c r="G172" s="2" t="s">
        <v>6</v>
      </c>
      <c r="H172" s="2" t="s">
        <v>35</v>
      </c>
      <c r="I172" s="2" t="s">
        <v>3395</v>
      </c>
      <c r="J172" s="3">
        <v>9.5</v>
      </c>
      <c r="K172" s="3">
        <v>9.5</v>
      </c>
      <c r="L172" s="2" t="s">
        <v>3391</v>
      </c>
      <c r="M172" s="2" t="s">
        <v>9</v>
      </c>
      <c r="N172" s="3">
        <v>27</v>
      </c>
      <c r="O172" s="2" t="s">
        <v>36</v>
      </c>
      <c r="P172" s="2" t="s">
        <v>163</v>
      </c>
      <c r="Q172" s="3"/>
      <c r="R172" s="3"/>
      <c r="S172" s="2" t="s">
        <v>12</v>
      </c>
      <c r="T172" s="4">
        <v>44955</v>
      </c>
      <c r="U172" s="2" t="s">
        <v>691</v>
      </c>
      <c r="V172" s="6">
        <f>(Real_Sales[[#This Row],[Price_retail]]-Real_Sales[[#This Row],[Price_current]])/Real_Sales[[#This Row],[Price_retail]]</f>
        <v>0</v>
      </c>
      <c r="W172" s="3" t="str" cm="1">
        <f t="array" ref="W17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72" s="2" t="str">
        <f>IF(Real_Sales[[#This Row],[Price_retail]]&gt;$AC$3,"Premium","Average")</f>
        <v>Average</v>
      </c>
      <c r="Y172" s="2" t="str">
        <f>IF(ISNUMBER(SEARCH("Basic",Real_Sales[[#This Row],[Product_name]])),"Yes","No")</f>
        <v>Yes</v>
      </c>
      <c r="Z172" s="2" cm="1">
        <f t="array" ref="Z172">_xlfn.IFS(Real_Sales[[#This Row],[Price_retail]]&lt;=15,1, Real_Sales[[#This Row],[Price_retail]]&lt;=30,2, Real_Sales[[#This Row],[Price_retail]]&lt;=50,3,Real_Sales[[#This Row],[Price_retail]]&gt;50,4)</f>
        <v>1</v>
      </c>
    </row>
    <row r="173" spans="1:26" x14ac:dyDescent="0.35">
      <c r="A173" s="2" t="s">
        <v>1753</v>
      </c>
      <c r="B173" s="2" t="s">
        <v>1754</v>
      </c>
      <c r="C173" s="2" t="s">
        <v>3433</v>
      </c>
      <c r="D173" s="2" t="s">
        <v>1324</v>
      </c>
      <c r="E173" s="2" t="s">
        <v>4</v>
      </c>
      <c r="F173" s="2" t="s">
        <v>17</v>
      </c>
      <c r="G173" s="2" t="s">
        <v>67</v>
      </c>
      <c r="H173" s="2" t="s">
        <v>19</v>
      </c>
      <c r="I173" s="2" t="s">
        <v>3393</v>
      </c>
      <c r="J173" s="3">
        <v>9.56</v>
      </c>
      <c r="K173" s="3">
        <v>6.19</v>
      </c>
      <c r="L173" s="2" t="s">
        <v>8</v>
      </c>
      <c r="M173" s="2" t="s">
        <v>9</v>
      </c>
      <c r="N173" s="3">
        <v>291</v>
      </c>
      <c r="O173" s="2" t="s">
        <v>69</v>
      </c>
      <c r="P173" s="2" t="s">
        <v>3392</v>
      </c>
      <c r="Q173" s="3"/>
      <c r="R173" s="3"/>
      <c r="S173" s="2" t="s">
        <v>12</v>
      </c>
      <c r="T173" s="4">
        <v>44955</v>
      </c>
      <c r="U173" s="2" t="s">
        <v>1755</v>
      </c>
      <c r="V173" s="6">
        <f>(Real_Sales[[#This Row],[Price_retail]]-Real_Sales[[#This Row],[Price_current]])/Real_Sales[[#This Row],[Price_retail]]</f>
        <v>0.35251046025104604</v>
      </c>
      <c r="W173" s="3" t="str" cm="1">
        <f t="array" ref="W17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73" s="2" t="str">
        <f>IF(Real_Sales[[#This Row],[Price_retail]]&gt;$AC$3,"Premium","Average")</f>
        <v>Average</v>
      </c>
      <c r="Y173" s="2" t="str">
        <f>IF(ISNUMBER(SEARCH("Basic",Real_Sales[[#This Row],[Product_name]])),"Yes","No")</f>
        <v>Yes</v>
      </c>
      <c r="Z173" s="2" cm="1">
        <f t="array" ref="Z173">_xlfn.IFS(Real_Sales[[#This Row],[Price_retail]]&lt;=15,1, Real_Sales[[#This Row],[Price_retail]]&lt;=30,2, Real_Sales[[#This Row],[Price_retail]]&lt;=50,3,Real_Sales[[#This Row],[Price_retail]]&gt;50,4)</f>
        <v>1</v>
      </c>
    </row>
    <row r="174" spans="1:26" x14ac:dyDescent="0.35">
      <c r="A174" s="2" t="s">
        <v>1319</v>
      </c>
      <c r="B174" s="2" t="s">
        <v>1320</v>
      </c>
      <c r="C174" s="2" t="s">
        <v>242</v>
      </c>
      <c r="D174" s="2" t="s">
        <v>42</v>
      </c>
      <c r="E174" s="2" t="s">
        <v>4</v>
      </c>
      <c r="F174" s="2" t="s">
        <v>5</v>
      </c>
      <c r="G174" s="2" t="s">
        <v>82</v>
      </c>
      <c r="H174" s="2" t="s">
        <v>19</v>
      </c>
      <c r="I174" s="2" t="s">
        <v>3390</v>
      </c>
      <c r="J174" s="3">
        <v>9.57</v>
      </c>
      <c r="K174" s="3">
        <v>9.57</v>
      </c>
      <c r="L174" s="2" t="s">
        <v>3391</v>
      </c>
      <c r="M174" s="2" t="s">
        <v>9</v>
      </c>
      <c r="N174" s="3">
        <v>253</v>
      </c>
      <c r="O174" s="2" t="s">
        <v>75</v>
      </c>
      <c r="P174" s="2" t="s">
        <v>37</v>
      </c>
      <c r="Q174" s="3"/>
      <c r="R174" s="3"/>
      <c r="S174" s="2" t="s">
        <v>21</v>
      </c>
      <c r="T174" s="4">
        <v>44955</v>
      </c>
      <c r="U174" s="2" t="s">
        <v>1321</v>
      </c>
      <c r="V174" s="6">
        <f>(Real_Sales[[#This Row],[Price_retail]]-Real_Sales[[#This Row],[Price_current]])/Real_Sales[[#This Row],[Price_retail]]</f>
        <v>0</v>
      </c>
      <c r="W174" s="3" t="str" cm="1">
        <f t="array" ref="W1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74" s="2" t="str">
        <f>IF(Real_Sales[[#This Row],[Price_retail]]&gt;$AC$3,"Premium","Average")</f>
        <v>Average</v>
      </c>
      <c r="Y174" s="2" t="str">
        <f>IF(ISNUMBER(SEARCH("Basic",Real_Sales[[#This Row],[Product_name]])),"Yes","No")</f>
        <v>No</v>
      </c>
      <c r="Z174" s="2" cm="1">
        <f t="array" ref="Z174">_xlfn.IFS(Real_Sales[[#This Row],[Price_retail]]&lt;=15,1, Real_Sales[[#This Row],[Price_retail]]&lt;=30,2, Real_Sales[[#This Row],[Price_retail]]&lt;=50,3,Real_Sales[[#This Row],[Price_retail]]&gt;50,4)</f>
        <v>1</v>
      </c>
    </row>
    <row r="175" spans="1:26" x14ac:dyDescent="0.35">
      <c r="A175" s="2" t="s">
        <v>2929</v>
      </c>
      <c r="B175" s="2" t="s">
        <v>2930</v>
      </c>
      <c r="C175" s="2" t="s">
        <v>1797</v>
      </c>
      <c r="D175" s="2" t="s">
        <v>253</v>
      </c>
      <c r="E175" s="2" t="s">
        <v>4</v>
      </c>
      <c r="F175" s="2" t="s">
        <v>5</v>
      </c>
      <c r="G175" s="2" t="s">
        <v>6</v>
      </c>
      <c r="H175" s="2" t="s">
        <v>35</v>
      </c>
      <c r="I175" s="2" t="s">
        <v>3390</v>
      </c>
      <c r="J175" s="3">
        <v>9.58</v>
      </c>
      <c r="K175" s="3">
        <v>9.58</v>
      </c>
      <c r="L175" s="2" t="s">
        <v>3391</v>
      </c>
      <c r="M175" s="2" t="s">
        <v>9</v>
      </c>
      <c r="N175" s="3">
        <v>681</v>
      </c>
      <c r="O175" s="2" t="s">
        <v>191</v>
      </c>
      <c r="P175" s="2" t="s">
        <v>70</v>
      </c>
      <c r="Q175" s="3"/>
      <c r="R175" s="3"/>
      <c r="S175" s="2" t="s">
        <v>21</v>
      </c>
      <c r="T175" s="4">
        <v>44955</v>
      </c>
      <c r="U175" s="2" t="s">
        <v>2931</v>
      </c>
      <c r="V175" s="6">
        <f>(Real_Sales[[#This Row],[Price_retail]]-Real_Sales[[#This Row],[Price_current]])/Real_Sales[[#This Row],[Price_retail]]</f>
        <v>0</v>
      </c>
      <c r="W175" s="3" t="str" cm="1">
        <f t="array" ref="W17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75" s="2" t="str">
        <f>IF(Real_Sales[[#This Row],[Price_retail]]&gt;$AC$3,"Premium","Average")</f>
        <v>Average</v>
      </c>
      <c r="Y175" s="2" t="str">
        <f>IF(ISNUMBER(SEARCH("Basic",Real_Sales[[#This Row],[Product_name]])),"Yes","No")</f>
        <v>No</v>
      </c>
      <c r="Z175" s="2" cm="1">
        <f t="array" ref="Z175">_xlfn.IFS(Real_Sales[[#This Row],[Price_retail]]&lt;=15,1, Real_Sales[[#This Row],[Price_retail]]&lt;=30,2, Real_Sales[[#This Row],[Price_retail]]&lt;=50,3,Real_Sales[[#This Row],[Price_retail]]&gt;50,4)</f>
        <v>1</v>
      </c>
    </row>
    <row r="176" spans="1:26" x14ac:dyDescent="0.35">
      <c r="A176" s="2" t="s">
        <v>1273</v>
      </c>
      <c r="B176" s="2" t="s">
        <v>1274</v>
      </c>
      <c r="C176" s="2" t="s">
        <v>3412</v>
      </c>
      <c r="D176" s="2" t="s">
        <v>400</v>
      </c>
      <c r="E176" s="2" t="s">
        <v>4</v>
      </c>
      <c r="F176" s="2" t="s">
        <v>5</v>
      </c>
      <c r="G176" s="2" t="s">
        <v>6</v>
      </c>
      <c r="H176" s="2" t="s">
        <v>185</v>
      </c>
      <c r="I176" s="2" t="s">
        <v>3395</v>
      </c>
      <c r="J176" s="3">
        <v>9.6</v>
      </c>
      <c r="K176" s="3">
        <v>7.4</v>
      </c>
      <c r="L176" s="2" t="s">
        <v>8</v>
      </c>
      <c r="M176" s="2" t="s">
        <v>9</v>
      </c>
      <c r="N176" s="3">
        <v>86</v>
      </c>
      <c r="O176" s="2" t="s">
        <v>52</v>
      </c>
      <c r="P176" s="2" t="s">
        <v>128</v>
      </c>
      <c r="Q176" s="3"/>
      <c r="R176" s="3"/>
      <c r="S176" s="2" t="s">
        <v>21</v>
      </c>
      <c r="T176" s="4">
        <v>44955</v>
      </c>
      <c r="U176" s="2" t="s">
        <v>1275</v>
      </c>
      <c r="V176" s="6">
        <f>(Real_Sales[[#This Row],[Price_retail]]-Real_Sales[[#This Row],[Price_current]])/Real_Sales[[#This Row],[Price_retail]]</f>
        <v>0.2291666666666666</v>
      </c>
      <c r="W176" s="3" t="str" cm="1">
        <f t="array" ref="W17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76" s="2" t="str">
        <f>IF(Real_Sales[[#This Row],[Price_retail]]&gt;$AC$3,"Premium","Average")</f>
        <v>Average</v>
      </c>
      <c r="Y176" s="2" t="str">
        <f>IF(ISNUMBER(SEARCH("Basic",Real_Sales[[#This Row],[Product_name]])),"Yes","No")</f>
        <v>No</v>
      </c>
      <c r="Z176" s="2" cm="1">
        <f t="array" ref="Z176">_xlfn.IFS(Real_Sales[[#This Row],[Price_retail]]&lt;=15,1, Real_Sales[[#This Row],[Price_retail]]&lt;=30,2, Real_Sales[[#This Row],[Price_retail]]&lt;=50,3,Real_Sales[[#This Row],[Price_retail]]&gt;50,4)</f>
        <v>1</v>
      </c>
    </row>
    <row r="177" spans="1:26" x14ac:dyDescent="0.35">
      <c r="A177" s="2" t="s">
        <v>548</v>
      </c>
      <c r="B177" s="2" t="s">
        <v>549</v>
      </c>
      <c r="C177" s="2" t="s">
        <v>484</v>
      </c>
      <c r="D177" s="2" t="s">
        <v>196</v>
      </c>
      <c r="E177" s="2" t="s">
        <v>4</v>
      </c>
      <c r="F177" s="2" t="s">
        <v>17</v>
      </c>
      <c r="G177" s="2" t="s">
        <v>67</v>
      </c>
      <c r="H177" s="2" t="s">
        <v>7</v>
      </c>
      <c r="I177" s="2" t="s">
        <v>3390</v>
      </c>
      <c r="J177" s="3">
        <v>9.6199999999999992</v>
      </c>
      <c r="K177" s="3">
        <v>8.1199999999999992</v>
      </c>
      <c r="L177" s="2" t="s">
        <v>8</v>
      </c>
      <c r="M177" s="2" t="s">
        <v>9</v>
      </c>
      <c r="N177" s="3">
        <v>415</v>
      </c>
      <c r="O177" s="2" t="s">
        <v>20</v>
      </c>
      <c r="P177" s="2" t="s">
        <v>238</v>
      </c>
      <c r="Q177" s="3"/>
      <c r="R177" s="3"/>
      <c r="S177" s="2" t="s">
        <v>21</v>
      </c>
      <c r="T177" s="4">
        <v>44955</v>
      </c>
      <c r="U177" s="2" t="s">
        <v>550</v>
      </c>
      <c r="V177" s="6">
        <f>(Real_Sales[[#This Row],[Price_retail]]-Real_Sales[[#This Row],[Price_current]])/Real_Sales[[#This Row],[Price_retail]]</f>
        <v>0.15592515592515593</v>
      </c>
      <c r="W177" s="3" t="str" cm="1">
        <f t="array" ref="W177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177" s="2" t="str">
        <f>IF(Real_Sales[[#This Row],[Price_retail]]&gt;$AC$3,"Premium","Average")</f>
        <v>Average</v>
      </c>
      <c r="Y177" s="2" t="str">
        <f>IF(ISNUMBER(SEARCH("Basic",Real_Sales[[#This Row],[Product_name]])),"Yes","No")</f>
        <v>No</v>
      </c>
      <c r="Z177" s="2" cm="1">
        <f t="array" ref="Z177">_xlfn.IFS(Real_Sales[[#This Row],[Price_retail]]&lt;=15,1, Real_Sales[[#This Row],[Price_retail]]&lt;=30,2, Real_Sales[[#This Row],[Price_retail]]&lt;=50,3,Real_Sales[[#This Row],[Price_retail]]&gt;50,4)</f>
        <v>1</v>
      </c>
    </row>
    <row r="178" spans="1:26" x14ac:dyDescent="0.35">
      <c r="A178" s="2" t="s">
        <v>2462</v>
      </c>
      <c r="B178" s="2" t="s">
        <v>2463</v>
      </c>
      <c r="C178" s="2" t="s">
        <v>246</v>
      </c>
      <c r="D178" s="2" t="s">
        <v>42</v>
      </c>
      <c r="E178" s="2" t="s">
        <v>4</v>
      </c>
      <c r="F178" s="2" t="s">
        <v>5</v>
      </c>
      <c r="G178" s="2" t="s">
        <v>6</v>
      </c>
      <c r="H178" s="2" t="s">
        <v>19</v>
      </c>
      <c r="I178" s="2" t="s">
        <v>3393</v>
      </c>
      <c r="J178" s="3">
        <v>9.64</v>
      </c>
      <c r="K178" s="3">
        <v>9.64</v>
      </c>
      <c r="L178" s="2" t="s">
        <v>3391</v>
      </c>
      <c r="M178" s="2" t="s">
        <v>9</v>
      </c>
      <c r="N178" s="3">
        <v>978</v>
      </c>
      <c r="O178" s="2" t="s">
        <v>104</v>
      </c>
      <c r="P178" s="2" t="s">
        <v>3392</v>
      </c>
      <c r="Q178" s="3"/>
      <c r="R178" s="3"/>
      <c r="S178" s="2" t="s">
        <v>21</v>
      </c>
      <c r="T178" s="4">
        <v>44955</v>
      </c>
      <c r="U178" s="2" t="s">
        <v>2464</v>
      </c>
      <c r="V178" s="6">
        <f>(Real_Sales[[#This Row],[Price_retail]]-Real_Sales[[#This Row],[Price_current]])/Real_Sales[[#This Row],[Price_retail]]</f>
        <v>0</v>
      </c>
      <c r="W178" s="3" t="str" cm="1">
        <f t="array" ref="W1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78" s="2" t="str">
        <f>IF(Real_Sales[[#This Row],[Price_retail]]&gt;$AC$3,"Premium","Average")</f>
        <v>Average</v>
      </c>
      <c r="Y178" s="2" t="str">
        <f>IF(ISNUMBER(SEARCH("Basic",Real_Sales[[#This Row],[Product_name]])),"Yes","No")</f>
        <v>No</v>
      </c>
      <c r="Z178" s="2" cm="1">
        <f t="array" ref="Z178">_xlfn.IFS(Real_Sales[[#This Row],[Price_retail]]&lt;=15,1, Real_Sales[[#This Row],[Price_retail]]&lt;=30,2, Real_Sales[[#This Row],[Price_retail]]&lt;=50,3,Real_Sales[[#This Row],[Price_retail]]&gt;50,4)</f>
        <v>1</v>
      </c>
    </row>
    <row r="179" spans="1:26" x14ac:dyDescent="0.35">
      <c r="A179" s="2" t="s">
        <v>2798</v>
      </c>
      <c r="B179" s="2" t="s">
        <v>2799</v>
      </c>
      <c r="C179" s="2" t="s">
        <v>1154</v>
      </c>
      <c r="D179" s="2" t="s">
        <v>1379</v>
      </c>
      <c r="E179" s="2" t="s">
        <v>4</v>
      </c>
      <c r="F179" s="2" t="s">
        <v>17</v>
      </c>
      <c r="G179" s="2" t="s">
        <v>27</v>
      </c>
      <c r="H179" s="2" t="s">
        <v>28</v>
      </c>
      <c r="I179" s="2" t="s">
        <v>3393</v>
      </c>
      <c r="J179" s="3">
        <v>9.65</v>
      </c>
      <c r="K179" s="3">
        <v>9.65</v>
      </c>
      <c r="L179" s="2" t="s">
        <v>3391</v>
      </c>
      <c r="M179" s="2" t="s">
        <v>9</v>
      </c>
      <c r="N179" s="3">
        <v>504</v>
      </c>
      <c r="O179" s="2" t="s">
        <v>347</v>
      </c>
      <c r="P179" s="2" t="s">
        <v>288</v>
      </c>
      <c r="Q179" s="3"/>
      <c r="R179" s="3"/>
      <c r="S179" s="2" t="s">
        <v>21</v>
      </c>
      <c r="T179" s="4">
        <v>44955</v>
      </c>
      <c r="U179" s="2" t="s">
        <v>2800</v>
      </c>
      <c r="V179" s="6">
        <f>(Real_Sales[[#This Row],[Price_retail]]-Real_Sales[[#This Row],[Price_current]])/Real_Sales[[#This Row],[Price_retail]]</f>
        <v>0</v>
      </c>
      <c r="W179" s="3" t="str" cm="1">
        <f t="array" ref="W1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79" s="2" t="str">
        <f>IF(Real_Sales[[#This Row],[Price_retail]]&gt;$AC$3,"Premium","Average")</f>
        <v>Average</v>
      </c>
      <c r="Y179" s="2" t="str">
        <f>IF(ISNUMBER(SEARCH("Basic",Real_Sales[[#This Row],[Product_name]])),"Yes","No")</f>
        <v>No</v>
      </c>
      <c r="Z179" s="2" cm="1">
        <f t="array" ref="Z179">_xlfn.IFS(Real_Sales[[#This Row],[Price_retail]]&lt;=15,1, Real_Sales[[#This Row],[Price_retail]]&lt;=30,2, Real_Sales[[#This Row],[Price_retail]]&lt;=50,3,Real_Sales[[#This Row],[Price_retail]]&gt;50,4)</f>
        <v>1</v>
      </c>
    </row>
    <row r="180" spans="1:26" x14ac:dyDescent="0.35">
      <c r="A180" s="2" t="s">
        <v>3104</v>
      </c>
      <c r="B180" s="2" t="s">
        <v>3105</v>
      </c>
      <c r="C180" s="2" t="s">
        <v>1747</v>
      </c>
      <c r="D180" s="2" t="s">
        <v>16</v>
      </c>
      <c r="E180" s="2" t="s">
        <v>4</v>
      </c>
      <c r="F180" s="2" t="s">
        <v>17</v>
      </c>
      <c r="G180" s="2" t="s">
        <v>67</v>
      </c>
      <c r="H180" s="2" t="s">
        <v>19</v>
      </c>
      <c r="I180" s="2" t="s">
        <v>3393</v>
      </c>
      <c r="J180" s="3">
        <v>9.66</v>
      </c>
      <c r="K180" s="3">
        <v>7.29</v>
      </c>
      <c r="L180" s="2" t="s">
        <v>8</v>
      </c>
      <c r="M180" s="2" t="s">
        <v>9</v>
      </c>
      <c r="N180" s="3">
        <v>99</v>
      </c>
      <c r="O180" s="2" t="s">
        <v>3392</v>
      </c>
      <c r="P180" s="2" t="s">
        <v>221</v>
      </c>
      <c r="Q180" s="3"/>
      <c r="R180" s="3"/>
      <c r="S180" s="2" t="s">
        <v>21</v>
      </c>
      <c r="T180" s="4">
        <v>44955</v>
      </c>
      <c r="U180" s="2" t="s">
        <v>3106</v>
      </c>
      <c r="V180" s="6">
        <f>(Real_Sales[[#This Row],[Price_retail]]-Real_Sales[[#This Row],[Price_current]])/Real_Sales[[#This Row],[Price_retail]]</f>
        <v>0.24534161490683232</v>
      </c>
      <c r="W180" s="3" t="str" cm="1">
        <f t="array" ref="W18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80" s="2" t="str">
        <f>IF(Real_Sales[[#This Row],[Price_retail]]&gt;$AC$3,"Premium","Average")</f>
        <v>Average</v>
      </c>
      <c r="Y180" s="2" t="str">
        <f>IF(ISNUMBER(SEARCH("Basic",Real_Sales[[#This Row],[Product_name]])),"Yes","No")</f>
        <v>No</v>
      </c>
      <c r="Z180" s="2" cm="1">
        <f t="array" ref="Z180">_xlfn.IFS(Real_Sales[[#This Row],[Price_retail]]&lt;=15,1, Real_Sales[[#This Row],[Price_retail]]&lt;=30,2, Real_Sales[[#This Row],[Price_retail]]&lt;=50,3,Real_Sales[[#This Row],[Price_retail]]&gt;50,4)</f>
        <v>1</v>
      </c>
    </row>
    <row r="181" spans="1:26" x14ac:dyDescent="0.35">
      <c r="A181" s="2" t="s">
        <v>2710</v>
      </c>
      <c r="B181" s="2" t="s">
        <v>2711</v>
      </c>
      <c r="C181" s="2" t="s">
        <v>3433</v>
      </c>
      <c r="D181" s="2" t="s">
        <v>446</v>
      </c>
      <c r="E181" s="2" t="s">
        <v>4</v>
      </c>
      <c r="F181" s="2" t="s">
        <v>17</v>
      </c>
      <c r="G181" s="2" t="s">
        <v>18</v>
      </c>
      <c r="H181" s="2" t="s">
        <v>145</v>
      </c>
      <c r="I181" s="2" t="s">
        <v>3390</v>
      </c>
      <c r="J181" s="3">
        <v>9.67</v>
      </c>
      <c r="K181" s="3">
        <v>6.05</v>
      </c>
      <c r="L181" s="2" t="s">
        <v>8</v>
      </c>
      <c r="M181" s="2" t="s">
        <v>9</v>
      </c>
      <c r="N181" s="3">
        <v>191</v>
      </c>
      <c r="O181" s="2" t="s">
        <v>261</v>
      </c>
      <c r="P181" s="2" t="s">
        <v>76</v>
      </c>
      <c r="Q181" s="3"/>
      <c r="R181" s="3"/>
      <c r="S181" s="2" t="s">
        <v>21</v>
      </c>
      <c r="T181" s="4">
        <v>44955</v>
      </c>
      <c r="U181" s="2" t="s">
        <v>2712</v>
      </c>
      <c r="V181" s="6">
        <f>(Real_Sales[[#This Row],[Price_retail]]-Real_Sales[[#This Row],[Price_current]])/Real_Sales[[#This Row],[Price_retail]]</f>
        <v>0.37435367114788004</v>
      </c>
      <c r="W181" s="3" t="str" cm="1">
        <f t="array" ref="W18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81" s="2" t="str">
        <f>IF(Real_Sales[[#This Row],[Price_retail]]&gt;$AC$3,"Premium","Average")</f>
        <v>Average</v>
      </c>
      <c r="Y181" s="2" t="str">
        <f>IF(ISNUMBER(SEARCH("Basic",Real_Sales[[#This Row],[Product_name]])),"Yes","No")</f>
        <v>Yes</v>
      </c>
      <c r="Z181" s="2" cm="1">
        <f t="array" ref="Z181">_xlfn.IFS(Real_Sales[[#This Row],[Price_retail]]&lt;=15,1, Real_Sales[[#This Row],[Price_retail]]&lt;=30,2, Real_Sales[[#This Row],[Price_retail]]&lt;=50,3,Real_Sales[[#This Row],[Price_retail]]&gt;50,4)</f>
        <v>1</v>
      </c>
    </row>
    <row r="182" spans="1:26" x14ac:dyDescent="0.35">
      <c r="A182" s="2" t="s">
        <v>1344</v>
      </c>
      <c r="B182" s="2" t="s">
        <v>1345</v>
      </c>
      <c r="C182" s="2" t="s">
        <v>721</v>
      </c>
      <c r="D182" s="2" t="s">
        <v>1091</v>
      </c>
      <c r="E182" s="2" t="s">
        <v>4</v>
      </c>
      <c r="F182" s="2" t="s">
        <v>17</v>
      </c>
      <c r="G182" s="2" t="s">
        <v>27</v>
      </c>
      <c r="H182" s="2" t="s">
        <v>7</v>
      </c>
      <c r="I182" s="2" t="s">
        <v>3390</v>
      </c>
      <c r="J182" s="3">
        <v>9.67</v>
      </c>
      <c r="K182" s="3">
        <v>9.67</v>
      </c>
      <c r="L182" s="2" t="s">
        <v>3391</v>
      </c>
      <c r="M182" s="2" t="s">
        <v>9</v>
      </c>
      <c r="N182" s="3">
        <v>982</v>
      </c>
      <c r="O182" s="2" t="s">
        <v>347</v>
      </c>
      <c r="P182" s="2" t="s">
        <v>84</v>
      </c>
      <c r="Q182" s="3"/>
      <c r="R182" s="3"/>
      <c r="S182" s="2" t="s">
        <v>12</v>
      </c>
      <c r="T182" s="4">
        <v>44955</v>
      </c>
      <c r="U182" s="2" t="s">
        <v>1346</v>
      </c>
      <c r="V182" s="6">
        <f>(Real_Sales[[#This Row],[Price_retail]]-Real_Sales[[#This Row],[Price_current]])/Real_Sales[[#This Row],[Price_retail]]</f>
        <v>0</v>
      </c>
      <c r="W182" s="3" t="str" cm="1">
        <f t="array" ref="W1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82" s="2" t="str">
        <f>IF(Real_Sales[[#This Row],[Price_retail]]&gt;$AC$3,"Premium","Average")</f>
        <v>Average</v>
      </c>
      <c r="Y182" s="2" t="str">
        <f>IF(ISNUMBER(SEARCH("Basic",Real_Sales[[#This Row],[Product_name]])),"Yes","No")</f>
        <v>No</v>
      </c>
      <c r="Z182" s="2" cm="1">
        <f t="array" ref="Z182">_xlfn.IFS(Real_Sales[[#This Row],[Price_retail]]&lt;=15,1, Real_Sales[[#This Row],[Price_retail]]&lt;=30,2, Real_Sales[[#This Row],[Price_retail]]&lt;=50,3,Real_Sales[[#This Row],[Price_retail]]&gt;50,4)</f>
        <v>1</v>
      </c>
    </row>
    <row r="183" spans="1:26" x14ac:dyDescent="0.35">
      <c r="A183" s="2" t="s">
        <v>304</v>
      </c>
      <c r="B183" s="2" t="s">
        <v>305</v>
      </c>
      <c r="C183" s="2" t="s">
        <v>306</v>
      </c>
      <c r="D183" s="2" t="s">
        <v>307</v>
      </c>
      <c r="E183" s="2" t="s">
        <v>4</v>
      </c>
      <c r="F183" s="2" t="s">
        <v>5</v>
      </c>
      <c r="G183" s="2" t="s">
        <v>6</v>
      </c>
      <c r="H183" s="2" t="s">
        <v>83</v>
      </c>
      <c r="I183" s="2" t="s">
        <v>3393</v>
      </c>
      <c r="J183" s="3">
        <v>9.6999999999999993</v>
      </c>
      <c r="K183" s="3">
        <v>4.88</v>
      </c>
      <c r="L183" s="2" t="s">
        <v>8</v>
      </c>
      <c r="M183" s="2" t="s">
        <v>9</v>
      </c>
      <c r="N183" s="3">
        <v>228</v>
      </c>
      <c r="O183" s="2" t="s">
        <v>91</v>
      </c>
      <c r="P183" s="2" t="s">
        <v>238</v>
      </c>
      <c r="Q183" s="3"/>
      <c r="R183" s="3"/>
      <c r="S183" s="2" t="s">
        <v>21</v>
      </c>
      <c r="T183" s="4">
        <v>44955</v>
      </c>
      <c r="U183" s="2" t="s">
        <v>308</v>
      </c>
      <c r="V183" s="6">
        <f>(Real_Sales[[#This Row],[Price_retail]]-Real_Sales[[#This Row],[Price_current]])/Real_Sales[[#This Row],[Price_retail]]</f>
        <v>0.49690721649484532</v>
      </c>
      <c r="W183" s="3" t="str" cm="1">
        <f t="array" ref="W18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83" s="2" t="str">
        <f>IF(Real_Sales[[#This Row],[Price_retail]]&gt;$AC$3,"Premium","Average")</f>
        <v>Average</v>
      </c>
      <c r="Y183" s="2" t="str">
        <f>IF(ISNUMBER(SEARCH("Basic",Real_Sales[[#This Row],[Product_name]])),"Yes","No")</f>
        <v>Yes</v>
      </c>
      <c r="Z183" s="2" cm="1">
        <f t="array" ref="Z183">_xlfn.IFS(Real_Sales[[#This Row],[Price_retail]]&lt;=15,1, Real_Sales[[#This Row],[Price_retail]]&lt;=30,2, Real_Sales[[#This Row],[Price_retail]]&lt;=50,3,Real_Sales[[#This Row],[Price_retail]]&gt;50,4)</f>
        <v>1</v>
      </c>
    </row>
    <row r="184" spans="1:26" x14ac:dyDescent="0.35">
      <c r="A184" s="2" t="s">
        <v>2459</v>
      </c>
      <c r="B184" s="2" t="s">
        <v>2460</v>
      </c>
      <c r="C184" s="2" t="s">
        <v>318</v>
      </c>
      <c r="D184" s="2" t="s">
        <v>729</v>
      </c>
      <c r="E184" s="2" t="s">
        <v>4</v>
      </c>
      <c r="F184" s="2" t="s">
        <v>17</v>
      </c>
      <c r="G184" s="2" t="s">
        <v>18</v>
      </c>
      <c r="H184" s="2" t="s">
        <v>168</v>
      </c>
      <c r="I184" s="2" t="s">
        <v>3390</v>
      </c>
      <c r="J184" s="3">
        <v>9.74</v>
      </c>
      <c r="K184" s="3">
        <v>6.13</v>
      </c>
      <c r="L184" s="2" t="s">
        <v>8</v>
      </c>
      <c r="M184" s="2" t="s">
        <v>9</v>
      </c>
      <c r="N184" s="3">
        <v>626</v>
      </c>
      <c r="O184" s="2" t="s">
        <v>3392</v>
      </c>
      <c r="P184" s="2" t="s">
        <v>53</v>
      </c>
      <c r="Q184" s="3"/>
      <c r="R184" s="3"/>
      <c r="S184" s="2" t="s">
        <v>21</v>
      </c>
      <c r="T184" s="4">
        <v>44955</v>
      </c>
      <c r="U184" s="2" t="s">
        <v>2461</v>
      </c>
      <c r="V184" s="6">
        <f>(Real_Sales[[#This Row],[Price_retail]]-Real_Sales[[#This Row],[Price_current]])/Real_Sales[[#This Row],[Price_retail]]</f>
        <v>0.37063655030800824</v>
      </c>
      <c r="W184" s="3" t="str" cm="1">
        <f t="array" ref="W18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84" s="2" t="str">
        <f>IF(Real_Sales[[#This Row],[Price_retail]]&gt;$AC$3,"Premium","Average")</f>
        <v>Average</v>
      </c>
      <c r="Y184" s="2" t="str">
        <f>IF(ISNUMBER(SEARCH("Basic",Real_Sales[[#This Row],[Product_name]])),"Yes","No")</f>
        <v>No</v>
      </c>
      <c r="Z184" s="2" cm="1">
        <f t="array" ref="Z184">_xlfn.IFS(Real_Sales[[#This Row],[Price_retail]]&lt;=15,1, Real_Sales[[#This Row],[Price_retail]]&lt;=30,2, Real_Sales[[#This Row],[Price_retail]]&lt;=50,3,Real_Sales[[#This Row],[Price_retail]]&gt;50,4)</f>
        <v>1</v>
      </c>
    </row>
    <row r="185" spans="1:26" x14ac:dyDescent="0.35">
      <c r="A185" s="2" t="s">
        <v>3191</v>
      </c>
      <c r="B185" s="2" t="s">
        <v>3192</v>
      </c>
      <c r="C185" s="2" t="s">
        <v>65</v>
      </c>
      <c r="D185" s="2" t="s">
        <v>1161</v>
      </c>
      <c r="E185" s="2" t="s">
        <v>4</v>
      </c>
      <c r="F185" s="2" t="s">
        <v>17</v>
      </c>
      <c r="G185" s="2" t="s">
        <v>50</v>
      </c>
      <c r="H185" s="2" t="s">
        <v>28</v>
      </c>
      <c r="I185" s="2" t="s">
        <v>3395</v>
      </c>
      <c r="J185" s="3">
        <v>9.74</v>
      </c>
      <c r="K185" s="3">
        <v>9.74</v>
      </c>
      <c r="L185" s="2" t="s">
        <v>3391</v>
      </c>
      <c r="M185" s="2" t="s">
        <v>9</v>
      </c>
      <c r="N185" s="3">
        <v>82</v>
      </c>
      <c r="O185" s="2" t="s">
        <v>98</v>
      </c>
      <c r="P185" s="2" t="s">
        <v>44</v>
      </c>
      <c r="Q185" s="3"/>
      <c r="R185" s="3"/>
      <c r="S185" s="2" t="s">
        <v>12</v>
      </c>
      <c r="T185" s="4">
        <v>44955</v>
      </c>
      <c r="U185" s="2" t="s">
        <v>3193</v>
      </c>
      <c r="V185" s="6">
        <f>(Real_Sales[[#This Row],[Price_retail]]-Real_Sales[[#This Row],[Price_current]])/Real_Sales[[#This Row],[Price_retail]]</f>
        <v>0</v>
      </c>
      <c r="W185" s="3" t="str" cm="1">
        <f t="array" ref="W18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85" s="2" t="str">
        <f>IF(Real_Sales[[#This Row],[Price_retail]]&gt;$AC$3,"Premium","Average")</f>
        <v>Average</v>
      </c>
      <c r="Y185" s="2" t="str">
        <f>IF(ISNUMBER(SEARCH("Basic",Real_Sales[[#This Row],[Product_name]])),"Yes","No")</f>
        <v>Yes</v>
      </c>
      <c r="Z185" s="2" cm="1">
        <f t="array" ref="Z185">_xlfn.IFS(Real_Sales[[#This Row],[Price_retail]]&lt;=15,1, Real_Sales[[#This Row],[Price_retail]]&lt;=30,2, Real_Sales[[#This Row],[Price_retail]]&lt;=50,3,Real_Sales[[#This Row],[Price_retail]]&gt;50,4)</f>
        <v>1</v>
      </c>
    </row>
    <row r="186" spans="1:26" x14ac:dyDescent="0.35">
      <c r="A186" s="2" t="s">
        <v>2599</v>
      </c>
      <c r="B186" s="2" t="s">
        <v>2600</v>
      </c>
      <c r="C186" s="2" t="s">
        <v>1421</v>
      </c>
      <c r="D186" s="2" t="s">
        <v>1184</v>
      </c>
      <c r="E186" s="2" t="s">
        <v>4</v>
      </c>
      <c r="F186" s="2" t="s">
        <v>17</v>
      </c>
      <c r="G186" s="2" t="s">
        <v>27</v>
      </c>
      <c r="H186" s="2" t="s">
        <v>90</v>
      </c>
      <c r="I186" s="2" t="s">
        <v>3393</v>
      </c>
      <c r="J186" s="3">
        <v>9.75</v>
      </c>
      <c r="K186" s="3">
        <v>9.75</v>
      </c>
      <c r="L186" s="2" t="s">
        <v>248</v>
      </c>
      <c r="M186" s="2" t="s">
        <v>9</v>
      </c>
      <c r="N186" s="3">
        <v>192</v>
      </c>
      <c r="O186" s="2" t="s">
        <v>52</v>
      </c>
      <c r="P186" s="2" t="s">
        <v>192</v>
      </c>
      <c r="Q186" s="3"/>
      <c r="R186" s="3"/>
      <c r="S186" s="2" t="s">
        <v>12</v>
      </c>
      <c r="T186" s="4">
        <v>44955</v>
      </c>
      <c r="U186" s="2" t="s">
        <v>2601</v>
      </c>
      <c r="V186" s="6">
        <f>(Real_Sales[[#This Row],[Price_retail]]-Real_Sales[[#This Row],[Price_current]])/Real_Sales[[#This Row],[Price_retail]]</f>
        <v>0</v>
      </c>
      <c r="W186" s="3" t="str" cm="1">
        <f t="array" ref="W18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86" s="2" t="str">
        <f>IF(Real_Sales[[#This Row],[Price_retail]]&gt;$AC$3,"Premium","Average")</f>
        <v>Average</v>
      </c>
      <c r="Y186" s="2" t="str">
        <f>IF(ISNUMBER(SEARCH("Basic",Real_Sales[[#This Row],[Product_name]])),"Yes","No")</f>
        <v>No</v>
      </c>
      <c r="Z186" s="2" cm="1">
        <f t="array" ref="Z186">_xlfn.IFS(Real_Sales[[#This Row],[Price_retail]]&lt;=15,1, Real_Sales[[#This Row],[Price_retail]]&lt;=30,2, Real_Sales[[#This Row],[Price_retail]]&lt;=50,3,Real_Sales[[#This Row],[Price_retail]]&gt;50,4)</f>
        <v>1</v>
      </c>
    </row>
    <row r="187" spans="1:26" x14ac:dyDescent="0.35">
      <c r="A187" s="2" t="s">
        <v>1808</v>
      </c>
      <c r="B187" s="2" t="s">
        <v>1809</v>
      </c>
      <c r="C187" s="2" t="s">
        <v>88</v>
      </c>
      <c r="D187" s="2" t="s">
        <v>1598</v>
      </c>
      <c r="E187" s="2" t="s">
        <v>4</v>
      </c>
      <c r="F187" s="2" t="s">
        <v>5</v>
      </c>
      <c r="G187" s="2" t="s">
        <v>6</v>
      </c>
      <c r="H187" s="2" t="s">
        <v>418</v>
      </c>
      <c r="I187" s="2" t="s">
        <v>3395</v>
      </c>
      <c r="J187" s="3">
        <v>9.76</v>
      </c>
      <c r="K187" s="3">
        <v>9.76</v>
      </c>
      <c r="L187" s="2" t="s">
        <v>3391</v>
      </c>
      <c r="M187" s="2" t="s">
        <v>9</v>
      </c>
      <c r="N187" s="3">
        <v>121</v>
      </c>
      <c r="O187" s="2" t="s">
        <v>98</v>
      </c>
      <c r="P187" s="2" t="s">
        <v>3392</v>
      </c>
      <c r="Q187" s="3"/>
      <c r="R187" s="3"/>
      <c r="S187" s="2" t="s">
        <v>12</v>
      </c>
      <c r="T187" s="4">
        <v>44955</v>
      </c>
      <c r="U187" s="2" t="s">
        <v>1810</v>
      </c>
      <c r="V187" s="6">
        <f>(Real_Sales[[#This Row],[Price_retail]]-Real_Sales[[#This Row],[Price_current]])/Real_Sales[[#This Row],[Price_retail]]</f>
        <v>0</v>
      </c>
      <c r="W187" s="3" t="str" cm="1">
        <f t="array" ref="W18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87" s="2" t="str">
        <f>IF(Real_Sales[[#This Row],[Price_retail]]&gt;$AC$3,"Premium","Average")</f>
        <v>Average</v>
      </c>
      <c r="Y187" s="2" t="str">
        <f>IF(ISNUMBER(SEARCH("Basic",Real_Sales[[#This Row],[Product_name]])),"Yes","No")</f>
        <v>No</v>
      </c>
      <c r="Z187" s="2" cm="1">
        <f t="array" ref="Z187">_xlfn.IFS(Real_Sales[[#This Row],[Price_retail]]&lt;=15,1, Real_Sales[[#This Row],[Price_retail]]&lt;=30,2, Real_Sales[[#This Row],[Price_retail]]&lt;=50,3,Real_Sales[[#This Row],[Price_retail]]&gt;50,4)</f>
        <v>1</v>
      </c>
    </row>
    <row r="188" spans="1:26" x14ac:dyDescent="0.35">
      <c r="A188" s="2" t="s">
        <v>2644</v>
      </c>
      <c r="B188" s="2" t="s">
        <v>2645</v>
      </c>
      <c r="C188" s="2" t="s">
        <v>1839</v>
      </c>
      <c r="D188" s="2" t="s">
        <v>319</v>
      </c>
      <c r="E188" s="2" t="s">
        <v>4</v>
      </c>
      <c r="F188" s="2" t="s">
        <v>5</v>
      </c>
      <c r="G188" s="2" t="s">
        <v>121</v>
      </c>
      <c r="H188" s="2" t="s">
        <v>90</v>
      </c>
      <c r="I188" s="2" t="s">
        <v>3390</v>
      </c>
      <c r="J188" s="3">
        <v>9.76</v>
      </c>
      <c r="K188" s="3">
        <v>9.76</v>
      </c>
      <c r="L188" s="2" t="s">
        <v>3391</v>
      </c>
      <c r="M188" s="2" t="s">
        <v>9</v>
      </c>
      <c r="N188" s="3">
        <v>73</v>
      </c>
      <c r="O188" s="2" t="s">
        <v>140</v>
      </c>
      <c r="P188" s="2" t="s">
        <v>44</v>
      </c>
      <c r="Q188" s="3"/>
      <c r="R188" s="3"/>
      <c r="S188" s="2" t="s">
        <v>21</v>
      </c>
      <c r="T188" s="4">
        <v>44955</v>
      </c>
      <c r="U188" s="2" t="s">
        <v>2646</v>
      </c>
      <c r="V188" s="6">
        <f>(Real_Sales[[#This Row],[Price_retail]]-Real_Sales[[#This Row],[Price_current]])/Real_Sales[[#This Row],[Price_retail]]</f>
        <v>0</v>
      </c>
      <c r="W188" s="3" t="str" cm="1">
        <f t="array" ref="W18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88" s="2" t="str">
        <f>IF(Real_Sales[[#This Row],[Price_retail]]&gt;$AC$3,"Premium","Average")</f>
        <v>Average</v>
      </c>
      <c r="Y188" s="2" t="str">
        <f>IF(ISNUMBER(SEARCH("Basic",Real_Sales[[#This Row],[Product_name]])),"Yes","No")</f>
        <v>No</v>
      </c>
      <c r="Z188" s="2" cm="1">
        <f t="array" ref="Z188">_xlfn.IFS(Real_Sales[[#This Row],[Price_retail]]&lt;=15,1, Real_Sales[[#This Row],[Price_retail]]&lt;=30,2, Real_Sales[[#This Row],[Price_retail]]&lt;=50,3,Real_Sales[[#This Row],[Price_retail]]&gt;50,4)</f>
        <v>1</v>
      </c>
    </row>
    <row r="189" spans="1:26" x14ac:dyDescent="0.35">
      <c r="A189" s="2" t="s">
        <v>2629</v>
      </c>
      <c r="B189" s="2" t="s">
        <v>2630</v>
      </c>
      <c r="C189" s="2" t="s">
        <v>1822</v>
      </c>
      <c r="D189" s="2" t="s">
        <v>1285</v>
      </c>
      <c r="E189" s="2" t="s">
        <v>4</v>
      </c>
      <c r="F189" s="2" t="s">
        <v>17</v>
      </c>
      <c r="G189" s="2" t="s">
        <v>18</v>
      </c>
      <c r="H189" s="2" t="s">
        <v>134</v>
      </c>
      <c r="I189" s="2" t="s">
        <v>3393</v>
      </c>
      <c r="J189" s="3">
        <v>9.77</v>
      </c>
      <c r="K189" s="3">
        <v>6.16</v>
      </c>
      <c r="L189" s="2" t="s">
        <v>8</v>
      </c>
      <c r="M189" s="2" t="s">
        <v>9</v>
      </c>
      <c r="N189" s="3">
        <v>308</v>
      </c>
      <c r="O189" s="2" t="s">
        <v>52</v>
      </c>
      <c r="P189" s="2" t="s">
        <v>221</v>
      </c>
      <c r="Q189" s="3"/>
      <c r="R189" s="3"/>
      <c r="S189" s="2" t="s">
        <v>21</v>
      </c>
      <c r="T189" s="4">
        <v>44955</v>
      </c>
      <c r="U189" s="2" t="s">
        <v>2631</v>
      </c>
      <c r="V189" s="6">
        <f>(Real_Sales[[#This Row],[Price_retail]]-Real_Sales[[#This Row],[Price_current]])/Real_Sales[[#This Row],[Price_retail]]</f>
        <v>0.36949846468781983</v>
      </c>
      <c r="W189" s="3" t="str" cm="1">
        <f t="array" ref="W18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89" s="2" t="str">
        <f>IF(Real_Sales[[#This Row],[Price_retail]]&gt;$AC$3,"Premium","Average")</f>
        <v>Average</v>
      </c>
      <c r="Y189" s="2" t="str">
        <f>IF(ISNUMBER(SEARCH("Basic",Real_Sales[[#This Row],[Product_name]])),"Yes","No")</f>
        <v>Yes</v>
      </c>
      <c r="Z189" s="2" cm="1">
        <f t="array" ref="Z189">_xlfn.IFS(Real_Sales[[#This Row],[Price_retail]]&lt;=15,1, Real_Sales[[#This Row],[Price_retail]]&lt;=30,2, Real_Sales[[#This Row],[Price_retail]]&lt;=50,3,Real_Sales[[#This Row],[Price_retail]]&gt;50,4)</f>
        <v>1</v>
      </c>
    </row>
    <row r="190" spans="1:26" x14ac:dyDescent="0.35">
      <c r="A190" s="2" t="s">
        <v>2450</v>
      </c>
      <c r="B190" s="2" t="s">
        <v>2451</v>
      </c>
      <c r="C190" s="2" t="s">
        <v>721</v>
      </c>
      <c r="D190" s="2" t="s">
        <v>1060</v>
      </c>
      <c r="E190" s="2" t="s">
        <v>4</v>
      </c>
      <c r="F190" s="2" t="s">
        <v>17</v>
      </c>
      <c r="G190" s="2" t="s">
        <v>27</v>
      </c>
      <c r="H190" s="2" t="s">
        <v>418</v>
      </c>
      <c r="I190" s="2" t="s">
        <v>3390</v>
      </c>
      <c r="J190" s="3">
        <v>9.81</v>
      </c>
      <c r="K190" s="3">
        <v>5.86</v>
      </c>
      <c r="L190" s="2" t="s">
        <v>8</v>
      </c>
      <c r="M190" s="2" t="s">
        <v>9</v>
      </c>
      <c r="N190" s="3">
        <v>210</v>
      </c>
      <c r="O190" s="2" t="s">
        <v>75</v>
      </c>
      <c r="P190" s="2" t="s">
        <v>30</v>
      </c>
      <c r="Q190" s="3"/>
      <c r="R190" s="3"/>
      <c r="S190" s="2" t="s">
        <v>12</v>
      </c>
      <c r="T190" s="4">
        <v>44955</v>
      </c>
      <c r="U190" s="2" t="s">
        <v>2452</v>
      </c>
      <c r="V190" s="6">
        <f>(Real_Sales[[#This Row],[Price_retail]]-Real_Sales[[#This Row],[Price_current]])/Real_Sales[[#This Row],[Price_retail]]</f>
        <v>0.40265035677879712</v>
      </c>
      <c r="W190" s="3" t="str" cm="1">
        <f t="array" ref="W19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90" s="2" t="str">
        <f>IF(Real_Sales[[#This Row],[Price_retail]]&gt;$AC$3,"Premium","Average")</f>
        <v>Average</v>
      </c>
      <c r="Y190" s="2" t="str">
        <f>IF(ISNUMBER(SEARCH("Basic",Real_Sales[[#This Row],[Product_name]])),"Yes","No")</f>
        <v>No</v>
      </c>
      <c r="Z190" s="2" cm="1">
        <f t="array" ref="Z190">_xlfn.IFS(Real_Sales[[#This Row],[Price_retail]]&lt;=15,1, Real_Sales[[#This Row],[Price_retail]]&lt;=30,2, Real_Sales[[#This Row],[Price_retail]]&lt;=50,3,Real_Sales[[#This Row],[Price_retail]]&gt;50,4)</f>
        <v>1</v>
      </c>
    </row>
    <row r="191" spans="1:26" x14ac:dyDescent="0.35">
      <c r="A191" s="2" t="s">
        <v>2956</v>
      </c>
      <c r="B191" s="2" t="s">
        <v>2957</v>
      </c>
      <c r="C191" s="2" t="s">
        <v>219</v>
      </c>
      <c r="D191" s="2" t="s">
        <v>417</v>
      </c>
      <c r="E191" s="2" t="s">
        <v>4</v>
      </c>
      <c r="F191" s="2" t="s">
        <v>17</v>
      </c>
      <c r="G191" s="2" t="s">
        <v>67</v>
      </c>
      <c r="H191" s="2" t="s">
        <v>418</v>
      </c>
      <c r="I191" s="2" t="s">
        <v>3393</v>
      </c>
      <c r="J191" s="3">
        <v>9.8699999999999992</v>
      </c>
      <c r="K191" s="3">
        <v>9.8699999999999992</v>
      </c>
      <c r="L191" s="2" t="s">
        <v>3391</v>
      </c>
      <c r="M191" s="2" t="s">
        <v>9</v>
      </c>
      <c r="N191" s="3">
        <v>471</v>
      </c>
      <c r="O191" s="2" t="s">
        <v>191</v>
      </c>
      <c r="P191" s="2" t="s">
        <v>629</v>
      </c>
      <c r="Q191" s="3"/>
      <c r="R191" s="3"/>
      <c r="S191" s="2" t="s">
        <v>21</v>
      </c>
      <c r="T191" s="4">
        <v>44955</v>
      </c>
      <c r="U191" s="2" t="s">
        <v>2958</v>
      </c>
      <c r="V191" s="6">
        <f>(Real_Sales[[#This Row],[Price_retail]]-Real_Sales[[#This Row],[Price_current]])/Real_Sales[[#This Row],[Price_retail]]</f>
        <v>0</v>
      </c>
      <c r="W191" s="3" t="str" cm="1">
        <f t="array" ref="W19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1" s="2" t="str">
        <f>IF(Real_Sales[[#This Row],[Price_retail]]&gt;$AC$3,"Premium","Average")</f>
        <v>Average</v>
      </c>
      <c r="Y191" s="2" t="str">
        <f>IF(ISNUMBER(SEARCH("Basic",Real_Sales[[#This Row],[Product_name]])),"Yes","No")</f>
        <v>Yes</v>
      </c>
      <c r="Z191" s="2" cm="1">
        <f t="array" ref="Z191">_xlfn.IFS(Real_Sales[[#This Row],[Price_retail]]&lt;=15,1, Real_Sales[[#This Row],[Price_retail]]&lt;=30,2, Real_Sales[[#This Row],[Price_retail]]&lt;=50,3,Real_Sales[[#This Row],[Price_retail]]&gt;50,4)</f>
        <v>1</v>
      </c>
    </row>
    <row r="192" spans="1:26" x14ac:dyDescent="0.35">
      <c r="A192" s="2" t="s">
        <v>1721</v>
      </c>
      <c r="B192" s="2" t="s">
        <v>1722</v>
      </c>
      <c r="C192" s="2" t="s">
        <v>200</v>
      </c>
      <c r="D192" s="2" t="s">
        <v>1723</v>
      </c>
      <c r="E192" s="2" t="s">
        <v>4</v>
      </c>
      <c r="F192" s="2" t="s">
        <v>17</v>
      </c>
      <c r="G192" s="2" t="s">
        <v>50</v>
      </c>
      <c r="H192" s="2" t="s">
        <v>139</v>
      </c>
      <c r="I192" s="2" t="s">
        <v>3393</v>
      </c>
      <c r="J192" s="3">
        <v>9.92</v>
      </c>
      <c r="K192" s="3">
        <v>9.92</v>
      </c>
      <c r="L192" s="2" t="s">
        <v>3391</v>
      </c>
      <c r="M192" s="2" t="s">
        <v>9</v>
      </c>
      <c r="N192" s="3">
        <v>234</v>
      </c>
      <c r="O192" s="2" t="s">
        <v>3392</v>
      </c>
      <c r="P192" s="2" t="s">
        <v>44</v>
      </c>
      <c r="Q192" s="3"/>
      <c r="R192" s="3"/>
      <c r="S192" s="2" t="s">
        <v>21</v>
      </c>
      <c r="T192" s="4">
        <v>44955</v>
      </c>
      <c r="U192" s="2" t="s">
        <v>1724</v>
      </c>
      <c r="V192" s="6">
        <f>(Real_Sales[[#This Row],[Price_retail]]-Real_Sales[[#This Row],[Price_current]])/Real_Sales[[#This Row],[Price_retail]]</f>
        <v>0</v>
      </c>
      <c r="W192" s="3" t="str" cm="1">
        <f t="array" ref="W1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2" s="2" t="str">
        <f>IF(Real_Sales[[#This Row],[Price_retail]]&gt;$AC$3,"Premium","Average")</f>
        <v>Average</v>
      </c>
      <c r="Y192" s="2" t="str">
        <f>IF(ISNUMBER(SEARCH("Basic",Real_Sales[[#This Row],[Product_name]])),"Yes","No")</f>
        <v>No</v>
      </c>
      <c r="Z192" s="2" cm="1">
        <f t="array" ref="Z192">_xlfn.IFS(Real_Sales[[#This Row],[Price_retail]]&lt;=15,1, Real_Sales[[#This Row],[Price_retail]]&lt;=30,2, Real_Sales[[#This Row],[Price_retail]]&lt;=50,3,Real_Sales[[#This Row],[Price_retail]]&gt;50,4)</f>
        <v>1</v>
      </c>
    </row>
    <row r="193" spans="1:26" x14ac:dyDescent="0.35">
      <c r="A193" s="2" t="s">
        <v>2562</v>
      </c>
      <c r="B193" s="2" t="s">
        <v>2563</v>
      </c>
      <c r="C193" s="2" t="s">
        <v>1888</v>
      </c>
      <c r="D193" s="2" t="s">
        <v>490</v>
      </c>
      <c r="E193" s="2" t="s">
        <v>4</v>
      </c>
      <c r="F193" s="2" t="s">
        <v>17</v>
      </c>
      <c r="G193" s="2" t="s">
        <v>67</v>
      </c>
      <c r="H193" s="2" t="s">
        <v>185</v>
      </c>
      <c r="I193" s="2" t="s">
        <v>3395</v>
      </c>
      <c r="J193" s="3">
        <v>9.92</v>
      </c>
      <c r="K193" s="3">
        <v>9.92</v>
      </c>
      <c r="L193" s="2" t="s">
        <v>3391</v>
      </c>
      <c r="M193" s="2" t="s">
        <v>9</v>
      </c>
      <c r="N193" s="3">
        <v>270</v>
      </c>
      <c r="O193" s="2" t="s">
        <v>98</v>
      </c>
      <c r="P193" s="2" t="s">
        <v>215</v>
      </c>
      <c r="Q193" s="3"/>
      <c r="R193" s="3"/>
      <c r="S193" s="2" t="s">
        <v>21</v>
      </c>
      <c r="T193" s="4">
        <v>44955</v>
      </c>
      <c r="U193" s="2" t="s">
        <v>2564</v>
      </c>
      <c r="V193" s="6">
        <f>(Real_Sales[[#This Row],[Price_retail]]-Real_Sales[[#This Row],[Price_current]])/Real_Sales[[#This Row],[Price_retail]]</f>
        <v>0</v>
      </c>
      <c r="W193" s="3" t="str" cm="1">
        <f t="array" ref="W19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3" s="2" t="str">
        <f>IF(Real_Sales[[#This Row],[Price_retail]]&gt;$AC$3,"Premium","Average")</f>
        <v>Average</v>
      </c>
      <c r="Y193" s="2" t="str">
        <f>IF(ISNUMBER(SEARCH("Basic",Real_Sales[[#This Row],[Product_name]])),"Yes","No")</f>
        <v>No</v>
      </c>
      <c r="Z193" s="2" cm="1">
        <f t="array" ref="Z193">_xlfn.IFS(Real_Sales[[#This Row],[Price_retail]]&lt;=15,1, Real_Sales[[#This Row],[Price_retail]]&lt;=30,2, Real_Sales[[#This Row],[Price_retail]]&lt;=50,3,Real_Sales[[#This Row],[Price_retail]]&gt;50,4)</f>
        <v>1</v>
      </c>
    </row>
    <row r="194" spans="1:26" x14ac:dyDescent="0.35">
      <c r="A194" s="2" t="s">
        <v>1981</v>
      </c>
      <c r="B194" s="2" t="s">
        <v>1982</v>
      </c>
      <c r="C194" s="2" t="s">
        <v>242</v>
      </c>
      <c r="D194" s="2" t="s">
        <v>1206</v>
      </c>
      <c r="E194" s="2" t="s">
        <v>4</v>
      </c>
      <c r="F194" s="2" t="s">
        <v>17</v>
      </c>
      <c r="G194" s="2" t="s">
        <v>18</v>
      </c>
      <c r="H194" s="2" t="s">
        <v>418</v>
      </c>
      <c r="I194" s="2" t="s">
        <v>3390</v>
      </c>
      <c r="J194" s="3">
        <v>9.94</v>
      </c>
      <c r="K194" s="3">
        <v>9.94</v>
      </c>
      <c r="L194" s="2" t="s">
        <v>3391</v>
      </c>
      <c r="M194" s="2" t="s">
        <v>9</v>
      </c>
      <c r="N194" s="3">
        <v>61</v>
      </c>
      <c r="O194" s="2" t="s">
        <v>347</v>
      </c>
      <c r="P194" s="2" t="s">
        <v>37</v>
      </c>
      <c r="Q194" s="3"/>
      <c r="R194" s="3"/>
      <c r="S194" s="2" t="s">
        <v>12</v>
      </c>
      <c r="T194" s="4">
        <v>44955</v>
      </c>
      <c r="U194" s="2" t="s">
        <v>1983</v>
      </c>
      <c r="V194" s="6">
        <f>(Real_Sales[[#This Row],[Price_retail]]-Real_Sales[[#This Row],[Price_current]])/Real_Sales[[#This Row],[Price_retail]]</f>
        <v>0</v>
      </c>
      <c r="W194" s="3" t="str" cm="1">
        <f t="array" ref="W1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4" s="2" t="str">
        <f>IF(Real_Sales[[#This Row],[Price_retail]]&gt;$AC$3,"Premium","Average")</f>
        <v>Average</v>
      </c>
      <c r="Y194" s="2" t="str">
        <f>IF(ISNUMBER(SEARCH("Basic",Real_Sales[[#This Row],[Product_name]])),"Yes","No")</f>
        <v>No</v>
      </c>
      <c r="Z194" s="2" cm="1">
        <f t="array" ref="Z194">_xlfn.IFS(Real_Sales[[#This Row],[Price_retail]]&lt;=15,1, Real_Sales[[#This Row],[Price_retail]]&lt;=30,2, Real_Sales[[#This Row],[Price_retail]]&lt;=50,3,Real_Sales[[#This Row],[Price_retail]]&gt;50,4)</f>
        <v>1</v>
      </c>
    </row>
    <row r="195" spans="1:26" x14ac:dyDescent="0.35">
      <c r="A195" s="2" t="s">
        <v>2764</v>
      </c>
      <c r="B195" s="2" t="s">
        <v>2765</v>
      </c>
      <c r="C195" s="2" t="s">
        <v>412</v>
      </c>
      <c r="D195" s="2" t="s">
        <v>1139</v>
      </c>
      <c r="E195" s="2" t="s">
        <v>4</v>
      </c>
      <c r="F195" s="2" t="s">
        <v>17</v>
      </c>
      <c r="G195" s="2" t="s">
        <v>50</v>
      </c>
      <c r="H195" s="2" t="s">
        <v>418</v>
      </c>
      <c r="I195" s="2" t="s">
        <v>3395</v>
      </c>
      <c r="J195" s="3">
        <v>9.98</v>
      </c>
      <c r="K195" s="3">
        <v>6.07</v>
      </c>
      <c r="L195" s="2" t="s">
        <v>8</v>
      </c>
      <c r="M195" s="2" t="s">
        <v>9</v>
      </c>
      <c r="N195" s="3">
        <v>443</v>
      </c>
      <c r="O195" s="2" t="s">
        <v>60</v>
      </c>
      <c r="P195" s="2" t="s">
        <v>843</v>
      </c>
      <c r="Q195" s="3"/>
      <c r="R195" s="3"/>
      <c r="S195" s="2" t="s">
        <v>12</v>
      </c>
      <c r="T195" s="4">
        <v>44955</v>
      </c>
      <c r="U195" s="2" t="s">
        <v>2766</v>
      </c>
      <c r="V195" s="6">
        <f>(Real_Sales[[#This Row],[Price_retail]]-Real_Sales[[#This Row],[Price_current]])/Real_Sales[[#This Row],[Price_retail]]</f>
        <v>0.39178356713426854</v>
      </c>
      <c r="W195" s="3" t="str" cm="1">
        <f t="array" ref="W19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95" s="2" t="str">
        <f>IF(Real_Sales[[#This Row],[Price_retail]]&gt;$AC$3,"Premium","Average")</f>
        <v>Average</v>
      </c>
      <c r="Y195" s="2" t="str">
        <f>IF(ISNUMBER(SEARCH("Basic",Real_Sales[[#This Row],[Product_name]])),"Yes","No")</f>
        <v>No</v>
      </c>
      <c r="Z195" s="2" cm="1">
        <f t="array" ref="Z195">_xlfn.IFS(Real_Sales[[#This Row],[Price_retail]]&lt;=15,1, Real_Sales[[#This Row],[Price_retail]]&lt;=30,2, Real_Sales[[#This Row],[Price_retail]]&lt;=50,3,Real_Sales[[#This Row],[Price_retail]]&gt;50,4)</f>
        <v>1</v>
      </c>
    </row>
    <row r="196" spans="1:26" x14ac:dyDescent="0.35">
      <c r="A196" s="2" t="s">
        <v>3038</v>
      </c>
      <c r="B196" s="2" t="s">
        <v>3039</v>
      </c>
      <c r="C196" s="2" t="s">
        <v>750</v>
      </c>
      <c r="D196" s="2" t="s">
        <v>1091</v>
      </c>
      <c r="E196" s="2" t="s">
        <v>4</v>
      </c>
      <c r="F196" s="2" t="s">
        <v>17</v>
      </c>
      <c r="G196" s="2" t="s">
        <v>67</v>
      </c>
      <c r="H196" s="2" t="s">
        <v>7</v>
      </c>
      <c r="I196" s="2" t="s">
        <v>3390</v>
      </c>
      <c r="J196" s="3">
        <v>9.99</v>
      </c>
      <c r="K196" s="3">
        <v>5.18</v>
      </c>
      <c r="L196" s="2" t="s">
        <v>8</v>
      </c>
      <c r="M196" s="2" t="s">
        <v>9</v>
      </c>
      <c r="N196" s="3">
        <v>907</v>
      </c>
      <c r="O196" s="2" t="s">
        <v>104</v>
      </c>
      <c r="P196" s="2" t="s">
        <v>3392</v>
      </c>
      <c r="Q196" s="3"/>
      <c r="R196" s="3"/>
      <c r="S196" s="2" t="s">
        <v>21</v>
      </c>
      <c r="T196" s="4">
        <v>44955</v>
      </c>
      <c r="U196" s="2" t="s">
        <v>3040</v>
      </c>
      <c r="V196" s="6">
        <f>(Real_Sales[[#This Row],[Price_retail]]-Real_Sales[[#This Row],[Price_current]])/Real_Sales[[#This Row],[Price_retail]]</f>
        <v>0.48148148148148151</v>
      </c>
      <c r="W196" s="3" t="str" cm="1">
        <f t="array" ref="W19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196" s="2" t="str">
        <f>IF(Real_Sales[[#This Row],[Price_retail]]&gt;$AC$3,"Premium","Average")</f>
        <v>Average</v>
      </c>
      <c r="Y196" s="2" t="str">
        <f>IF(ISNUMBER(SEARCH("Basic",Real_Sales[[#This Row],[Product_name]])),"Yes","No")</f>
        <v>No</v>
      </c>
      <c r="Z196" s="2" cm="1">
        <f t="array" ref="Z196">_xlfn.IFS(Real_Sales[[#This Row],[Price_retail]]&lt;=15,1, Real_Sales[[#This Row],[Price_retail]]&lt;=30,2, Real_Sales[[#This Row],[Price_retail]]&lt;=50,3,Real_Sales[[#This Row],[Price_retail]]&gt;50,4)</f>
        <v>1</v>
      </c>
    </row>
    <row r="197" spans="1:26" x14ac:dyDescent="0.35">
      <c r="A197" s="2" t="s">
        <v>3119</v>
      </c>
      <c r="B197" s="2" t="s">
        <v>3120</v>
      </c>
      <c r="C197" s="2" t="s">
        <v>318</v>
      </c>
      <c r="D197" s="2" t="s">
        <v>292</v>
      </c>
      <c r="E197" s="2" t="s">
        <v>4</v>
      </c>
      <c r="F197" s="2" t="s">
        <v>17</v>
      </c>
      <c r="G197" s="2" t="s">
        <v>18</v>
      </c>
      <c r="H197" s="2" t="s">
        <v>145</v>
      </c>
      <c r="I197" s="2" t="s">
        <v>3393</v>
      </c>
      <c r="J197" s="3">
        <v>10.01</v>
      </c>
      <c r="K197" s="3">
        <v>10.01</v>
      </c>
      <c r="L197" s="2" t="s">
        <v>3391</v>
      </c>
      <c r="M197" s="2" t="s">
        <v>9</v>
      </c>
      <c r="N197" s="3">
        <v>709</v>
      </c>
      <c r="O197" s="2" t="s">
        <v>20</v>
      </c>
      <c r="P197" s="2" t="s">
        <v>221</v>
      </c>
      <c r="Q197" s="3"/>
      <c r="R197" s="3"/>
      <c r="S197" s="2" t="s">
        <v>21</v>
      </c>
      <c r="T197" s="4">
        <v>44955</v>
      </c>
      <c r="U197" s="2" t="s">
        <v>3121</v>
      </c>
      <c r="V197" s="6">
        <f>(Real_Sales[[#This Row],[Price_retail]]-Real_Sales[[#This Row],[Price_current]])/Real_Sales[[#This Row],[Price_retail]]</f>
        <v>0</v>
      </c>
      <c r="W197" s="3" t="str" cm="1">
        <f t="array" ref="W19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7" s="2" t="str">
        <f>IF(Real_Sales[[#This Row],[Price_retail]]&gt;$AC$3,"Premium","Average")</f>
        <v>Average</v>
      </c>
      <c r="Y197" s="2" t="str">
        <f>IF(ISNUMBER(SEARCH("Basic",Real_Sales[[#This Row],[Product_name]])),"Yes","No")</f>
        <v>No</v>
      </c>
      <c r="Z197" s="2" cm="1">
        <f t="array" ref="Z197">_xlfn.IFS(Real_Sales[[#This Row],[Price_retail]]&lt;=15,1, Real_Sales[[#This Row],[Price_retail]]&lt;=30,2, Real_Sales[[#This Row],[Price_retail]]&lt;=50,3,Real_Sales[[#This Row],[Price_retail]]&gt;50,4)</f>
        <v>1</v>
      </c>
    </row>
    <row r="198" spans="1:26" x14ac:dyDescent="0.35">
      <c r="A198" s="2" t="s">
        <v>503</v>
      </c>
      <c r="B198" s="2" t="s">
        <v>504</v>
      </c>
      <c r="C198" s="2" t="s">
        <v>505</v>
      </c>
      <c r="D198" s="2" t="s">
        <v>506</v>
      </c>
      <c r="E198" s="2" t="s">
        <v>4</v>
      </c>
      <c r="F198" s="2" t="s">
        <v>5</v>
      </c>
      <c r="G198" s="2" t="s">
        <v>6</v>
      </c>
      <c r="H198" s="2" t="s">
        <v>237</v>
      </c>
      <c r="I198" s="2" t="s">
        <v>3393</v>
      </c>
      <c r="J198" s="3">
        <v>10.039999999999999</v>
      </c>
      <c r="K198" s="3">
        <v>10.039999999999999</v>
      </c>
      <c r="L198" s="2" t="s">
        <v>3391</v>
      </c>
      <c r="M198" s="2" t="s">
        <v>9</v>
      </c>
      <c r="N198" s="3">
        <v>51</v>
      </c>
      <c r="O198" s="2" t="s">
        <v>52</v>
      </c>
      <c r="P198" s="2" t="s">
        <v>53</v>
      </c>
      <c r="Q198" s="3"/>
      <c r="R198" s="3"/>
      <c r="S198" s="2" t="s">
        <v>21</v>
      </c>
      <c r="T198" s="4">
        <v>44955</v>
      </c>
      <c r="U198" s="2" t="s">
        <v>507</v>
      </c>
      <c r="V198" s="6">
        <f>(Real_Sales[[#This Row],[Price_retail]]-Real_Sales[[#This Row],[Price_current]])/Real_Sales[[#This Row],[Price_retail]]</f>
        <v>0</v>
      </c>
      <c r="W198" s="3" t="str" cm="1">
        <f t="array" ref="W19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8" s="2" t="str">
        <f>IF(Real_Sales[[#This Row],[Price_retail]]&gt;$AC$3,"Premium","Average")</f>
        <v>Average</v>
      </c>
      <c r="Y198" s="2" t="str">
        <f>IF(ISNUMBER(SEARCH("Basic",Real_Sales[[#This Row],[Product_name]])),"Yes","No")</f>
        <v>Yes</v>
      </c>
      <c r="Z198" s="2" cm="1">
        <f t="array" ref="Z198">_xlfn.IFS(Real_Sales[[#This Row],[Price_retail]]&lt;=15,1, Real_Sales[[#This Row],[Price_retail]]&lt;=30,2, Real_Sales[[#This Row],[Price_retail]]&lt;=50,3,Real_Sales[[#This Row],[Price_retail]]&gt;50,4)</f>
        <v>1</v>
      </c>
    </row>
    <row r="199" spans="1:26" x14ac:dyDescent="0.35">
      <c r="A199" s="2" t="s">
        <v>2138</v>
      </c>
      <c r="B199" s="2" t="s">
        <v>2139</v>
      </c>
      <c r="C199" s="2" t="s">
        <v>271</v>
      </c>
      <c r="D199" s="2" t="s">
        <v>694</v>
      </c>
      <c r="E199" s="2" t="s">
        <v>4</v>
      </c>
      <c r="F199" s="2" t="s">
        <v>5</v>
      </c>
      <c r="G199" s="2" t="s">
        <v>121</v>
      </c>
      <c r="H199" s="2" t="s">
        <v>139</v>
      </c>
      <c r="I199" s="2" t="s">
        <v>3393</v>
      </c>
      <c r="J199" s="3">
        <v>10.08</v>
      </c>
      <c r="K199" s="3">
        <v>10.08</v>
      </c>
      <c r="L199" s="2" t="s">
        <v>3391</v>
      </c>
      <c r="M199" s="2" t="s">
        <v>9</v>
      </c>
      <c r="N199" s="3">
        <v>931</v>
      </c>
      <c r="O199" s="2" t="s">
        <v>98</v>
      </c>
      <c r="P199" s="2" t="s">
        <v>419</v>
      </c>
      <c r="Q199" s="3"/>
      <c r="R199" s="3"/>
      <c r="S199" s="2" t="s">
        <v>21</v>
      </c>
      <c r="T199" s="4">
        <v>44955</v>
      </c>
      <c r="U199" s="2" t="s">
        <v>2140</v>
      </c>
      <c r="V199" s="6">
        <f>(Real_Sales[[#This Row],[Price_retail]]-Real_Sales[[#This Row],[Price_current]])/Real_Sales[[#This Row],[Price_retail]]</f>
        <v>0</v>
      </c>
      <c r="W199" s="3" t="str" cm="1">
        <f t="array" ref="W1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199" s="2" t="str">
        <f>IF(Real_Sales[[#This Row],[Price_retail]]&gt;$AC$3,"Premium","Average")</f>
        <v>Average</v>
      </c>
      <c r="Y199" s="2" t="str">
        <f>IF(ISNUMBER(SEARCH("Basic",Real_Sales[[#This Row],[Product_name]])),"Yes","No")</f>
        <v>No</v>
      </c>
      <c r="Z199" s="2" cm="1">
        <f t="array" ref="Z199">_xlfn.IFS(Real_Sales[[#This Row],[Price_retail]]&lt;=15,1, Real_Sales[[#This Row],[Price_retail]]&lt;=30,2, Real_Sales[[#This Row],[Price_retail]]&lt;=50,3,Real_Sales[[#This Row],[Price_retail]]&gt;50,4)</f>
        <v>1</v>
      </c>
    </row>
    <row r="200" spans="1:26" x14ac:dyDescent="0.35">
      <c r="A200" s="2" t="s">
        <v>277</v>
      </c>
      <c r="B200" s="2" t="s">
        <v>278</v>
      </c>
      <c r="C200" s="2" t="s">
        <v>3400</v>
      </c>
      <c r="D200" s="2" t="s">
        <v>279</v>
      </c>
      <c r="E200" s="2" t="s">
        <v>4</v>
      </c>
      <c r="F200" s="2" t="s">
        <v>17</v>
      </c>
      <c r="G200" s="2" t="s">
        <v>27</v>
      </c>
      <c r="H200" s="2" t="s">
        <v>28</v>
      </c>
      <c r="I200" s="2" t="s">
        <v>3393</v>
      </c>
      <c r="J200" s="3">
        <v>10.09</v>
      </c>
      <c r="K200" s="3">
        <v>10.09</v>
      </c>
      <c r="L200" s="2" t="s">
        <v>3391</v>
      </c>
      <c r="M200" s="2" t="s">
        <v>9</v>
      </c>
      <c r="N200" s="3">
        <v>402</v>
      </c>
      <c r="O200" s="2" t="s">
        <v>75</v>
      </c>
      <c r="P200" s="2" t="s">
        <v>53</v>
      </c>
      <c r="Q200" s="3"/>
      <c r="R200" s="3"/>
      <c r="S200" s="2" t="s">
        <v>21</v>
      </c>
      <c r="T200" s="4">
        <v>44955</v>
      </c>
      <c r="U200" s="2" t="s">
        <v>280</v>
      </c>
      <c r="V200" s="6">
        <f>(Real_Sales[[#This Row],[Price_retail]]-Real_Sales[[#This Row],[Price_current]])/Real_Sales[[#This Row],[Price_retail]]</f>
        <v>0</v>
      </c>
      <c r="W200" s="3" t="str" cm="1">
        <f t="array" ref="W2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00" s="2" t="str">
        <f>IF(Real_Sales[[#This Row],[Price_retail]]&gt;$AC$3,"Premium","Average")</f>
        <v>Average</v>
      </c>
      <c r="Y200" s="2" t="str">
        <f>IF(ISNUMBER(SEARCH("Basic",Real_Sales[[#This Row],[Product_name]])),"Yes","No")</f>
        <v>No</v>
      </c>
      <c r="Z200" s="2" cm="1">
        <f t="array" ref="Z200">_xlfn.IFS(Real_Sales[[#This Row],[Price_retail]]&lt;=15,1, Real_Sales[[#This Row],[Price_retail]]&lt;=30,2, Real_Sales[[#This Row],[Price_retail]]&lt;=50,3,Real_Sales[[#This Row],[Price_retail]]&gt;50,4)</f>
        <v>1</v>
      </c>
    </row>
    <row r="201" spans="1:26" x14ac:dyDescent="0.35">
      <c r="A201" s="2" t="s">
        <v>1572</v>
      </c>
      <c r="B201" s="2" t="s">
        <v>1573</v>
      </c>
      <c r="C201" s="2" t="s">
        <v>1743</v>
      </c>
      <c r="D201" s="2" t="s">
        <v>1574</v>
      </c>
      <c r="E201" s="2" t="s">
        <v>4</v>
      </c>
      <c r="F201" s="2" t="s">
        <v>17</v>
      </c>
      <c r="G201" s="2" t="s">
        <v>50</v>
      </c>
      <c r="H201" s="2" t="s">
        <v>237</v>
      </c>
      <c r="I201" s="2" t="s">
        <v>3390</v>
      </c>
      <c r="J201" s="3">
        <v>10.16</v>
      </c>
      <c r="K201" s="3">
        <v>7.04</v>
      </c>
      <c r="L201" s="2" t="s">
        <v>8</v>
      </c>
      <c r="M201" s="2" t="s">
        <v>9</v>
      </c>
      <c r="N201" s="3">
        <v>668</v>
      </c>
      <c r="O201" s="2" t="s">
        <v>359</v>
      </c>
      <c r="P201" s="2" t="s">
        <v>221</v>
      </c>
      <c r="Q201" s="3"/>
      <c r="R201" s="3"/>
      <c r="S201" s="2" t="s">
        <v>21</v>
      </c>
      <c r="T201" s="4">
        <v>44955</v>
      </c>
      <c r="U201" s="2" t="s">
        <v>1575</v>
      </c>
      <c r="V201" s="6">
        <f>(Real_Sales[[#This Row],[Price_retail]]-Real_Sales[[#This Row],[Price_current]])/Real_Sales[[#This Row],[Price_retail]]</f>
        <v>0.30708661417322836</v>
      </c>
      <c r="W201" s="3" t="str" cm="1">
        <f t="array" ref="W20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01" s="2" t="str">
        <f>IF(Real_Sales[[#This Row],[Price_retail]]&gt;$AC$3,"Premium","Average")</f>
        <v>Average</v>
      </c>
      <c r="Y201" s="2" t="str">
        <f>IF(ISNUMBER(SEARCH("Basic",Real_Sales[[#This Row],[Product_name]])),"Yes","No")</f>
        <v>No</v>
      </c>
      <c r="Z201" s="2" cm="1">
        <f t="array" ref="Z201">_xlfn.IFS(Real_Sales[[#This Row],[Price_retail]]&lt;=15,1, Real_Sales[[#This Row],[Price_retail]]&lt;=30,2, Real_Sales[[#This Row],[Price_retail]]&lt;=50,3,Real_Sales[[#This Row],[Price_retail]]&gt;50,4)</f>
        <v>1</v>
      </c>
    </row>
    <row r="202" spans="1:26" x14ac:dyDescent="0.35">
      <c r="A202" s="2" t="s">
        <v>3257</v>
      </c>
      <c r="B202" s="2" t="s">
        <v>3258</v>
      </c>
      <c r="C202" s="2" t="s">
        <v>3394</v>
      </c>
      <c r="D202" s="2" t="s">
        <v>2370</v>
      </c>
      <c r="E202" s="2" t="s">
        <v>4</v>
      </c>
      <c r="F202" s="2" t="s">
        <v>5</v>
      </c>
      <c r="G202" s="2" t="s">
        <v>82</v>
      </c>
      <c r="H202" s="2" t="s">
        <v>185</v>
      </c>
      <c r="I202" s="2" t="s">
        <v>3395</v>
      </c>
      <c r="J202" s="3">
        <v>10.16</v>
      </c>
      <c r="K202" s="3">
        <v>10.16</v>
      </c>
      <c r="L202" s="2" t="s">
        <v>3391</v>
      </c>
      <c r="M202" s="2" t="s">
        <v>9</v>
      </c>
      <c r="N202" s="3">
        <v>601</v>
      </c>
      <c r="O202" s="2" t="s">
        <v>60</v>
      </c>
      <c r="P202" s="2" t="s">
        <v>37</v>
      </c>
      <c r="Q202" s="3"/>
      <c r="R202" s="3"/>
      <c r="S202" s="2" t="s">
        <v>21</v>
      </c>
      <c r="T202" s="4">
        <v>44955</v>
      </c>
      <c r="U202" s="2" t="s">
        <v>3259</v>
      </c>
      <c r="V202" s="6">
        <f>(Real_Sales[[#This Row],[Price_retail]]-Real_Sales[[#This Row],[Price_current]])/Real_Sales[[#This Row],[Price_retail]]</f>
        <v>0</v>
      </c>
      <c r="W202" s="3" t="str" cm="1">
        <f t="array" ref="W2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02" s="2" t="str">
        <f>IF(Real_Sales[[#This Row],[Price_retail]]&gt;$AC$3,"Premium","Average")</f>
        <v>Average</v>
      </c>
      <c r="Y202" s="2" t="str">
        <f>IF(ISNUMBER(SEARCH("Basic",Real_Sales[[#This Row],[Product_name]])),"Yes","No")</f>
        <v>No</v>
      </c>
      <c r="Z202" s="2" cm="1">
        <f t="array" ref="Z202">_xlfn.IFS(Real_Sales[[#This Row],[Price_retail]]&lt;=15,1, Real_Sales[[#This Row],[Price_retail]]&lt;=30,2, Real_Sales[[#This Row],[Price_retail]]&lt;=50,3,Real_Sales[[#This Row],[Price_retail]]&gt;50,4)</f>
        <v>1</v>
      </c>
    </row>
    <row r="203" spans="1:26" x14ac:dyDescent="0.35">
      <c r="A203" s="2" t="s">
        <v>802</v>
      </c>
      <c r="B203" s="2" t="s">
        <v>803</v>
      </c>
      <c r="C203" s="2" t="s">
        <v>2915</v>
      </c>
      <c r="D203" s="2" t="s">
        <v>804</v>
      </c>
      <c r="E203" s="2" t="s">
        <v>4</v>
      </c>
      <c r="F203" s="2" t="s">
        <v>5</v>
      </c>
      <c r="G203" s="2" t="s">
        <v>6</v>
      </c>
      <c r="H203" s="2" t="s">
        <v>19</v>
      </c>
      <c r="I203" s="2" t="s">
        <v>3393</v>
      </c>
      <c r="J203" s="3">
        <v>10.17</v>
      </c>
      <c r="K203" s="3">
        <v>10.17</v>
      </c>
      <c r="L203" s="2" t="s">
        <v>3391</v>
      </c>
      <c r="M203" s="2" t="s">
        <v>9</v>
      </c>
      <c r="N203" s="3">
        <v>746</v>
      </c>
      <c r="O203" s="2" t="s">
        <v>359</v>
      </c>
      <c r="P203" s="2" t="s">
        <v>70</v>
      </c>
      <c r="Q203" s="3"/>
      <c r="R203" s="3"/>
      <c r="S203" s="2" t="s">
        <v>21</v>
      </c>
      <c r="T203" s="4">
        <v>44955</v>
      </c>
      <c r="U203" s="2" t="s">
        <v>805</v>
      </c>
      <c r="V203" s="6">
        <f>(Real_Sales[[#This Row],[Price_retail]]-Real_Sales[[#This Row],[Price_current]])/Real_Sales[[#This Row],[Price_retail]]</f>
        <v>0</v>
      </c>
      <c r="W203" s="3" t="str" cm="1">
        <f t="array" ref="W2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03" s="2" t="str">
        <f>IF(Real_Sales[[#This Row],[Price_retail]]&gt;$AC$3,"Premium","Average")</f>
        <v>Average</v>
      </c>
      <c r="Y203" s="2" t="str">
        <f>IF(ISNUMBER(SEARCH("Basic",Real_Sales[[#This Row],[Product_name]])),"Yes","No")</f>
        <v>No</v>
      </c>
      <c r="Z203" s="2" cm="1">
        <f t="array" ref="Z203">_xlfn.IFS(Real_Sales[[#This Row],[Price_retail]]&lt;=15,1, Real_Sales[[#This Row],[Price_retail]]&lt;=30,2, Real_Sales[[#This Row],[Price_retail]]&lt;=50,3,Real_Sales[[#This Row],[Price_retail]]&gt;50,4)</f>
        <v>1</v>
      </c>
    </row>
    <row r="204" spans="1:26" x14ac:dyDescent="0.35">
      <c r="A204" s="2" t="s">
        <v>937</v>
      </c>
      <c r="B204" s="2" t="s">
        <v>938</v>
      </c>
      <c r="C204" s="2" t="s">
        <v>65</v>
      </c>
      <c r="D204" s="2" t="s">
        <v>939</v>
      </c>
      <c r="E204" s="2" t="s">
        <v>4</v>
      </c>
      <c r="F204" s="2" t="s">
        <v>5</v>
      </c>
      <c r="G204" s="2" t="s">
        <v>121</v>
      </c>
      <c r="H204" s="2" t="s">
        <v>134</v>
      </c>
      <c r="I204" s="2" t="s">
        <v>3393</v>
      </c>
      <c r="J204" s="3">
        <v>10.18</v>
      </c>
      <c r="K204" s="3">
        <v>5.7</v>
      </c>
      <c r="L204" s="2" t="s">
        <v>8</v>
      </c>
      <c r="M204" s="2" t="s">
        <v>9</v>
      </c>
      <c r="N204" s="3">
        <v>576</v>
      </c>
      <c r="O204" s="2" t="s">
        <v>302</v>
      </c>
      <c r="P204" s="2" t="s">
        <v>128</v>
      </c>
      <c r="Q204" s="3"/>
      <c r="R204" s="3"/>
      <c r="S204" s="2" t="s">
        <v>21</v>
      </c>
      <c r="T204" s="4">
        <v>44955</v>
      </c>
      <c r="U204" s="2" t="s">
        <v>940</v>
      </c>
      <c r="V204" s="6">
        <f>(Real_Sales[[#This Row],[Price_retail]]-Real_Sales[[#This Row],[Price_current]])/Real_Sales[[#This Row],[Price_retail]]</f>
        <v>0.44007858546168954</v>
      </c>
      <c r="W204" s="3" t="str" cm="1">
        <f t="array" ref="W20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04" s="2" t="str">
        <f>IF(Real_Sales[[#This Row],[Price_retail]]&gt;$AC$3,"Premium","Average")</f>
        <v>Average</v>
      </c>
      <c r="Y204" s="2" t="str">
        <f>IF(ISNUMBER(SEARCH("Basic",Real_Sales[[#This Row],[Product_name]])),"Yes","No")</f>
        <v>No</v>
      </c>
      <c r="Z204" s="2" cm="1">
        <f t="array" ref="Z204">_xlfn.IFS(Real_Sales[[#This Row],[Price_retail]]&lt;=15,1, Real_Sales[[#This Row],[Price_retail]]&lt;=30,2, Real_Sales[[#This Row],[Price_retail]]&lt;=50,3,Real_Sales[[#This Row],[Price_retail]]&gt;50,4)</f>
        <v>1</v>
      </c>
    </row>
    <row r="205" spans="1:26" x14ac:dyDescent="0.35">
      <c r="A205" s="2" t="s">
        <v>2471</v>
      </c>
      <c r="B205" s="2" t="s">
        <v>2472</v>
      </c>
      <c r="C205" s="2" t="s">
        <v>242</v>
      </c>
      <c r="D205" s="2" t="s">
        <v>1169</v>
      </c>
      <c r="E205" s="2" t="s">
        <v>4</v>
      </c>
      <c r="F205" s="2" t="s">
        <v>5</v>
      </c>
      <c r="G205" s="2" t="s">
        <v>82</v>
      </c>
      <c r="H205" s="2" t="s">
        <v>237</v>
      </c>
      <c r="I205" s="2" t="s">
        <v>3390</v>
      </c>
      <c r="J205" s="3">
        <v>10.18</v>
      </c>
      <c r="K205" s="3">
        <v>7.5</v>
      </c>
      <c r="L205" s="2" t="s">
        <v>8</v>
      </c>
      <c r="M205" s="2" t="s">
        <v>9</v>
      </c>
      <c r="N205" s="3">
        <v>519</v>
      </c>
      <c r="O205" s="2" t="s">
        <v>69</v>
      </c>
      <c r="P205" s="2" t="s">
        <v>61</v>
      </c>
      <c r="Q205" s="3"/>
      <c r="R205" s="3"/>
      <c r="S205" s="2" t="s">
        <v>21</v>
      </c>
      <c r="T205" s="4">
        <v>44955</v>
      </c>
      <c r="U205" s="2" t="s">
        <v>2473</v>
      </c>
      <c r="V205" s="6">
        <f>(Real_Sales[[#This Row],[Price_retail]]-Real_Sales[[#This Row],[Price_current]])/Real_Sales[[#This Row],[Price_retail]]</f>
        <v>0.26326129666011788</v>
      </c>
      <c r="W205" s="3" t="str" cm="1">
        <f t="array" ref="W20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05" s="2" t="str">
        <f>IF(Real_Sales[[#This Row],[Price_retail]]&gt;$AC$3,"Premium","Average")</f>
        <v>Average</v>
      </c>
      <c r="Y205" s="2" t="str">
        <f>IF(ISNUMBER(SEARCH("Basic",Real_Sales[[#This Row],[Product_name]])),"Yes","No")</f>
        <v>No</v>
      </c>
      <c r="Z205" s="2" cm="1">
        <f t="array" ref="Z205">_xlfn.IFS(Real_Sales[[#This Row],[Price_retail]]&lt;=15,1, Real_Sales[[#This Row],[Price_retail]]&lt;=30,2, Real_Sales[[#This Row],[Price_retail]]&lt;=50,3,Real_Sales[[#This Row],[Price_retail]]&gt;50,4)</f>
        <v>1</v>
      </c>
    </row>
    <row r="206" spans="1:26" x14ac:dyDescent="0.35">
      <c r="A206" s="2" t="s">
        <v>2505</v>
      </c>
      <c r="B206" s="2" t="s">
        <v>2506</v>
      </c>
      <c r="C206" s="2" t="s">
        <v>1402</v>
      </c>
      <c r="D206" s="2" t="s">
        <v>1206</v>
      </c>
      <c r="E206" s="2" t="s">
        <v>4</v>
      </c>
      <c r="F206" s="2" t="s">
        <v>17</v>
      </c>
      <c r="G206" s="2" t="s">
        <v>27</v>
      </c>
      <c r="H206" s="2" t="s">
        <v>418</v>
      </c>
      <c r="I206" s="2" t="s">
        <v>3390</v>
      </c>
      <c r="J206" s="3">
        <v>10.19</v>
      </c>
      <c r="K206" s="3">
        <v>7.27</v>
      </c>
      <c r="L206" s="2" t="s">
        <v>8</v>
      </c>
      <c r="M206" s="2" t="s">
        <v>9</v>
      </c>
      <c r="N206" s="3">
        <v>458</v>
      </c>
      <c r="O206" s="2" t="s">
        <v>267</v>
      </c>
      <c r="P206" s="2" t="s">
        <v>92</v>
      </c>
      <c r="Q206" s="3"/>
      <c r="R206" s="3"/>
      <c r="S206" s="2" t="s">
        <v>21</v>
      </c>
      <c r="T206" s="4">
        <v>44955</v>
      </c>
      <c r="U206" s="2" t="s">
        <v>2507</v>
      </c>
      <c r="V206" s="6">
        <f>(Real_Sales[[#This Row],[Price_retail]]-Real_Sales[[#This Row],[Price_current]])/Real_Sales[[#This Row],[Price_retail]]</f>
        <v>0.28655544651619236</v>
      </c>
      <c r="W206" s="3" t="str" cm="1">
        <f t="array" ref="W20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06" s="2" t="str">
        <f>IF(Real_Sales[[#This Row],[Price_retail]]&gt;$AC$3,"Premium","Average")</f>
        <v>Average</v>
      </c>
      <c r="Y206" s="2" t="str">
        <f>IF(ISNUMBER(SEARCH("Basic",Real_Sales[[#This Row],[Product_name]])),"Yes","No")</f>
        <v>No</v>
      </c>
      <c r="Z206" s="2" cm="1">
        <f t="array" ref="Z206">_xlfn.IFS(Real_Sales[[#This Row],[Price_retail]]&lt;=15,1, Real_Sales[[#This Row],[Price_retail]]&lt;=30,2, Real_Sales[[#This Row],[Price_retail]]&lt;=50,3,Real_Sales[[#This Row],[Price_retail]]&gt;50,4)</f>
        <v>1</v>
      </c>
    </row>
    <row r="207" spans="1:26" x14ac:dyDescent="0.35">
      <c r="A207" s="2" t="s">
        <v>2423</v>
      </c>
      <c r="B207" s="2" t="s">
        <v>2424</v>
      </c>
      <c r="C207" s="2" t="s">
        <v>3394</v>
      </c>
      <c r="D207" s="2" t="s">
        <v>557</v>
      </c>
      <c r="E207" s="2" t="s">
        <v>4</v>
      </c>
      <c r="F207" s="2" t="s">
        <v>5</v>
      </c>
      <c r="G207" s="2" t="s">
        <v>6</v>
      </c>
      <c r="H207" s="2" t="s">
        <v>28</v>
      </c>
      <c r="I207" s="2" t="s">
        <v>3390</v>
      </c>
      <c r="J207" s="3">
        <v>10.25</v>
      </c>
      <c r="K207" s="3">
        <v>5.81</v>
      </c>
      <c r="L207" s="2" t="s">
        <v>8</v>
      </c>
      <c r="M207" s="2" t="s">
        <v>9</v>
      </c>
      <c r="N207" s="3">
        <v>724</v>
      </c>
      <c r="O207" s="2" t="s">
        <v>43</v>
      </c>
      <c r="P207" s="2" t="s">
        <v>70</v>
      </c>
      <c r="Q207" s="3"/>
      <c r="R207" s="3"/>
      <c r="S207" s="2" t="s">
        <v>21</v>
      </c>
      <c r="T207" s="4">
        <v>44955</v>
      </c>
      <c r="U207" s="2" t="s">
        <v>2425</v>
      </c>
      <c r="V207" s="6">
        <f>(Real_Sales[[#This Row],[Price_retail]]-Real_Sales[[#This Row],[Price_current]])/Real_Sales[[#This Row],[Price_retail]]</f>
        <v>0.43317073170731712</v>
      </c>
      <c r="W207" s="3" t="str" cm="1">
        <f t="array" ref="W20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07" s="2" t="str">
        <f>IF(Real_Sales[[#This Row],[Price_retail]]&gt;$AC$3,"Premium","Average")</f>
        <v>Average</v>
      </c>
      <c r="Y207" s="2" t="str">
        <f>IF(ISNUMBER(SEARCH("Basic",Real_Sales[[#This Row],[Product_name]])),"Yes","No")</f>
        <v>No</v>
      </c>
      <c r="Z207" s="2" cm="1">
        <f t="array" ref="Z207">_xlfn.IFS(Real_Sales[[#This Row],[Price_retail]]&lt;=15,1, Real_Sales[[#This Row],[Price_retail]]&lt;=30,2, Real_Sales[[#This Row],[Price_retail]]&lt;=50,3,Real_Sales[[#This Row],[Price_retail]]&gt;50,4)</f>
        <v>1</v>
      </c>
    </row>
    <row r="208" spans="1:26" x14ac:dyDescent="0.35">
      <c r="A208" s="2" t="s">
        <v>2320</v>
      </c>
      <c r="B208" s="2" t="s">
        <v>2321</v>
      </c>
      <c r="C208" s="2" t="s">
        <v>387</v>
      </c>
      <c r="D208" s="2" t="s">
        <v>1482</v>
      </c>
      <c r="E208" s="2" t="s">
        <v>4</v>
      </c>
      <c r="F208" s="2" t="s">
        <v>17</v>
      </c>
      <c r="G208" s="2" t="s">
        <v>18</v>
      </c>
      <c r="H208" s="2" t="s">
        <v>185</v>
      </c>
      <c r="I208" s="2" t="s">
        <v>3390</v>
      </c>
      <c r="J208" s="3">
        <v>10.29</v>
      </c>
      <c r="K208" s="3">
        <v>10.29</v>
      </c>
      <c r="L208" s="2" t="s">
        <v>248</v>
      </c>
      <c r="M208" s="2" t="s">
        <v>9</v>
      </c>
      <c r="N208" s="3">
        <v>682</v>
      </c>
      <c r="O208" s="2" t="s">
        <v>60</v>
      </c>
      <c r="P208" s="2" t="s">
        <v>3392</v>
      </c>
      <c r="Q208" s="3"/>
      <c r="R208" s="3"/>
      <c r="S208" s="2" t="s">
        <v>21</v>
      </c>
      <c r="T208" s="4">
        <v>44955</v>
      </c>
      <c r="U208" s="2" t="s">
        <v>2322</v>
      </c>
      <c r="V208" s="6">
        <f>(Real_Sales[[#This Row],[Price_retail]]-Real_Sales[[#This Row],[Price_current]])/Real_Sales[[#This Row],[Price_retail]]</f>
        <v>0</v>
      </c>
      <c r="W208" s="3" t="str" cm="1">
        <f t="array" ref="W20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08" s="2" t="str">
        <f>IF(Real_Sales[[#This Row],[Price_retail]]&gt;$AC$3,"Premium","Average")</f>
        <v>Average</v>
      </c>
      <c r="Y208" s="2" t="str">
        <f>IF(ISNUMBER(SEARCH("Basic",Real_Sales[[#This Row],[Product_name]])),"Yes","No")</f>
        <v>No</v>
      </c>
      <c r="Z208" s="2" cm="1">
        <f t="array" ref="Z208">_xlfn.IFS(Real_Sales[[#This Row],[Price_retail]]&lt;=15,1, Real_Sales[[#This Row],[Price_retail]]&lt;=30,2, Real_Sales[[#This Row],[Price_retail]]&lt;=50,3,Real_Sales[[#This Row],[Price_retail]]&gt;50,4)</f>
        <v>1</v>
      </c>
    </row>
    <row r="209" spans="1:26" x14ac:dyDescent="0.35">
      <c r="A209" s="2" t="s">
        <v>3083</v>
      </c>
      <c r="B209" s="2" t="s">
        <v>3084</v>
      </c>
      <c r="C209" s="2" t="s">
        <v>3417</v>
      </c>
      <c r="D209" s="2" t="s">
        <v>3403</v>
      </c>
      <c r="E209" s="2" t="s">
        <v>4</v>
      </c>
      <c r="F209" s="2" t="s">
        <v>5</v>
      </c>
      <c r="G209" s="2" t="s">
        <v>121</v>
      </c>
      <c r="H209" s="2" t="s">
        <v>51</v>
      </c>
      <c r="I209" s="2" t="s">
        <v>3395</v>
      </c>
      <c r="J209" s="3">
        <v>10.29</v>
      </c>
      <c r="K209" s="3">
        <v>10.29</v>
      </c>
      <c r="L209" s="2" t="s">
        <v>3391</v>
      </c>
      <c r="M209" s="2" t="s">
        <v>9</v>
      </c>
      <c r="N209" s="3">
        <v>199</v>
      </c>
      <c r="O209" s="2" t="s">
        <v>69</v>
      </c>
      <c r="P209" s="2" t="s">
        <v>328</v>
      </c>
      <c r="Q209" s="3"/>
      <c r="R209" s="3"/>
      <c r="S209" s="2" t="s">
        <v>12</v>
      </c>
      <c r="T209" s="4">
        <v>44955</v>
      </c>
      <c r="U209" s="2" t="s">
        <v>3085</v>
      </c>
      <c r="V209" s="6">
        <f>(Real_Sales[[#This Row],[Price_retail]]-Real_Sales[[#This Row],[Price_current]])/Real_Sales[[#This Row],[Price_retail]]</f>
        <v>0</v>
      </c>
      <c r="W209" s="3" t="str" cm="1">
        <f t="array" ref="W2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09" s="2" t="str">
        <f>IF(Real_Sales[[#This Row],[Price_retail]]&gt;$AC$3,"Premium","Average")</f>
        <v>Average</v>
      </c>
      <c r="Y209" s="2" t="str">
        <f>IF(ISNUMBER(SEARCH("Basic",Real_Sales[[#This Row],[Product_name]])),"Yes","No")</f>
        <v>No</v>
      </c>
      <c r="Z209" s="2" cm="1">
        <f t="array" ref="Z209">_xlfn.IFS(Real_Sales[[#This Row],[Price_retail]]&lt;=15,1, Real_Sales[[#This Row],[Price_retail]]&lt;=30,2, Real_Sales[[#This Row],[Price_retail]]&lt;=50,3,Real_Sales[[#This Row],[Price_retail]]&gt;50,4)</f>
        <v>1</v>
      </c>
    </row>
    <row r="210" spans="1:26" x14ac:dyDescent="0.35">
      <c r="A210" s="2" t="s">
        <v>1211</v>
      </c>
      <c r="B210" s="2" t="s">
        <v>1212</v>
      </c>
      <c r="C210" s="2" t="s">
        <v>102</v>
      </c>
      <c r="D210" s="2" t="s">
        <v>432</v>
      </c>
      <c r="E210" s="2" t="s">
        <v>4</v>
      </c>
      <c r="F210" s="2" t="s">
        <v>5</v>
      </c>
      <c r="G210" s="2" t="s">
        <v>121</v>
      </c>
      <c r="H210" s="2" t="s">
        <v>35</v>
      </c>
      <c r="I210" s="2" t="s">
        <v>3390</v>
      </c>
      <c r="J210" s="3">
        <v>10.3</v>
      </c>
      <c r="K210" s="3">
        <v>6.36</v>
      </c>
      <c r="L210" s="2" t="s">
        <v>8</v>
      </c>
      <c r="M210" s="2" t="s">
        <v>9</v>
      </c>
      <c r="N210" s="3">
        <v>766</v>
      </c>
      <c r="O210" s="2" t="s">
        <v>3392</v>
      </c>
      <c r="P210" s="2" t="s">
        <v>3392</v>
      </c>
      <c r="Q210" s="3"/>
      <c r="R210" s="3"/>
      <c r="S210" s="2" t="s">
        <v>21</v>
      </c>
      <c r="T210" s="4">
        <v>44955</v>
      </c>
      <c r="U210" s="2" t="s">
        <v>1213</v>
      </c>
      <c r="V210" s="6">
        <f>(Real_Sales[[#This Row],[Price_retail]]-Real_Sales[[#This Row],[Price_current]])/Real_Sales[[#This Row],[Price_retail]]</f>
        <v>0.3825242718446602</v>
      </c>
      <c r="W210" s="3" t="str" cm="1">
        <f t="array" ref="W21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0" s="2" t="str">
        <f>IF(Real_Sales[[#This Row],[Price_retail]]&gt;$AC$3,"Premium","Average")</f>
        <v>Average</v>
      </c>
      <c r="Y210" s="2" t="str">
        <f>IF(ISNUMBER(SEARCH("Basic",Real_Sales[[#This Row],[Product_name]])),"Yes","No")</f>
        <v>Yes</v>
      </c>
      <c r="Z210" s="2" cm="1">
        <f t="array" ref="Z210">_xlfn.IFS(Real_Sales[[#This Row],[Price_retail]]&lt;=15,1, Real_Sales[[#This Row],[Price_retail]]&lt;=30,2, Real_Sales[[#This Row],[Price_retail]]&lt;=50,3,Real_Sales[[#This Row],[Price_retail]]&gt;50,4)</f>
        <v>1</v>
      </c>
    </row>
    <row r="211" spans="1:26" x14ac:dyDescent="0.35">
      <c r="A211" s="2" t="s">
        <v>2517</v>
      </c>
      <c r="B211" s="2" t="s">
        <v>2518</v>
      </c>
      <c r="C211" s="2" t="s">
        <v>65</v>
      </c>
      <c r="D211" s="2" t="s">
        <v>704</v>
      </c>
      <c r="E211" s="2" t="s">
        <v>4</v>
      </c>
      <c r="F211" s="2" t="s">
        <v>17</v>
      </c>
      <c r="G211" s="2" t="s">
        <v>27</v>
      </c>
      <c r="H211" s="2" t="s">
        <v>51</v>
      </c>
      <c r="I211" s="2" t="s">
        <v>3390</v>
      </c>
      <c r="J211" s="3">
        <v>10.3</v>
      </c>
      <c r="K211" s="3">
        <v>7.62</v>
      </c>
      <c r="L211" s="2" t="s">
        <v>8</v>
      </c>
      <c r="M211" s="2" t="s">
        <v>9</v>
      </c>
      <c r="N211" s="3">
        <v>659</v>
      </c>
      <c r="O211" s="2" t="s">
        <v>3392</v>
      </c>
      <c r="P211" s="2" t="s">
        <v>37</v>
      </c>
      <c r="Q211" s="3"/>
      <c r="R211" s="3"/>
      <c r="S211" s="2" t="s">
        <v>21</v>
      </c>
      <c r="T211" s="4">
        <v>44955</v>
      </c>
      <c r="U211" s="2" t="s">
        <v>2519</v>
      </c>
      <c r="V211" s="6">
        <f>(Real_Sales[[#This Row],[Price_retail]]-Real_Sales[[#This Row],[Price_current]])/Real_Sales[[#This Row],[Price_retail]]</f>
        <v>0.26019417475728157</v>
      </c>
      <c r="W211" s="3" t="str" cm="1">
        <f t="array" ref="W21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1" s="2" t="str">
        <f>IF(Real_Sales[[#This Row],[Price_retail]]&gt;$AC$3,"Premium","Average")</f>
        <v>Average</v>
      </c>
      <c r="Y211" s="2" t="str">
        <f>IF(ISNUMBER(SEARCH("Basic",Real_Sales[[#This Row],[Product_name]])),"Yes","No")</f>
        <v>No</v>
      </c>
      <c r="Z211" s="2" cm="1">
        <f t="array" ref="Z211">_xlfn.IFS(Real_Sales[[#This Row],[Price_retail]]&lt;=15,1, Real_Sales[[#This Row],[Price_retail]]&lt;=30,2, Real_Sales[[#This Row],[Price_retail]]&lt;=50,3,Real_Sales[[#This Row],[Price_retail]]&gt;50,4)</f>
        <v>1</v>
      </c>
    </row>
    <row r="212" spans="1:26" x14ac:dyDescent="0.35">
      <c r="A212" s="2" t="s">
        <v>55</v>
      </c>
      <c r="B212" s="2" t="s">
        <v>56</v>
      </c>
      <c r="C212" s="2" t="s">
        <v>57</v>
      </c>
      <c r="D212" s="2" t="s">
        <v>58</v>
      </c>
      <c r="E212" s="2" t="s">
        <v>4</v>
      </c>
      <c r="F212" s="2" t="s">
        <v>17</v>
      </c>
      <c r="G212" s="2" t="s">
        <v>18</v>
      </c>
      <c r="H212" s="2" t="s">
        <v>59</v>
      </c>
      <c r="I212" s="2" t="s">
        <v>3390</v>
      </c>
      <c r="J212" s="3">
        <v>10.3</v>
      </c>
      <c r="K212" s="3">
        <v>7.86</v>
      </c>
      <c r="L212" s="2" t="s">
        <v>8</v>
      </c>
      <c r="M212" s="2" t="s">
        <v>9</v>
      </c>
      <c r="N212" s="3">
        <v>524</v>
      </c>
      <c r="O212" s="2" t="s">
        <v>60</v>
      </c>
      <c r="P212" s="2" t="s">
        <v>61</v>
      </c>
      <c r="Q212" s="3"/>
      <c r="R212" s="3"/>
      <c r="S212" s="2" t="s">
        <v>12</v>
      </c>
      <c r="T212" s="4">
        <v>44955</v>
      </c>
      <c r="U212" s="2" t="s">
        <v>62</v>
      </c>
      <c r="V212" s="6">
        <f>(Real_Sales[[#This Row],[Price_retail]]-Real_Sales[[#This Row],[Price_current]])/Real_Sales[[#This Row],[Price_retail]]</f>
        <v>0.23689320388349516</v>
      </c>
      <c r="W212" s="3" t="str" cm="1">
        <f t="array" ref="W21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2" s="2" t="str">
        <f>IF(Real_Sales[[#This Row],[Price_retail]]&gt;$AC$3,"Premium","Average")</f>
        <v>Average</v>
      </c>
      <c r="Y212" s="2" t="str">
        <f>IF(ISNUMBER(SEARCH("Basic",Real_Sales[[#This Row],[Product_name]])),"Yes","No")</f>
        <v>No</v>
      </c>
      <c r="Z212" s="2" cm="1">
        <f t="array" ref="Z212">_xlfn.IFS(Real_Sales[[#This Row],[Price_retail]]&lt;=15,1, Real_Sales[[#This Row],[Price_retail]]&lt;=30,2, Real_Sales[[#This Row],[Price_retail]]&lt;=50,3,Real_Sales[[#This Row],[Price_retail]]&gt;50,4)</f>
        <v>1</v>
      </c>
    </row>
    <row r="213" spans="1:26" x14ac:dyDescent="0.35">
      <c r="A213" s="2" t="s">
        <v>2011</v>
      </c>
      <c r="B213" s="2" t="s">
        <v>2012</v>
      </c>
      <c r="C213" s="2" t="s">
        <v>333</v>
      </c>
      <c r="D213" s="2" t="s">
        <v>929</v>
      </c>
      <c r="E213" s="2" t="s">
        <v>4</v>
      </c>
      <c r="F213" s="2" t="s">
        <v>5</v>
      </c>
      <c r="G213" s="2" t="s">
        <v>6</v>
      </c>
      <c r="H213" s="2" t="s">
        <v>51</v>
      </c>
      <c r="I213" s="2" t="s">
        <v>3395</v>
      </c>
      <c r="J213" s="3">
        <v>10.34</v>
      </c>
      <c r="K213" s="3">
        <v>7.2</v>
      </c>
      <c r="L213" s="2" t="s">
        <v>8</v>
      </c>
      <c r="M213" s="2" t="s">
        <v>9</v>
      </c>
      <c r="N213" s="3">
        <v>708</v>
      </c>
      <c r="O213" s="2" t="s">
        <v>43</v>
      </c>
      <c r="P213" s="2" t="s">
        <v>53</v>
      </c>
      <c r="Q213" s="3"/>
      <c r="R213" s="3"/>
      <c r="S213" s="2" t="s">
        <v>12</v>
      </c>
      <c r="T213" s="4">
        <v>44955</v>
      </c>
      <c r="U213" s="2" t="s">
        <v>2013</v>
      </c>
      <c r="V213" s="6">
        <f>(Real_Sales[[#This Row],[Price_retail]]-Real_Sales[[#This Row],[Price_current]])/Real_Sales[[#This Row],[Price_retail]]</f>
        <v>0.30367504835589937</v>
      </c>
      <c r="W213" s="3" t="str" cm="1">
        <f t="array" ref="W21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3" s="2" t="str">
        <f>IF(Real_Sales[[#This Row],[Price_retail]]&gt;$AC$3,"Premium","Average")</f>
        <v>Average</v>
      </c>
      <c r="Y213" s="2" t="str">
        <f>IF(ISNUMBER(SEARCH("Basic",Real_Sales[[#This Row],[Product_name]])),"Yes","No")</f>
        <v>No</v>
      </c>
      <c r="Z213" s="2" cm="1">
        <f t="array" ref="Z213">_xlfn.IFS(Real_Sales[[#This Row],[Price_retail]]&lt;=15,1, Real_Sales[[#This Row],[Price_retail]]&lt;=30,2, Real_Sales[[#This Row],[Price_retail]]&lt;=50,3,Real_Sales[[#This Row],[Price_retail]]&gt;50,4)</f>
        <v>1</v>
      </c>
    </row>
    <row r="214" spans="1:26" x14ac:dyDescent="0.35">
      <c r="A214" s="2" t="s">
        <v>2234</v>
      </c>
      <c r="B214" s="2" t="s">
        <v>2235</v>
      </c>
      <c r="C214" s="2" t="s">
        <v>746</v>
      </c>
      <c r="D214" s="2" t="s">
        <v>612</v>
      </c>
      <c r="E214" s="2" t="s">
        <v>4</v>
      </c>
      <c r="F214" s="2" t="s">
        <v>17</v>
      </c>
      <c r="G214" s="2" t="s">
        <v>18</v>
      </c>
      <c r="H214" s="2" t="s">
        <v>59</v>
      </c>
      <c r="I214" s="2" t="s">
        <v>3393</v>
      </c>
      <c r="J214" s="3">
        <v>10.39</v>
      </c>
      <c r="K214" s="3">
        <v>10.39</v>
      </c>
      <c r="L214" s="2" t="s">
        <v>3391</v>
      </c>
      <c r="M214" s="2" t="s">
        <v>9</v>
      </c>
      <c r="N214" s="3">
        <v>295</v>
      </c>
      <c r="O214" s="2" t="s">
        <v>20</v>
      </c>
      <c r="P214" s="2" t="s">
        <v>44</v>
      </c>
      <c r="Q214" s="3"/>
      <c r="R214" s="3"/>
      <c r="S214" s="2" t="s">
        <v>21</v>
      </c>
      <c r="T214" s="4">
        <v>44955</v>
      </c>
      <c r="U214" s="2" t="s">
        <v>2236</v>
      </c>
      <c r="V214" s="6">
        <f>(Real_Sales[[#This Row],[Price_retail]]-Real_Sales[[#This Row],[Price_current]])/Real_Sales[[#This Row],[Price_retail]]</f>
        <v>0</v>
      </c>
      <c r="W214" s="3" t="str" cm="1">
        <f t="array" ref="W2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14" s="2" t="str">
        <f>IF(Real_Sales[[#This Row],[Price_retail]]&gt;$AC$3,"Premium","Average")</f>
        <v>Average</v>
      </c>
      <c r="Y214" s="2" t="str">
        <f>IF(ISNUMBER(SEARCH("Basic",Real_Sales[[#This Row],[Product_name]])),"Yes","No")</f>
        <v>Yes</v>
      </c>
      <c r="Z214" s="2" cm="1">
        <f t="array" ref="Z214">_xlfn.IFS(Real_Sales[[#This Row],[Price_retail]]&lt;=15,1, Real_Sales[[#This Row],[Price_retail]]&lt;=30,2, Real_Sales[[#This Row],[Price_retail]]&lt;=50,3,Real_Sales[[#This Row],[Price_retail]]&gt;50,4)</f>
        <v>1</v>
      </c>
    </row>
    <row r="215" spans="1:26" x14ac:dyDescent="0.35">
      <c r="A215" s="2" t="s">
        <v>1397</v>
      </c>
      <c r="B215" s="2" t="s">
        <v>1398</v>
      </c>
      <c r="C215" s="2" t="s">
        <v>3410</v>
      </c>
      <c r="D215" s="2" t="s">
        <v>354</v>
      </c>
      <c r="E215" s="2" t="s">
        <v>4</v>
      </c>
      <c r="F215" s="2" t="s">
        <v>17</v>
      </c>
      <c r="G215" s="2" t="s">
        <v>67</v>
      </c>
      <c r="H215" s="2" t="s">
        <v>90</v>
      </c>
      <c r="I215" s="2" t="s">
        <v>3390</v>
      </c>
      <c r="J215" s="3">
        <v>10.4</v>
      </c>
      <c r="K215" s="3">
        <v>6.56</v>
      </c>
      <c r="L215" s="2" t="s">
        <v>8</v>
      </c>
      <c r="M215" s="2" t="s">
        <v>9</v>
      </c>
      <c r="N215" s="3">
        <v>320</v>
      </c>
      <c r="O215" s="2" t="s">
        <v>261</v>
      </c>
      <c r="P215" s="2" t="s">
        <v>3392</v>
      </c>
      <c r="Q215" s="3"/>
      <c r="R215" s="3"/>
      <c r="S215" s="2" t="s">
        <v>21</v>
      </c>
      <c r="T215" s="4">
        <v>44955</v>
      </c>
      <c r="U215" s="2" t="s">
        <v>1399</v>
      </c>
      <c r="V215" s="6">
        <f>(Real_Sales[[#This Row],[Price_retail]]-Real_Sales[[#This Row],[Price_current]])/Real_Sales[[#This Row],[Price_retail]]</f>
        <v>0.36923076923076931</v>
      </c>
      <c r="W215" s="3" t="str" cm="1">
        <f t="array" ref="W21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5" s="2" t="str">
        <f>IF(Real_Sales[[#This Row],[Price_retail]]&gt;$AC$3,"Premium","Average")</f>
        <v>Average</v>
      </c>
      <c r="Y215" s="2" t="str">
        <f>IF(ISNUMBER(SEARCH("Basic",Real_Sales[[#This Row],[Product_name]])),"Yes","No")</f>
        <v>No</v>
      </c>
      <c r="Z215" s="2" cm="1">
        <f t="array" ref="Z215">_xlfn.IFS(Real_Sales[[#This Row],[Price_retail]]&lt;=15,1, Real_Sales[[#This Row],[Price_retail]]&lt;=30,2, Real_Sales[[#This Row],[Price_retail]]&lt;=50,3,Real_Sales[[#This Row],[Price_retail]]&gt;50,4)</f>
        <v>1</v>
      </c>
    </row>
    <row r="216" spans="1:26" x14ac:dyDescent="0.35">
      <c r="A216" s="2" t="s">
        <v>872</v>
      </c>
      <c r="B216" s="2" t="s">
        <v>873</v>
      </c>
      <c r="C216" s="2" t="s">
        <v>242</v>
      </c>
      <c r="D216" s="2" t="s">
        <v>338</v>
      </c>
      <c r="E216" s="2" t="s">
        <v>4</v>
      </c>
      <c r="F216" s="2" t="s">
        <v>17</v>
      </c>
      <c r="G216" s="2" t="s">
        <v>27</v>
      </c>
      <c r="H216" s="2" t="s">
        <v>90</v>
      </c>
      <c r="I216" s="2" t="s">
        <v>3390</v>
      </c>
      <c r="J216" s="3">
        <v>10.41</v>
      </c>
      <c r="K216" s="3">
        <v>5.62</v>
      </c>
      <c r="L216" s="2" t="s">
        <v>8</v>
      </c>
      <c r="M216" s="2" t="s">
        <v>9</v>
      </c>
      <c r="N216" s="3">
        <v>597</v>
      </c>
      <c r="O216" s="2" t="s">
        <v>191</v>
      </c>
      <c r="P216" s="2" t="s">
        <v>238</v>
      </c>
      <c r="Q216" s="3"/>
      <c r="R216" s="3"/>
      <c r="S216" s="2" t="s">
        <v>21</v>
      </c>
      <c r="T216" s="4">
        <v>44955</v>
      </c>
      <c r="U216" s="2" t="s">
        <v>874</v>
      </c>
      <c r="V216" s="6">
        <f>(Real_Sales[[#This Row],[Price_retail]]-Real_Sales[[#This Row],[Price_current]])/Real_Sales[[#This Row],[Price_retail]]</f>
        <v>0.46013448607108548</v>
      </c>
      <c r="W216" s="3" t="str" cm="1">
        <f t="array" ref="W21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6" s="2" t="str">
        <f>IF(Real_Sales[[#This Row],[Price_retail]]&gt;$AC$3,"Premium","Average")</f>
        <v>Average</v>
      </c>
      <c r="Y216" s="2" t="str">
        <f>IF(ISNUMBER(SEARCH("Basic",Real_Sales[[#This Row],[Product_name]])),"Yes","No")</f>
        <v>No</v>
      </c>
      <c r="Z216" s="2" cm="1">
        <f t="array" ref="Z216">_xlfn.IFS(Real_Sales[[#This Row],[Price_retail]]&lt;=15,1, Real_Sales[[#This Row],[Price_retail]]&lt;=30,2, Real_Sales[[#This Row],[Price_retail]]&lt;=50,3,Real_Sales[[#This Row],[Price_retail]]&gt;50,4)</f>
        <v>1</v>
      </c>
    </row>
    <row r="217" spans="1:26" x14ac:dyDescent="0.35">
      <c r="A217" s="2" t="s">
        <v>2231</v>
      </c>
      <c r="B217" s="2" t="s">
        <v>2232</v>
      </c>
      <c r="C217" s="2" t="s">
        <v>995</v>
      </c>
      <c r="D217" s="2" t="s">
        <v>1495</v>
      </c>
      <c r="E217" s="2" t="s">
        <v>4</v>
      </c>
      <c r="F217" s="2" t="s">
        <v>5</v>
      </c>
      <c r="G217" s="2" t="s">
        <v>6</v>
      </c>
      <c r="H217" s="2"/>
      <c r="I217" s="2" t="s">
        <v>3390</v>
      </c>
      <c r="J217" s="3">
        <v>10.45</v>
      </c>
      <c r="K217" s="3">
        <v>10.45</v>
      </c>
      <c r="L217" s="2" t="s">
        <v>3391</v>
      </c>
      <c r="M217" s="2" t="s">
        <v>9</v>
      </c>
      <c r="N217" s="3">
        <v>219</v>
      </c>
      <c r="O217" s="2" t="s">
        <v>347</v>
      </c>
      <c r="P217" s="2" t="s">
        <v>3392</v>
      </c>
      <c r="Q217" s="3"/>
      <c r="R217" s="3"/>
      <c r="S217" s="2" t="s">
        <v>21</v>
      </c>
      <c r="T217" s="4">
        <v>44955</v>
      </c>
      <c r="U217" s="2" t="s">
        <v>2233</v>
      </c>
      <c r="V217" s="6">
        <f>(Real_Sales[[#This Row],[Price_retail]]-Real_Sales[[#This Row],[Price_current]])/Real_Sales[[#This Row],[Price_retail]]</f>
        <v>0</v>
      </c>
      <c r="W217" s="3" t="str" cm="1">
        <f t="array" ref="W2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17" s="2" t="str">
        <f>IF(Real_Sales[[#This Row],[Price_retail]]&gt;$AC$3,"Premium","Average")</f>
        <v>Average</v>
      </c>
      <c r="Y217" s="2" t="str">
        <f>IF(ISNUMBER(SEARCH("Basic",Real_Sales[[#This Row],[Product_name]])),"Yes","No")</f>
        <v>No</v>
      </c>
      <c r="Z217" s="2" cm="1">
        <f t="array" ref="Z217">_xlfn.IFS(Real_Sales[[#This Row],[Price_retail]]&lt;=15,1, Real_Sales[[#This Row],[Price_retail]]&lt;=30,2, Real_Sales[[#This Row],[Price_retail]]&lt;=50,3,Real_Sales[[#This Row],[Price_retail]]&gt;50,4)</f>
        <v>1</v>
      </c>
    </row>
    <row r="218" spans="1:26" x14ac:dyDescent="0.35">
      <c r="A218" s="2" t="s">
        <v>2356</v>
      </c>
      <c r="B218" s="2" t="s">
        <v>2357</v>
      </c>
      <c r="C218" s="2" t="s">
        <v>703</v>
      </c>
      <c r="D218" s="2" t="s">
        <v>1139</v>
      </c>
      <c r="E218" s="2" t="s">
        <v>4</v>
      </c>
      <c r="F218" s="2" t="s">
        <v>17</v>
      </c>
      <c r="G218" s="2" t="s">
        <v>67</v>
      </c>
      <c r="H218" s="2" t="s">
        <v>418</v>
      </c>
      <c r="I218" s="2" t="s">
        <v>3390</v>
      </c>
      <c r="J218" s="3">
        <v>10.47</v>
      </c>
      <c r="K218" s="3">
        <v>6.75</v>
      </c>
      <c r="L218" s="2" t="s">
        <v>8</v>
      </c>
      <c r="M218" s="2" t="s">
        <v>9</v>
      </c>
      <c r="N218" s="3">
        <v>843</v>
      </c>
      <c r="O218" s="2" t="s">
        <v>3392</v>
      </c>
      <c r="P218" s="2" t="s">
        <v>84</v>
      </c>
      <c r="Q218" s="3"/>
      <c r="R218" s="3"/>
      <c r="S218" s="2" t="s">
        <v>21</v>
      </c>
      <c r="T218" s="4">
        <v>44955</v>
      </c>
      <c r="U218" s="2" t="s">
        <v>2358</v>
      </c>
      <c r="V218" s="6">
        <f>(Real_Sales[[#This Row],[Price_retail]]-Real_Sales[[#This Row],[Price_current]])/Real_Sales[[#This Row],[Price_retail]]</f>
        <v>0.35530085959885394</v>
      </c>
      <c r="W218" s="3" t="str" cm="1">
        <f t="array" ref="W21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18" s="2" t="str">
        <f>IF(Real_Sales[[#This Row],[Price_retail]]&gt;$AC$3,"Premium","Average")</f>
        <v>Average</v>
      </c>
      <c r="Y218" s="2" t="str">
        <f>IF(ISNUMBER(SEARCH("Basic",Real_Sales[[#This Row],[Product_name]])),"Yes","No")</f>
        <v>No</v>
      </c>
      <c r="Z218" s="2" cm="1">
        <f t="array" ref="Z218">_xlfn.IFS(Real_Sales[[#This Row],[Price_retail]]&lt;=15,1, Real_Sales[[#This Row],[Price_retail]]&lt;=30,2, Real_Sales[[#This Row],[Price_retail]]&lt;=50,3,Real_Sales[[#This Row],[Price_retail]]&gt;50,4)</f>
        <v>1</v>
      </c>
    </row>
    <row r="219" spans="1:26" x14ac:dyDescent="0.35">
      <c r="A219" s="2" t="s">
        <v>3116</v>
      </c>
      <c r="B219" s="2" t="s">
        <v>3117</v>
      </c>
      <c r="C219" s="2" t="s">
        <v>242</v>
      </c>
      <c r="D219" s="2" t="s">
        <v>3431</v>
      </c>
      <c r="E219" s="2" t="s">
        <v>4</v>
      </c>
      <c r="F219" s="2" t="s">
        <v>17</v>
      </c>
      <c r="G219" s="2" t="s">
        <v>50</v>
      </c>
      <c r="H219" s="2" t="s">
        <v>145</v>
      </c>
      <c r="I219" s="2" t="s">
        <v>3390</v>
      </c>
      <c r="J219" s="3">
        <v>10.47</v>
      </c>
      <c r="K219" s="3">
        <v>10.47</v>
      </c>
      <c r="L219" s="2" t="s">
        <v>3391</v>
      </c>
      <c r="M219" s="2" t="s">
        <v>9</v>
      </c>
      <c r="N219" s="3">
        <v>256</v>
      </c>
      <c r="O219" s="2" t="s">
        <v>3392</v>
      </c>
      <c r="P219" s="2" t="s">
        <v>221</v>
      </c>
      <c r="Q219" s="3"/>
      <c r="R219" s="3"/>
      <c r="S219" s="2" t="s">
        <v>21</v>
      </c>
      <c r="T219" s="4">
        <v>44955</v>
      </c>
      <c r="U219" s="2" t="s">
        <v>3118</v>
      </c>
      <c r="V219" s="6">
        <f>(Real_Sales[[#This Row],[Price_retail]]-Real_Sales[[#This Row],[Price_current]])/Real_Sales[[#This Row],[Price_retail]]</f>
        <v>0</v>
      </c>
      <c r="W219" s="3" t="str" cm="1">
        <f t="array" ref="W21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19" s="2" t="str">
        <f>IF(Real_Sales[[#This Row],[Price_retail]]&gt;$AC$3,"Premium","Average")</f>
        <v>Average</v>
      </c>
      <c r="Y219" s="2" t="str">
        <f>IF(ISNUMBER(SEARCH("Basic",Real_Sales[[#This Row],[Product_name]])),"Yes","No")</f>
        <v>No</v>
      </c>
      <c r="Z219" s="2" cm="1">
        <f t="array" ref="Z219">_xlfn.IFS(Real_Sales[[#This Row],[Price_retail]]&lt;=15,1, Real_Sales[[#This Row],[Price_retail]]&lt;=30,2, Real_Sales[[#This Row],[Price_retail]]&lt;=50,3,Real_Sales[[#This Row],[Price_retail]]&gt;50,4)</f>
        <v>1</v>
      </c>
    </row>
    <row r="220" spans="1:26" x14ac:dyDescent="0.35">
      <c r="A220" s="2" t="s">
        <v>2120</v>
      </c>
      <c r="B220" s="2" t="s">
        <v>2121</v>
      </c>
      <c r="C220" s="2" t="s">
        <v>213</v>
      </c>
      <c r="D220" s="2" t="s">
        <v>432</v>
      </c>
      <c r="E220" s="2" t="s">
        <v>4</v>
      </c>
      <c r="F220" s="2" t="s">
        <v>5</v>
      </c>
      <c r="G220" s="2" t="s">
        <v>82</v>
      </c>
      <c r="H220" s="2" t="s">
        <v>35</v>
      </c>
      <c r="I220" s="2" t="s">
        <v>3393</v>
      </c>
      <c r="J220" s="3">
        <v>10.51</v>
      </c>
      <c r="K220" s="3">
        <v>7.47</v>
      </c>
      <c r="L220" s="2" t="s">
        <v>8</v>
      </c>
      <c r="M220" s="2" t="s">
        <v>9</v>
      </c>
      <c r="N220" s="3">
        <v>25</v>
      </c>
      <c r="O220" s="2" t="s">
        <v>3392</v>
      </c>
      <c r="P220" s="2" t="s">
        <v>215</v>
      </c>
      <c r="Q220" s="3"/>
      <c r="R220" s="3"/>
      <c r="S220" s="2" t="s">
        <v>21</v>
      </c>
      <c r="T220" s="4">
        <v>44955</v>
      </c>
      <c r="U220" s="2" t="s">
        <v>2122</v>
      </c>
      <c r="V220" s="6">
        <f>(Real_Sales[[#This Row],[Price_retail]]-Real_Sales[[#This Row],[Price_current]])/Real_Sales[[#This Row],[Price_retail]]</f>
        <v>0.28924833491912466</v>
      </c>
      <c r="W220" s="3" t="str" cm="1">
        <f t="array" ref="W22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20" s="2" t="str">
        <f>IF(Real_Sales[[#This Row],[Price_retail]]&gt;$AC$3,"Premium","Average")</f>
        <v>Average</v>
      </c>
      <c r="Y220" s="2" t="str">
        <f>IF(ISNUMBER(SEARCH("Basic",Real_Sales[[#This Row],[Product_name]])),"Yes","No")</f>
        <v>Yes</v>
      </c>
      <c r="Z220" s="2" cm="1">
        <f t="array" ref="Z220">_xlfn.IFS(Real_Sales[[#This Row],[Price_retail]]&lt;=15,1, Real_Sales[[#This Row],[Price_retail]]&lt;=30,2, Real_Sales[[#This Row],[Price_retail]]&lt;=50,3,Real_Sales[[#This Row],[Price_retail]]&gt;50,4)</f>
        <v>1</v>
      </c>
    </row>
    <row r="221" spans="1:26" x14ac:dyDescent="0.35">
      <c r="A221" s="2" t="s">
        <v>1500</v>
      </c>
      <c r="B221" s="2" t="s">
        <v>1501</v>
      </c>
      <c r="C221" s="2" t="s">
        <v>721</v>
      </c>
      <c r="D221" s="2" t="s">
        <v>1011</v>
      </c>
      <c r="E221" s="2" t="s">
        <v>4</v>
      </c>
      <c r="F221" s="2" t="s">
        <v>17</v>
      </c>
      <c r="G221" s="2" t="s">
        <v>27</v>
      </c>
      <c r="H221" s="2" t="s">
        <v>68</v>
      </c>
      <c r="I221" s="2" t="s">
        <v>3393</v>
      </c>
      <c r="J221" s="3">
        <v>10.52</v>
      </c>
      <c r="K221" s="3">
        <v>6.11</v>
      </c>
      <c r="L221" s="2" t="s">
        <v>8</v>
      </c>
      <c r="M221" s="2" t="s">
        <v>9</v>
      </c>
      <c r="N221" s="3">
        <v>115</v>
      </c>
      <c r="O221" s="2" t="s">
        <v>104</v>
      </c>
      <c r="P221" s="2" t="s">
        <v>221</v>
      </c>
      <c r="Q221" s="3"/>
      <c r="R221" s="3"/>
      <c r="S221" s="2" t="s">
        <v>21</v>
      </c>
      <c r="T221" s="4">
        <v>44955</v>
      </c>
      <c r="U221" s="2" t="s">
        <v>1502</v>
      </c>
      <c r="V221" s="6">
        <f>(Real_Sales[[#This Row],[Price_retail]]-Real_Sales[[#This Row],[Price_current]])/Real_Sales[[#This Row],[Price_retail]]</f>
        <v>0.41920152091254748</v>
      </c>
      <c r="W221" s="3" t="str" cm="1">
        <f t="array" ref="W22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21" s="2" t="str">
        <f>IF(Real_Sales[[#This Row],[Price_retail]]&gt;$AC$3,"Premium","Average")</f>
        <v>Average</v>
      </c>
      <c r="Y221" s="2" t="str">
        <f>IF(ISNUMBER(SEARCH("Basic",Real_Sales[[#This Row],[Product_name]])),"Yes","No")</f>
        <v>No</v>
      </c>
      <c r="Z221" s="2" cm="1">
        <f t="array" ref="Z221">_xlfn.IFS(Real_Sales[[#This Row],[Price_retail]]&lt;=15,1, Real_Sales[[#This Row],[Price_retail]]&lt;=30,2, Real_Sales[[#This Row],[Price_retail]]&lt;=50,3,Real_Sales[[#This Row],[Price_retail]]&gt;50,4)</f>
        <v>1</v>
      </c>
    </row>
    <row r="222" spans="1:26" x14ac:dyDescent="0.35">
      <c r="A222" s="2" t="s">
        <v>2901</v>
      </c>
      <c r="B222" s="2" t="s">
        <v>2902</v>
      </c>
      <c r="C222" s="2" t="s">
        <v>242</v>
      </c>
      <c r="D222" s="2" t="s">
        <v>392</v>
      </c>
      <c r="E222" s="2" t="s">
        <v>4</v>
      </c>
      <c r="F222" s="2" t="s">
        <v>17</v>
      </c>
      <c r="G222" s="2" t="s">
        <v>50</v>
      </c>
      <c r="H222" s="2" t="s">
        <v>19</v>
      </c>
      <c r="I222" s="2" t="s">
        <v>3393</v>
      </c>
      <c r="J222" s="3">
        <v>10.54</v>
      </c>
      <c r="K222" s="3">
        <v>7.94</v>
      </c>
      <c r="L222" s="2" t="s">
        <v>8</v>
      </c>
      <c r="M222" s="2" t="s">
        <v>9</v>
      </c>
      <c r="N222" s="3">
        <v>650</v>
      </c>
      <c r="O222" s="2" t="s">
        <v>36</v>
      </c>
      <c r="P222" s="2" t="s">
        <v>177</v>
      </c>
      <c r="Q222" s="3"/>
      <c r="R222" s="3"/>
      <c r="S222" s="2" t="s">
        <v>21</v>
      </c>
      <c r="T222" s="4">
        <v>44955</v>
      </c>
      <c r="U222" s="2" t="s">
        <v>2903</v>
      </c>
      <c r="V222" s="6">
        <f>(Real_Sales[[#This Row],[Price_retail]]-Real_Sales[[#This Row],[Price_current]])/Real_Sales[[#This Row],[Price_retail]]</f>
        <v>0.24667931688804545</v>
      </c>
      <c r="W222" s="3" t="str" cm="1">
        <f t="array" ref="W22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22" s="2" t="str">
        <f>IF(Real_Sales[[#This Row],[Price_retail]]&gt;$AC$3,"Premium","Average")</f>
        <v>Average</v>
      </c>
      <c r="Y222" s="2" t="str">
        <f>IF(ISNUMBER(SEARCH("Basic",Real_Sales[[#This Row],[Product_name]])),"Yes","No")</f>
        <v>No</v>
      </c>
      <c r="Z222" s="2" cm="1">
        <f t="array" ref="Z222">_xlfn.IFS(Real_Sales[[#This Row],[Price_retail]]&lt;=15,1, Real_Sales[[#This Row],[Price_retail]]&lt;=30,2, Real_Sales[[#This Row],[Price_retail]]&lt;=50,3,Real_Sales[[#This Row],[Price_retail]]&gt;50,4)</f>
        <v>1</v>
      </c>
    </row>
    <row r="223" spans="1:26" x14ac:dyDescent="0.35">
      <c r="A223" s="2" t="s">
        <v>2444</v>
      </c>
      <c r="B223" s="2" t="s">
        <v>2445</v>
      </c>
      <c r="C223" s="2" t="s">
        <v>3394</v>
      </c>
      <c r="D223" s="2" t="s">
        <v>138</v>
      </c>
      <c r="E223" s="2" t="s">
        <v>4</v>
      </c>
      <c r="F223" s="2" t="s">
        <v>5</v>
      </c>
      <c r="G223" s="2" t="s">
        <v>121</v>
      </c>
      <c r="H223" s="2" t="s">
        <v>139</v>
      </c>
      <c r="I223" s="2" t="s">
        <v>3390</v>
      </c>
      <c r="J223" s="3">
        <v>10.54</v>
      </c>
      <c r="K223" s="3">
        <v>10.54</v>
      </c>
      <c r="L223" s="2" t="s">
        <v>3391</v>
      </c>
      <c r="M223" s="2" t="s">
        <v>9</v>
      </c>
      <c r="N223" s="3">
        <v>464</v>
      </c>
      <c r="O223" s="2" t="s">
        <v>140</v>
      </c>
      <c r="P223" s="2" t="s">
        <v>44</v>
      </c>
      <c r="Q223" s="3"/>
      <c r="R223" s="3"/>
      <c r="S223" s="2" t="s">
        <v>21</v>
      </c>
      <c r="T223" s="4">
        <v>44955</v>
      </c>
      <c r="U223" s="2" t="s">
        <v>2446</v>
      </c>
      <c r="V223" s="6">
        <f>(Real_Sales[[#This Row],[Price_retail]]-Real_Sales[[#This Row],[Price_current]])/Real_Sales[[#This Row],[Price_retail]]</f>
        <v>0</v>
      </c>
      <c r="W223" s="3" t="str" cm="1">
        <f t="array" ref="W22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23" s="2" t="str">
        <f>IF(Real_Sales[[#This Row],[Price_retail]]&gt;$AC$3,"Premium","Average")</f>
        <v>Average</v>
      </c>
      <c r="Y223" s="2" t="str">
        <f>IF(ISNUMBER(SEARCH("Basic",Real_Sales[[#This Row],[Product_name]])),"Yes","No")</f>
        <v>Yes</v>
      </c>
      <c r="Z223" s="2" cm="1">
        <f t="array" ref="Z223">_xlfn.IFS(Real_Sales[[#This Row],[Price_retail]]&lt;=15,1, Real_Sales[[#This Row],[Price_retail]]&lt;=30,2, Real_Sales[[#This Row],[Price_retail]]&lt;=50,3,Real_Sales[[#This Row],[Price_retail]]&gt;50,4)</f>
        <v>1</v>
      </c>
    </row>
    <row r="224" spans="1:26" x14ac:dyDescent="0.35">
      <c r="A224" s="2" t="s">
        <v>669</v>
      </c>
      <c r="B224" s="2" t="s">
        <v>670</v>
      </c>
      <c r="C224" s="2" t="s">
        <v>3406</v>
      </c>
      <c r="D224" s="2" t="s">
        <v>127</v>
      </c>
      <c r="E224" s="2" t="s">
        <v>4</v>
      </c>
      <c r="F224" s="2" t="s">
        <v>5</v>
      </c>
      <c r="G224" s="2" t="s">
        <v>82</v>
      </c>
      <c r="H224" s="2" t="s">
        <v>110</v>
      </c>
      <c r="I224" s="2" t="s">
        <v>3393</v>
      </c>
      <c r="J224" s="3">
        <v>10.55</v>
      </c>
      <c r="K224" s="3">
        <v>6.82</v>
      </c>
      <c r="L224" s="2" t="s">
        <v>8</v>
      </c>
      <c r="M224" s="2" t="s">
        <v>9</v>
      </c>
      <c r="N224" s="3">
        <v>942</v>
      </c>
      <c r="O224" s="2" t="s">
        <v>29</v>
      </c>
      <c r="P224" s="2" t="s">
        <v>221</v>
      </c>
      <c r="Q224" s="3"/>
      <c r="R224" s="3"/>
      <c r="S224" s="2" t="s">
        <v>12</v>
      </c>
      <c r="T224" s="4">
        <v>44955</v>
      </c>
      <c r="U224" s="2" t="s">
        <v>671</v>
      </c>
      <c r="V224" s="6">
        <f>(Real_Sales[[#This Row],[Price_retail]]-Real_Sales[[#This Row],[Price_current]])/Real_Sales[[#This Row],[Price_retail]]</f>
        <v>0.35355450236966829</v>
      </c>
      <c r="W224" s="3" t="str" cm="1">
        <f t="array" ref="W22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24" s="2" t="str">
        <f>IF(Real_Sales[[#This Row],[Price_retail]]&gt;$AC$3,"Premium","Average")</f>
        <v>Average</v>
      </c>
      <c r="Y224" s="2" t="str">
        <f>IF(ISNUMBER(SEARCH("Basic",Real_Sales[[#This Row],[Product_name]])),"Yes","No")</f>
        <v>No</v>
      </c>
      <c r="Z224" s="2" cm="1">
        <f t="array" ref="Z224">_xlfn.IFS(Real_Sales[[#This Row],[Price_retail]]&lt;=15,1, Real_Sales[[#This Row],[Price_retail]]&lt;=30,2, Real_Sales[[#This Row],[Price_retail]]&lt;=50,3,Real_Sales[[#This Row],[Price_retail]]&gt;50,4)</f>
        <v>1</v>
      </c>
    </row>
    <row r="225" spans="1:26" x14ac:dyDescent="0.35">
      <c r="A225" s="2" t="s">
        <v>1729</v>
      </c>
      <c r="B225" s="2" t="s">
        <v>1730</v>
      </c>
      <c r="C225" s="2" t="s">
        <v>3410</v>
      </c>
      <c r="D225" s="2" t="s">
        <v>537</v>
      </c>
      <c r="E225" s="2" t="s">
        <v>4</v>
      </c>
      <c r="F225" s="2" t="s">
        <v>5</v>
      </c>
      <c r="G225" s="2" t="s">
        <v>82</v>
      </c>
      <c r="H225" s="2" t="s">
        <v>145</v>
      </c>
      <c r="I225" s="2" t="s">
        <v>3393</v>
      </c>
      <c r="J225" s="3">
        <v>10.55</v>
      </c>
      <c r="K225" s="3">
        <v>10.55</v>
      </c>
      <c r="L225" s="2" t="s">
        <v>3391</v>
      </c>
      <c r="M225" s="2" t="s">
        <v>9</v>
      </c>
      <c r="N225" s="3">
        <v>954</v>
      </c>
      <c r="O225" s="2" t="s">
        <v>69</v>
      </c>
      <c r="P225" s="2" t="s">
        <v>419</v>
      </c>
      <c r="Q225" s="3"/>
      <c r="R225" s="3"/>
      <c r="S225" s="2" t="s">
        <v>21</v>
      </c>
      <c r="T225" s="4">
        <v>44955</v>
      </c>
      <c r="U225" s="2" t="s">
        <v>1731</v>
      </c>
      <c r="V225" s="6">
        <f>(Real_Sales[[#This Row],[Price_retail]]-Real_Sales[[#This Row],[Price_current]])/Real_Sales[[#This Row],[Price_retail]]</f>
        <v>0</v>
      </c>
      <c r="W225" s="3" t="str" cm="1">
        <f t="array" ref="W22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25" s="2" t="str">
        <f>IF(Real_Sales[[#This Row],[Price_retail]]&gt;$AC$3,"Premium","Average")</f>
        <v>Average</v>
      </c>
      <c r="Y225" s="2" t="str">
        <f>IF(ISNUMBER(SEARCH("Basic",Real_Sales[[#This Row],[Product_name]])),"Yes","No")</f>
        <v>No</v>
      </c>
      <c r="Z225" s="2" cm="1">
        <f t="array" ref="Z225">_xlfn.IFS(Real_Sales[[#This Row],[Price_retail]]&lt;=15,1, Real_Sales[[#This Row],[Price_retail]]&lt;=30,2, Real_Sales[[#This Row],[Price_retail]]&lt;=50,3,Real_Sales[[#This Row],[Price_retail]]&gt;50,4)</f>
        <v>1</v>
      </c>
    </row>
    <row r="226" spans="1:26" x14ac:dyDescent="0.35">
      <c r="A226" s="2" t="s">
        <v>1341</v>
      </c>
      <c r="B226" s="2" t="s">
        <v>1342</v>
      </c>
      <c r="C226" s="2" t="s">
        <v>525</v>
      </c>
      <c r="D226" s="2" t="s">
        <v>617</v>
      </c>
      <c r="E226" s="2" t="s">
        <v>4</v>
      </c>
      <c r="F226" s="2" t="s">
        <v>5</v>
      </c>
      <c r="G226" s="2" t="s">
        <v>121</v>
      </c>
      <c r="H226" s="2" t="s">
        <v>83</v>
      </c>
      <c r="I226" s="2" t="s">
        <v>3393</v>
      </c>
      <c r="J226" s="3">
        <v>10.56</v>
      </c>
      <c r="K226" s="3">
        <v>7.6</v>
      </c>
      <c r="L226" s="2" t="s">
        <v>8</v>
      </c>
      <c r="M226" s="2" t="s">
        <v>9</v>
      </c>
      <c r="N226" s="3">
        <v>792</v>
      </c>
      <c r="O226" s="2" t="s">
        <v>52</v>
      </c>
      <c r="P226" s="2" t="s">
        <v>70</v>
      </c>
      <c r="Q226" s="3"/>
      <c r="R226" s="3"/>
      <c r="S226" s="2" t="s">
        <v>21</v>
      </c>
      <c r="T226" s="4">
        <v>44955</v>
      </c>
      <c r="U226" s="2" t="s">
        <v>1343</v>
      </c>
      <c r="V226" s="6">
        <f>(Real_Sales[[#This Row],[Price_retail]]-Real_Sales[[#This Row],[Price_current]])/Real_Sales[[#This Row],[Price_retail]]</f>
        <v>0.28030303030303039</v>
      </c>
      <c r="W226" s="3" t="str" cm="1">
        <f t="array" ref="W22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26" s="2" t="str">
        <f>IF(Real_Sales[[#This Row],[Price_retail]]&gt;$AC$3,"Premium","Average")</f>
        <v>Average</v>
      </c>
      <c r="Y226" s="2" t="str">
        <f>IF(ISNUMBER(SEARCH("Basic",Real_Sales[[#This Row],[Product_name]])),"Yes","No")</f>
        <v>No</v>
      </c>
      <c r="Z226" s="2" cm="1">
        <f t="array" ref="Z226">_xlfn.IFS(Real_Sales[[#This Row],[Price_retail]]&lt;=15,1, Real_Sales[[#This Row],[Price_retail]]&lt;=30,2, Real_Sales[[#This Row],[Price_retail]]&lt;=50,3,Real_Sales[[#This Row],[Price_retail]]&gt;50,4)</f>
        <v>1</v>
      </c>
    </row>
    <row r="227" spans="1:26" x14ac:dyDescent="0.35">
      <c r="A227" s="2" t="s">
        <v>2213</v>
      </c>
      <c r="B227" s="2" t="s">
        <v>2214</v>
      </c>
      <c r="C227" s="2" t="s">
        <v>318</v>
      </c>
      <c r="D227" s="2" t="s">
        <v>167</v>
      </c>
      <c r="E227" s="2" t="s">
        <v>4</v>
      </c>
      <c r="F227" s="2" t="s">
        <v>17</v>
      </c>
      <c r="G227" s="2" t="s">
        <v>27</v>
      </c>
      <c r="H227" s="2" t="s">
        <v>168</v>
      </c>
      <c r="I227" s="2" t="s">
        <v>3395</v>
      </c>
      <c r="J227" s="3">
        <v>10.59</v>
      </c>
      <c r="K227" s="3">
        <v>10.59</v>
      </c>
      <c r="L227" s="2" t="s">
        <v>3391</v>
      </c>
      <c r="M227" s="2" t="s">
        <v>9</v>
      </c>
      <c r="N227" s="3">
        <v>108</v>
      </c>
      <c r="O227" s="2" t="s">
        <v>69</v>
      </c>
      <c r="P227" s="2" t="s">
        <v>44</v>
      </c>
      <c r="Q227" s="3"/>
      <c r="R227" s="3"/>
      <c r="S227" s="2" t="s">
        <v>21</v>
      </c>
      <c r="T227" s="4">
        <v>44955</v>
      </c>
      <c r="U227" s="2" t="s">
        <v>2215</v>
      </c>
      <c r="V227" s="6">
        <f>(Real_Sales[[#This Row],[Price_retail]]-Real_Sales[[#This Row],[Price_current]])/Real_Sales[[#This Row],[Price_retail]]</f>
        <v>0</v>
      </c>
      <c r="W227" s="3" t="str" cm="1">
        <f t="array" ref="W22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27" s="2" t="str">
        <f>IF(Real_Sales[[#This Row],[Price_retail]]&gt;$AC$3,"Premium","Average")</f>
        <v>Average</v>
      </c>
      <c r="Y227" s="2" t="str">
        <f>IF(ISNUMBER(SEARCH("Basic",Real_Sales[[#This Row],[Product_name]])),"Yes","No")</f>
        <v>No</v>
      </c>
      <c r="Z227" s="2" cm="1">
        <f t="array" ref="Z227">_xlfn.IFS(Real_Sales[[#This Row],[Price_retail]]&lt;=15,1, Real_Sales[[#This Row],[Price_retail]]&lt;=30,2, Real_Sales[[#This Row],[Price_retail]]&lt;=50,3,Real_Sales[[#This Row],[Price_retail]]&gt;50,4)</f>
        <v>1</v>
      </c>
    </row>
    <row r="228" spans="1:26" x14ac:dyDescent="0.35">
      <c r="A228" s="2" t="s">
        <v>1312</v>
      </c>
      <c r="B228" s="2" t="s">
        <v>1313</v>
      </c>
      <c r="C228" s="2" t="s">
        <v>1314</v>
      </c>
      <c r="D228" s="2" t="s">
        <v>1050</v>
      </c>
      <c r="E228" s="2" t="s">
        <v>4</v>
      </c>
      <c r="F228" s="2" t="s">
        <v>5</v>
      </c>
      <c r="G228" s="2" t="s">
        <v>6</v>
      </c>
      <c r="H228" s="2" t="s">
        <v>68</v>
      </c>
      <c r="I228" s="2" t="s">
        <v>3393</v>
      </c>
      <c r="J228" s="3">
        <v>10.62</v>
      </c>
      <c r="K228" s="3">
        <v>10.62</v>
      </c>
      <c r="L228" s="2" t="s">
        <v>3391</v>
      </c>
      <c r="M228" s="2" t="s">
        <v>9</v>
      </c>
      <c r="N228" s="3">
        <v>657</v>
      </c>
      <c r="O228" s="2" t="s">
        <v>104</v>
      </c>
      <c r="P228" s="2" t="s">
        <v>76</v>
      </c>
      <c r="Q228" s="3"/>
      <c r="R228" s="3"/>
      <c r="S228" s="2" t="s">
        <v>12</v>
      </c>
      <c r="T228" s="4">
        <v>44955</v>
      </c>
      <c r="U228" s="2" t="s">
        <v>1315</v>
      </c>
      <c r="V228" s="6">
        <f>(Real_Sales[[#This Row],[Price_retail]]-Real_Sales[[#This Row],[Price_current]])/Real_Sales[[#This Row],[Price_retail]]</f>
        <v>0</v>
      </c>
      <c r="W228" s="3" t="str" cm="1">
        <f t="array" ref="W22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28" s="2" t="str">
        <f>IF(Real_Sales[[#This Row],[Price_retail]]&gt;$AC$3,"Premium","Average")</f>
        <v>Average</v>
      </c>
      <c r="Y228" s="2" t="str">
        <f>IF(ISNUMBER(SEARCH("Basic",Real_Sales[[#This Row],[Product_name]])),"Yes","No")</f>
        <v>Yes</v>
      </c>
      <c r="Z228" s="2" cm="1">
        <f t="array" ref="Z228">_xlfn.IFS(Real_Sales[[#This Row],[Price_retail]]&lt;=15,1, Real_Sales[[#This Row],[Price_retail]]&lt;=30,2, Real_Sales[[#This Row],[Price_retail]]&lt;=50,3,Real_Sales[[#This Row],[Price_retail]]&gt;50,4)</f>
        <v>1</v>
      </c>
    </row>
    <row r="229" spans="1:26" x14ac:dyDescent="0.35">
      <c r="A229" s="2" t="s">
        <v>1859</v>
      </c>
      <c r="B229" s="2" t="s">
        <v>1860</v>
      </c>
      <c r="C229" s="2" t="s">
        <v>102</v>
      </c>
      <c r="D229" s="2" t="s">
        <v>470</v>
      </c>
      <c r="E229" s="2" t="s">
        <v>4</v>
      </c>
      <c r="F229" s="2" t="s">
        <v>17</v>
      </c>
      <c r="G229" s="2" t="s">
        <v>18</v>
      </c>
      <c r="H229" s="2" t="s">
        <v>185</v>
      </c>
      <c r="I229" s="2" t="s">
        <v>3390</v>
      </c>
      <c r="J229" s="3">
        <v>10.64</v>
      </c>
      <c r="K229" s="3">
        <v>10.64</v>
      </c>
      <c r="L229" s="2" t="s">
        <v>3391</v>
      </c>
      <c r="M229" s="2" t="s">
        <v>9</v>
      </c>
      <c r="N229" s="3">
        <v>214</v>
      </c>
      <c r="O229" s="2" t="s">
        <v>69</v>
      </c>
      <c r="P229" s="2" t="s">
        <v>92</v>
      </c>
      <c r="Q229" s="3"/>
      <c r="R229" s="3"/>
      <c r="S229" s="2" t="s">
        <v>21</v>
      </c>
      <c r="T229" s="4">
        <v>44955</v>
      </c>
      <c r="U229" s="2" t="s">
        <v>1861</v>
      </c>
      <c r="V229" s="6">
        <f>(Real_Sales[[#This Row],[Price_retail]]-Real_Sales[[#This Row],[Price_current]])/Real_Sales[[#This Row],[Price_retail]]</f>
        <v>0</v>
      </c>
      <c r="W229" s="3" t="str" cm="1">
        <f t="array" ref="W22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29" s="2" t="str">
        <f>IF(Real_Sales[[#This Row],[Price_retail]]&gt;$AC$3,"Premium","Average")</f>
        <v>Average</v>
      </c>
      <c r="Y229" s="2" t="str">
        <f>IF(ISNUMBER(SEARCH("Basic",Real_Sales[[#This Row],[Product_name]])),"Yes","No")</f>
        <v>No</v>
      </c>
      <c r="Z229" s="2" cm="1">
        <f t="array" ref="Z229">_xlfn.IFS(Real_Sales[[#This Row],[Price_retail]]&lt;=15,1, Real_Sales[[#This Row],[Price_retail]]&lt;=30,2, Real_Sales[[#This Row],[Price_retail]]&lt;=50,3,Real_Sales[[#This Row],[Price_retail]]&gt;50,4)</f>
        <v>1</v>
      </c>
    </row>
    <row r="230" spans="1:26" x14ac:dyDescent="0.35">
      <c r="A230" s="2" t="s">
        <v>3080</v>
      </c>
      <c r="B230" s="2" t="s">
        <v>3081</v>
      </c>
      <c r="C230" s="2" t="s">
        <v>1581</v>
      </c>
      <c r="D230" s="2" t="s">
        <v>625</v>
      </c>
      <c r="E230" s="2" t="s">
        <v>4</v>
      </c>
      <c r="F230" s="2" t="s">
        <v>17</v>
      </c>
      <c r="G230" s="2" t="s">
        <v>50</v>
      </c>
      <c r="H230" s="2" t="s">
        <v>333</v>
      </c>
      <c r="I230" s="2" t="s">
        <v>3395</v>
      </c>
      <c r="J230" s="3">
        <v>10.66</v>
      </c>
      <c r="K230" s="3">
        <v>6.42</v>
      </c>
      <c r="L230" s="2" t="s">
        <v>8</v>
      </c>
      <c r="M230" s="2" t="s">
        <v>9</v>
      </c>
      <c r="N230" s="3">
        <v>303</v>
      </c>
      <c r="O230" s="2" t="s">
        <v>191</v>
      </c>
      <c r="P230" s="2" t="s">
        <v>3392</v>
      </c>
      <c r="Q230" s="3"/>
      <c r="R230" s="3"/>
      <c r="S230" s="2" t="s">
        <v>21</v>
      </c>
      <c r="T230" s="4">
        <v>44955</v>
      </c>
      <c r="U230" s="2" t="s">
        <v>3082</v>
      </c>
      <c r="V230" s="6">
        <f>(Real_Sales[[#This Row],[Price_retail]]-Real_Sales[[#This Row],[Price_current]])/Real_Sales[[#This Row],[Price_retail]]</f>
        <v>0.39774859287054409</v>
      </c>
      <c r="W230" s="3" t="str" cm="1">
        <f t="array" ref="W23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30" s="2" t="str">
        <f>IF(Real_Sales[[#This Row],[Price_retail]]&gt;$AC$3,"Premium","Average")</f>
        <v>Average</v>
      </c>
      <c r="Y230" s="2" t="str">
        <f>IF(ISNUMBER(SEARCH("Basic",Real_Sales[[#This Row],[Product_name]])),"Yes","No")</f>
        <v>No</v>
      </c>
      <c r="Z230" s="2" cm="1">
        <f t="array" ref="Z230">_xlfn.IFS(Real_Sales[[#This Row],[Price_retail]]&lt;=15,1, Real_Sales[[#This Row],[Price_retail]]&lt;=30,2, Real_Sales[[#This Row],[Price_retail]]&lt;=50,3,Real_Sales[[#This Row],[Price_retail]]&gt;50,4)</f>
        <v>1</v>
      </c>
    </row>
    <row r="231" spans="1:26" x14ac:dyDescent="0.35">
      <c r="A231" s="2" t="s">
        <v>863</v>
      </c>
      <c r="B231" s="2" t="s">
        <v>864</v>
      </c>
      <c r="C231" s="2" t="s">
        <v>2915</v>
      </c>
      <c r="D231" s="2" t="s">
        <v>358</v>
      </c>
      <c r="E231" s="2" t="s">
        <v>4</v>
      </c>
      <c r="F231" s="2" t="s">
        <v>5</v>
      </c>
      <c r="G231" s="2" t="s">
        <v>82</v>
      </c>
      <c r="H231" s="2" t="s">
        <v>333</v>
      </c>
      <c r="I231" s="2" t="s">
        <v>3393</v>
      </c>
      <c r="J231" s="3">
        <v>10.67</v>
      </c>
      <c r="K231" s="3">
        <v>8.69</v>
      </c>
      <c r="L231" s="2" t="s">
        <v>8</v>
      </c>
      <c r="M231" s="2" t="s">
        <v>9</v>
      </c>
      <c r="N231" s="3">
        <v>847</v>
      </c>
      <c r="O231" s="2" t="s">
        <v>302</v>
      </c>
      <c r="P231" s="2" t="s">
        <v>419</v>
      </c>
      <c r="Q231" s="3"/>
      <c r="R231" s="3"/>
      <c r="S231" s="2" t="s">
        <v>12</v>
      </c>
      <c r="T231" s="4">
        <v>44955</v>
      </c>
      <c r="U231" s="2" t="s">
        <v>865</v>
      </c>
      <c r="V231" s="6">
        <f>(Real_Sales[[#This Row],[Price_retail]]-Real_Sales[[#This Row],[Price_current]])/Real_Sales[[#This Row],[Price_retail]]</f>
        <v>0.18556701030927839</v>
      </c>
      <c r="W231" s="3" t="str" cm="1">
        <f t="array" ref="W231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231" s="2" t="str">
        <f>IF(Real_Sales[[#This Row],[Price_retail]]&gt;$AC$3,"Premium","Average")</f>
        <v>Average</v>
      </c>
      <c r="Y231" s="2" t="str">
        <f>IF(ISNUMBER(SEARCH("Basic",Real_Sales[[#This Row],[Product_name]])),"Yes","No")</f>
        <v>No</v>
      </c>
      <c r="Z231" s="2" cm="1">
        <f t="array" ref="Z231">_xlfn.IFS(Real_Sales[[#This Row],[Price_retail]]&lt;=15,1, Real_Sales[[#This Row],[Price_retail]]&lt;=30,2, Real_Sales[[#This Row],[Price_retail]]&lt;=50,3,Real_Sales[[#This Row],[Price_retail]]&gt;50,4)</f>
        <v>1</v>
      </c>
    </row>
    <row r="232" spans="1:26" x14ac:dyDescent="0.35">
      <c r="A232" s="2" t="s">
        <v>2886</v>
      </c>
      <c r="B232" s="2" t="s">
        <v>2887</v>
      </c>
      <c r="C232" s="2" t="s">
        <v>461</v>
      </c>
      <c r="D232" s="2" t="s">
        <v>1000</v>
      </c>
      <c r="E232" s="2" t="s">
        <v>4</v>
      </c>
      <c r="F232" s="2" t="s">
        <v>17</v>
      </c>
      <c r="G232" s="2" t="s">
        <v>50</v>
      </c>
      <c r="H232" s="2" t="s">
        <v>68</v>
      </c>
      <c r="I232" s="2" t="s">
        <v>3393</v>
      </c>
      <c r="J232" s="3">
        <v>10.69</v>
      </c>
      <c r="K232" s="3">
        <v>10.69</v>
      </c>
      <c r="L232" s="2" t="s">
        <v>3391</v>
      </c>
      <c r="M232" s="2" t="s">
        <v>9</v>
      </c>
      <c r="N232" s="3">
        <v>317</v>
      </c>
      <c r="O232" s="2" t="s">
        <v>347</v>
      </c>
      <c r="P232" s="2" t="s">
        <v>37</v>
      </c>
      <c r="Q232" s="3"/>
      <c r="R232" s="3"/>
      <c r="S232" s="2" t="s">
        <v>21</v>
      </c>
      <c r="T232" s="4">
        <v>44955</v>
      </c>
      <c r="U232" s="2" t="s">
        <v>2888</v>
      </c>
      <c r="V232" s="6">
        <f>(Real_Sales[[#This Row],[Price_retail]]-Real_Sales[[#This Row],[Price_current]])/Real_Sales[[#This Row],[Price_retail]]</f>
        <v>0</v>
      </c>
      <c r="W232" s="3" t="str" cm="1">
        <f t="array" ref="W23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32" s="2" t="str">
        <f>IF(Real_Sales[[#This Row],[Price_retail]]&gt;$AC$3,"Premium","Average")</f>
        <v>Average</v>
      </c>
      <c r="Y232" s="2" t="str">
        <f>IF(ISNUMBER(SEARCH("Basic",Real_Sales[[#This Row],[Product_name]])),"Yes","No")</f>
        <v>No</v>
      </c>
      <c r="Z232" s="2" cm="1">
        <f t="array" ref="Z232">_xlfn.IFS(Real_Sales[[#This Row],[Price_retail]]&lt;=15,1, Real_Sales[[#This Row],[Price_retail]]&lt;=30,2, Real_Sales[[#This Row],[Price_retail]]&lt;=50,3,Real_Sales[[#This Row],[Price_retail]]&gt;50,4)</f>
        <v>1</v>
      </c>
    </row>
    <row r="233" spans="1:26" x14ac:dyDescent="0.35">
      <c r="A233" s="2" t="s">
        <v>1880</v>
      </c>
      <c r="B233" s="2" t="s">
        <v>1881</v>
      </c>
      <c r="C233" s="2" t="s">
        <v>300</v>
      </c>
      <c r="D233" s="2" t="s">
        <v>842</v>
      </c>
      <c r="E233" s="2" t="s">
        <v>4</v>
      </c>
      <c r="F233" s="2" t="s">
        <v>5</v>
      </c>
      <c r="G233" s="2" t="s">
        <v>82</v>
      </c>
      <c r="H233" s="2" t="s">
        <v>7</v>
      </c>
      <c r="I233" s="2" t="s">
        <v>3393</v>
      </c>
      <c r="J233" s="3">
        <v>10.7</v>
      </c>
      <c r="K233" s="3">
        <v>10.7</v>
      </c>
      <c r="L233" s="2" t="s">
        <v>3391</v>
      </c>
      <c r="M233" s="2" t="s">
        <v>9</v>
      </c>
      <c r="N233" s="3">
        <v>63</v>
      </c>
      <c r="O233" s="2" t="s">
        <v>75</v>
      </c>
      <c r="P233" s="2" t="s">
        <v>3392</v>
      </c>
      <c r="Q233" s="3"/>
      <c r="R233" s="3"/>
      <c r="S233" s="2" t="s">
        <v>12</v>
      </c>
      <c r="T233" s="4">
        <v>44955</v>
      </c>
      <c r="U233" s="2" t="s">
        <v>1882</v>
      </c>
      <c r="V233" s="6">
        <f>(Real_Sales[[#This Row],[Price_retail]]-Real_Sales[[#This Row],[Price_current]])/Real_Sales[[#This Row],[Price_retail]]</f>
        <v>0</v>
      </c>
      <c r="W233" s="3" t="str" cm="1">
        <f t="array" ref="W2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33" s="2" t="str">
        <f>IF(Real_Sales[[#This Row],[Price_retail]]&gt;$AC$3,"Premium","Average")</f>
        <v>Average</v>
      </c>
      <c r="Y233" s="2" t="str">
        <f>IF(ISNUMBER(SEARCH("Basic",Real_Sales[[#This Row],[Product_name]])),"Yes","No")</f>
        <v>No</v>
      </c>
      <c r="Z233" s="2" cm="1">
        <f t="array" ref="Z233">_xlfn.IFS(Real_Sales[[#This Row],[Price_retail]]&lt;=15,1, Real_Sales[[#This Row],[Price_retail]]&lt;=30,2, Real_Sales[[#This Row],[Price_retail]]&lt;=50,3,Real_Sales[[#This Row],[Price_retail]]&gt;50,4)</f>
        <v>1</v>
      </c>
    </row>
    <row r="234" spans="1:26" x14ac:dyDescent="0.35">
      <c r="A234" s="2" t="s">
        <v>3032</v>
      </c>
      <c r="B234" s="2" t="s">
        <v>3033</v>
      </c>
      <c r="C234" s="2" t="s">
        <v>65</v>
      </c>
      <c r="D234" s="2" t="s">
        <v>909</v>
      </c>
      <c r="E234" s="2" t="s">
        <v>4</v>
      </c>
      <c r="F234" s="2" t="s">
        <v>17</v>
      </c>
      <c r="G234" s="2" t="s">
        <v>50</v>
      </c>
      <c r="H234" s="2" t="s">
        <v>110</v>
      </c>
      <c r="I234" s="2" t="s">
        <v>3390</v>
      </c>
      <c r="J234" s="3">
        <v>10.71</v>
      </c>
      <c r="K234" s="3">
        <v>10.71</v>
      </c>
      <c r="L234" s="2" t="s">
        <v>3391</v>
      </c>
      <c r="M234" s="2" t="s">
        <v>9</v>
      </c>
      <c r="N234" s="3">
        <v>553</v>
      </c>
      <c r="O234" s="2" t="s">
        <v>91</v>
      </c>
      <c r="P234" s="2" t="s">
        <v>238</v>
      </c>
      <c r="Q234" s="3"/>
      <c r="R234" s="3"/>
      <c r="S234" s="2" t="s">
        <v>21</v>
      </c>
      <c r="T234" s="4">
        <v>44955</v>
      </c>
      <c r="U234" s="2" t="s">
        <v>3034</v>
      </c>
      <c r="V234" s="6">
        <f>(Real_Sales[[#This Row],[Price_retail]]-Real_Sales[[#This Row],[Price_current]])/Real_Sales[[#This Row],[Price_retail]]</f>
        <v>0</v>
      </c>
      <c r="W234" s="3" t="str" cm="1">
        <f t="array" ref="W2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34" s="2" t="str">
        <f>IF(Real_Sales[[#This Row],[Price_retail]]&gt;$AC$3,"Premium","Average")</f>
        <v>Average</v>
      </c>
      <c r="Y234" s="2" t="str">
        <f>IF(ISNUMBER(SEARCH("Basic",Real_Sales[[#This Row],[Product_name]])),"Yes","No")</f>
        <v>No</v>
      </c>
      <c r="Z234" s="2" cm="1">
        <f t="array" ref="Z234">_xlfn.IFS(Real_Sales[[#This Row],[Price_retail]]&lt;=15,1, Real_Sales[[#This Row],[Price_retail]]&lt;=30,2, Real_Sales[[#This Row],[Price_retail]]&lt;=50,3,Real_Sales[[#This Row],[Price_retail]]&gt;50,4)</f>
        <v>1</v>
      </c>
    </row>
    <row r="235" spans="1:26" x14ac:dyDescent="0.35">
      <c r="A235" s="2" t="s">
        <v>3032</v>
      </c>
      <c r="B235" s="2" t="s">
        <v>2027</v>
      </c>
      <c r="C235" s="2" t="s">
        <v>65</v>
      </c>
      <c r="D235" s="2" t="s">
        <v>292</v>
      </c>
      <c r="E235" s="2" t="s">
        <v>4</v>
      </c>
      <c r="F235" s="2" t="s">
        <v>17</v>
      </c>
      <c r="G235" s="2" t="s">
        <v>67</v>
      </c>
      <c r="H235" s="2" t="s">
        <v>145</v>
      </c>
      <c r="I235" s="2" t="s">
        <v>3395</v>
      </c>
      <c r="J235" s="3">
        <v>10.72</v>
      </c>
      <c r="K235" s="3">
        <v>10.72</v>
      </c>
      <c r="L235" s="2" t="s">
        <v>3391</v>
      </c>
      <c r="M235" s="2" t="s">
        <v>9</v>
      </c>
      <c r="N235" s="3">
        <v>991</v>
      </c>
      <c r="O235" s="2" t="s">
        <v>69</v>
      </c>
      <c r="P235" s="2" t="s">
        <v>92</v>
      </c>
      <c r="Q235" s="3"/>
      <c r="R235" s="3"/>
      <c r="S235" s="2" t="s">
        <v>21</v>
      </c>
      <c r="T235" s="4">
        <v>44955</v>
      </c>
      <c r="U235" s="2" t="s">
        <v>2028</v>
      </c>
      <c r="V235" s="6">
        <f>(Real_Sales[[#This Row],[Price_retail]]-Real_Sales[[#This Row],[Price_current]])/Real_Sales[[#This Row],[Price_retail]]</f>
        <v>0</v>
      </c>
      <c r="W235" s="3" t="str" cm="1">
        <f t="array" ref="W23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35" s="2" t="str">
        <f>IF(Real_Sales[[#This Row],[Price_retail]]&gt;$AC$3,"Premium","Average")</f>
        <v>Average</v>
      </c>
      <c r="Y235" s="2" t="str">
        <f>IF(ISNUMBER(SEARCH("Basic",Real_Sales[[#This Row],[Product_name]])),"Yes","No")</f>
        <v>No</v>
      </c>
      <c r="Z235" s="2" cm="1">
        <f t="array" ref="Z235">_xlfn.IFS(Real_Sales[[#This Row],[Price_retail]]&lt;=15,1, Real_Sales[[#This Row],[Price_retail]]&lt;=30,2, Real_Sales[[#This Row],[Price_retail]]&lt;=50,3,Real_Sales[[#This Row],[Price_retail]]&gt;50,4)</f>
        <v>1</v>
      </c>
    </row>
    <row r="236" spans="1:26" x14ac:dyDescent="0.35">
      <c r="A236" s="2" t="s">
        <v>2329</v>
      </c>
      <c r="B236" s="2" t="s">
        <v>2330</v>
      </c>
      <c r="C236" s="2" t="s">
        <v>387</v>
      </c>
      <c r="D236" s="2" t="s">
        <v>501</v>
      </c>
      <c r="E236" s="2" t="s">
        <v>4</v>
      </c>
      <c r="F236" s="2" t="s">
        <v>17</v>
      </c>
      <c r="G236" s="2" t="s">
        <v>67</v>
      </c>
      <c r="H236" s="2" t="s">
        <v>83</v>
      </c>
      <c r="I236" s="2" t="s">
        <v>3390</v>
      </c>
      <c r="J236" s="3">
        <v>10.72</v>
      </c>
      <c r="K236" s="3">
        <v>10.72</v>
      </c>
      <c r="L236" s="2" t="s">
        <v>3391</v>
      </c>
      <c r="M236" s="2" t="s">
        <v>9</v>
      </c>
      <c r="N236" s="3">
        <v>29</v>
      </c>
      <c r="O236" s="2" t="s">
        <v>91</v>
      </c>
      <c r="P236" s="2" t="s">
        <v>177</v>
      </c>
      <c r="Q236" s="3"/>
      <c r="R236" s="3"/>
      <c r="S236" s="2" t="s">
        <v>21</v>
      </c>
      <c r="T236" s="4">
        <v>44955</v>
      </c>
      <c r="U236" s="2" t="s">
        <v>2331</v>
      </c>
      <c r="V236" s="6">
        <f>(Real_Sales[[#This Row],[Price_retail]]-Real_Sales[[#This Row],[Price_current]])/Real_Sales[[#This Row],[Price_retail]]</f>
        <v>0</v>
      </c>
      <c r="W236" s="3" t="str" cm="1">
        <f t="array" ref="W2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36" s="2" t="str">
        <f>IF(Real_Sales[[#This Row],[Price_retail]]&gt;$AC$3,"Premium","Average")</f>
        <v>Average</v>
      </c>
      <c r="Y236" s="2" t="str">
        <f>IF(ISNUMBER(SEARCH("Basic",Real_Sales[[#This Row],[Product_name]])),"Yes","No")</f>
        <v>No</v>
      </c>
      <c r="Z236" s="2" cm="1">
        <f t="array" ref="Z236">_xlfn.IFS(Real_Sales[[#This Row],[Price_retail]]&lt;=15,1, Real_Sales[[#This Row],[Price_retail]]&lt;=30,2, Real_Sales[[#This Row],[Price_retail]]&lt;=50,3,Real_Sales[[#This Row],[Price_retail]]&gt;50,4)</f>
        <v>1</v>
      </c>
    </row>
    <row r="237" spans="1:26" x14ac:dyDescent="0.35">
      <c r="A237" s="2" t="s">
        <v>2041</v>
      </c>
      <c r="B237" s="2" t="s">
        <v>2042</v>
      </c>
      <c r="C237" s="2" t="s">
        <v>1743</v>
      </c>
      <c r="D237" s="2" t="s">
        <v>327</v>
      </c>
      <c r="E237" s="2" t="s">
        <v>4</v>
      </c>
      <c r="F237" s="2" t="s">
        <v>5</v>
      </c>
      <c r="G237" s="2" t="s">
        <v>6</v>
      </c>
      <c r="H237" s="2" t="s">
        <v>110</v>
      </c>
      <c r="I237" s="2" t="s">
        <v>3390</v>
      </c>
      <c r="J237" s="3">
        <v>10.75</v>
      </c>
      <c r="K237" s="3">
        <v>5.94</v>
      </c>
      <c r="L237" s="2" t="s">
        <v>8</v>
      </c>
      <c r="M237" s="2" t="s">
        <v>9</v>
      </c>
      <c r="N237" s="3">
        <v>579</v>
      </c>
      <c r="O237" s="2" t="s">
        <v>3392</v>
      </c>
      <c r="P237" s="2" t="s">
        <v>3392</v>
      </c>
      <c r="Q237" s="3"/>
      <c r="R237" s="3"/>
      <c r="S237" s="2" t="s">
        <v>21</v>
      </c>
      <c r="T237" s="4">
        <v>44955</v>
      </c>
      <c r="U237" s="2" t="s">
        <v>2043</v>
      </c>
      <c r="V237" s="6">
        <f>(Real_Sales[[#This Row],[Price_retail]]-Real_Sales[[#This Row],[Price_current]])/Real_Sales[[#This Row],[Price_retail]]</f>
        <v>0.44744186046511625</v>
      </c>
      <c r="W237" s="3" t="str" cm="1">
        <f t="array" ref="W2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37" s="2" t="str">
        <f>IF(Real_Sales[[#This Row],[Price_retail]]&gt;$AC$3,"Premium","Average")</f>
        <v>Average</v>
      </c>
      <c r="Y237" s="2" t="str">
        <f>IF(ISNUMBER(SEARCH("Basic",Real_Sales[[#This Row],[Product_name]])),"Yes","No")</f>
        <v>No</v>
      </c>
      <c r="Z237" s="2" cm="1">
        <f t="array" ref="Z237">_xlfn.IFS(Real_Sales[[#This Row],[Price_retail]]&lt;=15,1, Real_Sales[[#This Row],[Price_retail]]&lt;=30,2, Real_Sales[[#This Row],[Price_retail]]&lt;=50,3,Real_Sales[[#This Row],[Price_retail]]&gt;50,4)</f>
        <v>1</v>
      </c>
    </row>
    <row r="238" spans="1:26" x14ac:dyDescent="0.35">
      <c r="A238" s="2" t="s">
        <v>2578</v>
      </c>
      <c r="B238" s="2" t="s">
        <v>2579</v>
      </c>
      <c r="C238" s="2" t="s">
        <v>3394</v>
      </c>
      <c r="D238" s="2" t="s">
        <v>332</v>
      </c>
      <c r="E238" s="2" t="s">
        <v>4</v>
      </c>
      <c r="F238" s="2" t="s">
        <v>5</v>
      </c>
      <c r="G238" s="2" t="s">
        <v>121</v>
      </c>
      <c r="H238" s="2" t="s">
        <v>333</v>
      </c>
      <c r="I238" s="2" t="s">
        <v>3390</v>
      </c>
      <c r="J238" s="3">
        <v>10.75</v>
      </c>
      <c r="K238" s="3">
        <v>7.3</v>
      </c>
      <c r="L238" s="2" t="s">
        <v>8</v>
      </c>
      <c r="M238" s="2" t="s">
        <v>9</v>
      </c>
      <c r="N238" s="3">
        <v>369</v>
      </c>
      <c r="O238" s="2" t="s">
        <v>36</v>
      </c>
      <c r="P238" s="2" t="s">
        <v>53</v>
      </c>
      <c r="Q238" s="3"/>
      <c r="R238" s="3"/>
      <c r="S238" s="2" t="s">
        <v>12</v>
      </c>
      <c r="T238" s="4">
        <v>44955</v>
      </c>
      <c r="U238" s="2" t="s">
        <v>2580</v>
      </c>
      <c r="V238" s="6">
        <f>(Real_Sales[[#This Row],[Price_retail]]-Real_Sales[[#This Row],[Price_current]])/Real_Sales[[#This Row],[Price_retail]]</f>
        <v>0.32093023255813957</v>
      </c>
      <c r="W238" s="3" t="str" cm="1">
        <f t="array" ref="W23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38" s="2" t="str">
        <f>IF(Real_Sales[[#This Row],[Price_retail]]&gt;$AC$3,"Premium","Average")</f>
        <v>Average</v>
      </c>
      <c r="Y238" s="2" t="str">
        <f>IF(ISNUMBER(SEARCH("Basic",Real_Sales[[#This Row],[Product_name]])),"Yes","No")</f>
        <v>No</v>
      </c>
      <c r="Z238" s="2" cm="1">
        <f t="array" ref="Z238">_xlfn.IFS(Real_Sales[[#This Row],[Price_retail]]&lt;=15,1, Real_Sales[[#This Row],[Price_retail]]&lt;=30,2, Real_Sales[[#This Row],[Price_retail]]&lt;=50,3,Real_Sales[[#This Row],[Price_retail]]&gt;50,4)</f>
        <v>1</v>
      </c>
    </row>
    <row r="239" spans="1:26" x14ac:dyDescent="0.35">
      <c r="A239" s="2" t="s">
        <v>2701</v>
      </c>
      <c r="B239" s="2" t="s">
        <v>2702</v>
      </c>
      <c r="C239" s="2" t="s">
        <v>65</v>
      </c>
      <c r="D239" s="2" t="s">
        <v>3428</v>
      </c>
      <c r="E239" s="2" t="s">
        <v>4</v>
      </c>
      <c r="F239" s="2" t="s">
        <v>17</v>
      </c>
      <c r="G239" s="2" t="s">
        <v>18</v>
      </c>
      <c r="H239" s="2" t="s">
        <v>35</v>
      </c>
      <c r="I239" s="2" t="s">
        <v>3393</v>
      </c>
      <c r="J239" s="3">
        <v>10.78</v>
      </c>
      <c r="K239" s="3">
        <v>10.78</v>
      </c>
      <c r="L239" s="2" t="s">
        <v>3391</v>
      </c>
      <c r="M239" s="2" t="s">
        <v>9</v>
      </c>
      <c r="N239" s="3">
        <v>81</v>
      </c>
      <c r="O239" s="2" t="s">
        <v>140</v>
      </c>
      <c r="P239" s="2" t="s">
        <v>70</v>
      </c>
      <c r="Q239" s="3"/>
      <c r="R239" s="3"/>
      <c r="S239" s="2" t="s">
        <v>12</v>
      </c>
      <c r="T239" s="4">
        <v>44955</v>
      </c>
      <c r="U239" s="2" t="s">
        <v>2703</v>
      </c>
      <c r="V239" s="6">
        <f>(Real_Sales[[#This Row],[Price_retail]]-Real_Sales[[#This Row],[Price_current]])/Real_Sales[[#This Row],[Price_retail]]</f>
        <v>0</v>
      </c>
      <c r="W239" s="3" t="str" cm="1">
        <f t="array" ref="W2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39" s="2" t="str">
        <f>IF(Real_Sales[[#This Row],[Price_retail]]&gt;$AC$3,"Premium","Average")</f>
        <v>Average</v>
      </c>
      <c r="Y239" s="2" t="str">
        <f>IF(ISNUMBER(SEARCH("Basic",Real_Sales[[#This Row],[Product_name]])),"Yes","No")</f>
        <v>No</v>
      </c>
      <c r="Z239" s="2" cm="1">
        <f t="array" ref="Z239">_xlfn.IFS(Real_Sales[[#This Row],[Price_retail]]&lt;=15,1, Real_Sales[[#This Row],[Price_retail]]&lt;=30,2, Real_Sales[[#This Row],[Price_retail]]&lt;=50,3,Real_Sales[[#This Row],[Price_retail]]&gt;50,4)</f>
        <v>1</v>
      </c>
    </row>
    <row r="240" spans="1:26" x14ac:dyDescent="0.35">
      <c r="A240" s="2" t="s">
        <v>1993</v>
      </c>
      <c r="B240" s="2" t="s">
        <v>1994</v>
      </c>
      <c r="C240" s="2" t="s">
        <v>108</v>
      </c>
      <c r="D240" s="2" t="s">
        <v>442</v>
      </c>
      <c r="E240" s="2" t="s">
        <v>4</v>
      </c>
      <c r="F240" s="2" t="s">
        <v>5</v>
      </c>
      <c r="G240" s="2" t="s">
        <v>82</v>
      </c>
      <c r="H240" s="2" t="s">
        <v>59</v>
      </c>
      <c r="I240" s="2" t="s">
        <v>3393</v>
      </c>
      <c r="J240" s="3">
        <v>10.79</v>
      </c>
      <c r="K240" s="3">
        <v>10.79</v>
      </c>
      <c r="L240" s="2" t="s">
        <v>3391</v>
      </c>
      <c r="M240" s="2" t="s">
        <v>9</v>
      </c>
      <c r="N240" s="3">
        <v>762</v>
      </c>
      <c r="O240" s="2" t="s">
        <v>359</v>
      </c>
      <c r="P240" s="2" t="s">
        <v>238</v>
      </c>
      <c r="Q240" s="3"/>
      <c r="R240" s="3"/>
      <c r="S240" s="2"/>
      <c r="T240" s="4">
        <v>44955</v>
      </c>
      <c r="U240" s="2" t="s">
        <v>1995</v>
      </c>
      <c r="V240" s="6">
        <f>(Real_Sales[[#This Row],[Price_retail]]-Real_Sales[[#This Row],[Price_current]])/Real_Sales[[#This Row],[Price_retail]]</f>
        <v>0</v>
      </c>
      <c r="W240" s="3" t="str" cm="1">
        <f t="array" ref="W24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40" s="2" t="str">
        <f>IF(Real_Sales[[#This Row],[Price_retail]]&gt;$AC$3,"Premium","Average")</f>
        <v>Average</v>
      </c>
      <c r="Y240" s="2" t="str">
        <f>IF(ISNUMBER(SEARCH("Basic",Real_Sales[[#This Row],[Product_name]])),"Yes","No")</f>
        <v>Yes</v>
      </c>
      <c r="Z240" s="2" cm="1">
        <f t="array" ref="Z240">_xlfn.IFS(Real_Sales[[#This Row],[Price_retail]]&lt;=15,1, Real_Sales[[#This Row],[Price_retail]]&lt;=30,2, Real_Sales[[#This Row],[Price_retail]]&lt;=50,3,Real_Sales[[#This Row],[Price_retail]]&gt;50,4)</f>
        <v>1</v>
      </c>
    </row>
    <row r="241" spans="1:26" x14ac:dyDescent="0.35">
      <c r="A241" s="2" t="s">
        <v>1279</v>
      </c>
      <c r="B241" s="2" t="s">
        <v>1280</v>
      </c>
      <c r="C241" s="2" t="s">
        <v>1281</v>
      </c>
      <c r="D241" s="2" t="s">
        <v>470</v>
      </c>
      <c r="E241" s="2" t="s">
        <v>4</v>
      </c>
      <c r="F241" s="2" t="s">
        <v>17</v>
      </c>
      <c r="G241" s="2" t="s">
        <v>50</v>
      </c>
      <c r="H241" s="2" t="s">
        <v>185</v>
      </c>
      <c r="I241" s="2" t="s">
        <v>3393</v>
      </c>
      <c r="J241" s="3">
        <v>10.81</v>
      </c>
      <c r="K241" s="3">
        <v>10.81</v>
      </c>
      <c r="L241" s="2" t="s">
        <v>3391</v>
      </c>
      <c r="M241" s="2" t="s">
        <v>9</v>
      </c>
      <c r="N241" s="3">
        <v>321</v>
      </c>
      <c r="O241" s="2" t="s">
        <v>60</v>
      </c>
      <c r="P241" s="2" t="s">
        <v>44</v>
      </c>
      <c r="Q241" s="3"/>
      <c r="R241" s="3"/>
      <c r="S241" s="2" t="s">
        <v>21</v>
      </c>
      <c r="T241" s="4">
        <v>44955</v>
      </c>
      <c r="U241" s="2" t="s">
        <v>1282</v>
      </c>
      <c r="V241" s="6">
        <f>(Real_Sales[[#This Row],[Price_retail]]-Real_Sales[[#This Row],[Price_current]])/Real_Sales[[#This Row],[Price_retail]]</f>
        <v>0</v>
      </c>
      <c r="W241" s="3" t="str" cm="1">
        <f t="array" ref="W24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41" s="2" t="str">
        <f>IF(Real_Sales[[#This Row],[Price_retail]]&gt;$AC$3,"Premium","Average")</f>
        <v>Average</v>
      </c>
      <c r="Y241" s="2" t="str">
        <f>IF(ISNUMBER(SEARCH("Basic",Real_Sales[[#This Row],[Product_name]])),"Yes","No")</f>
        <v>No</v>
      </c>
      <c r="Z241" s="2" cm="1">
        <f t="array" ref="Z241">_xlfn.IFS(Real_Sales[[#This Row],[Price_retail]]&lt;=15,1, Real_Sales[[#This Row],[Price_retail]]&lt;=30,2, Real_Sales[[#This Row],[Price_retail]]&lt;=50,3,Real_Sales[[#This Row],[Price_retail]]&gt;50,4)</f>
        <v>1</v>
      </c>
    </row>
    <row r="242" spans="1:26" x14ac:dyDescent="0.35">
      <c r="A242" s="2" t="s">
        <v>1071</v>
      </c>
      <c r="B242" s="2" t="s">
        <v>1072</v>
      </c>
      <c r="C242" s="2" t="s">
        <v>1073</v>
      </c>
      <c r="D242" s="2" t="s">
        <v>74</v>
      </c>
      <c r="E242" s="2" t="s">
        <v>4</v>
      </c>
      <c r="F242" s="2" t="s">
        <v>17</v>
      </c>
      <c r="G242" s="2" t="s">
        <v>50</v>
      </c>
      <c r="H242" s="2" t="s">
        <v>35</v>
      </c>
      <c r="I242" s="2" t="s">
        <v>3390</v>
      </c>
      <c r="J242" s="3">
        <v>10.88</v>
      </c>
      <c r="K242" s="3">
        <v>8.5</v>
      </c>
      <c r="L242" s="2" t="s">
        <v>8</v>
      </c>
      <c r="M242" s="2" t="s">
        <v>9</v>
      </c>
      <c r="N242" s="3">
        <v>463</v>
      </c>
      <c r="O242" s="2" t="s">
        <v>104</v>
      </c>
      <c r="P242" s="2" t="s">
        <v>177</v>
      </c>
      <c r="Q242" s="3"/>
      <c r="R242" s="3"/>
      <c r="S242" s="2" t="s">
        <v>21</v>
      </c>
      <c r="T242" s="4">
        <v>44955</v>
      </c>
      <c r="U242" s="2" t="s">
        <v>1074</v>
      </c>
      <c r="V242" s="6">
        <f>(Real_Sales[[#This Row],[Price_retail]]-Real_Sales[[#This Row],[Price_current]])/Real_Sales[[#This Row],[Price_retail]]</f>
        <v>0.21875000000000006</v>
      </c>
      <c r="W242" s="3" t="str" cm="1">
        <f t="array" ref="W24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42" s="2" t="str">
        <f>IF(Real_Sales[[#This Row],[Price_retail]]&gt;$AC$3,"Premium","Average")</f>
        <v>Average</v>
      </c>
      <c r="Y242" s="2" t="str">
        <f>IF(ISNUMBER(SEARCH("Basic",Real_Sales[[#This Row],[Product_name]])),"Yes","No")</f>
        <v>No</v>
      </c>
      <c r="Z242" s="2" cm="1">
        <f t="array" ref="Z242">_xlfn.IFS(Real_Sales[[#This Row],[Price_retail]]&lt;=15,1, Real_Sales[[#This Row],[Price_retail]]&lt;=30,2, Real_Sales[[#This Row],[Price_retail]]&lt;=50,3,Real_Sales[[#This Row],[Price_retail]]&gt;50,4)</f>
        <v>1</v>
      </c>
    </row>
    <row r="243" spans="1:26" x14ac:dyDescent="0.35">
      <c r="A243" s="2" t="s">
        <v>290</v>
      </c>
      <c r="B243" s="2" t="s">
        <v>291</v>
      </c>
      <c r="C243" s="2" t="s">
        <v>65</v>
      </c>
      <c r="D243" s="2" t="s">
        <v>292</v>
      </c>
      <c r="E243" s="2" t="s">
        <v>4</v>
      </c>
      <c r="F243" s="2" t="s">
        <v>17</v>
      </c>
      <c r="G243" s="2" t="s">
        <v>27</v>
      </c>
      <c r="H243" s="2" t="s">
        <v>145</v>
      </c>
      <c r="I243" s="2" t="s">
        <v>3395</v>
      </c>
      <c r="J243" s="3">
        <v>10.89</v>
      </c>
      <c r="K243" s="3">
        <v>6.83</v>
      </c>
      <c r="L243" s="2" t="s">
        <v>8</v>
      </c>
      <c r="M243" s="2" t="s">
        <v>9</v>
      </c>
      <c r="N243" s="3">
        <v>817</v>
      </c>
      <c r="O243" s="2" t="s">
        <v>98</v>
      </c>
      <c r="P243" s="2" t="s">
        <v>44</v>
      </c>
      <c r="Q243" s="3"/>
      <c r="R243" s="3"/>
      <c r="S243" s="2" t="s">
        <v>21</v>
      </c>
      <c r="T243" s="4">
        <v>44955</v>
      </c>
      <c r="U243" s="2" t="s">
        <v>293</v>
      </c>
      <c r="V243" s="6">
        <f>(Real_Sales[[#This Row],[Price_retail]]-Real_Sales[[#This Row],[Price_current]])/Real_Sales[[#This Row],[Price_retail]]</f>
        <v>0.37281910009182739</v>
      </c>
      <c r="W243" s="3" t="str" cm="1">
        <f t="array" ref="W24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43" s="2" t="str">
        <f>IF(Real_Sales[[#This Row],[Price_retail]]&gt;$AC$3,"Premium","Average")</f>
        <v>Average</v>
      </c>
      <c r="Y243" s="2" t="str">
        <f>IF(ISNUMBER(SEARCH("Basic",Real_Sales[[#This Row],[Product_name]])),"Yes","No")</f>
        <v>No</v>
      </c>
      <c r="Z243" s="2" cm="1">
        <f t="array" ref="Z243">_xlfn.IFS(Real_Sales[[#This Row],[Price_retail]]&lt;=15,1, Real_Sales[[#This Row],[Price_retail]]&lt;=30,2, Real_Sales[[#This Row],[Price_retail]]&lt;=50,3,Real_Sales[[#This Row],[Price_retail]]&gt;50,4)</f>
        <v>1</v>
      </c>
    </row>
    <row r="244" spans="1:26" x14ac:dyDescent="0.35">
      <c r="A244" s="2" t="s">
        <v>1374</v>
      </c>
      <c r="B244" s="2" t="s">
        <v>1375</v>
      </c>
      <c r="C244" s="2" t="s">
        <v>65</v>
      </c>
      <c r="D244" s="2" t="s">
        <v>959</v>
      </c>
      <c r="E244" s="2" t="s">
        <v>4</v>
      </c>
      <c r="F244" s="2" t="s">
        <v>17</v>
      </c>
      <c r="G244" s="2" t="s">
        <v>67</v>
      </c>
      <c r="H244" s="2" t="s">
        <v>418</v>
      </c>
      <c r="I244" s="2" t="s">
        <v>3390</v>
      </c>
      <c r="J244" s="3">
        <v>10.89</v>
      </c>
      <c r="K244" s="3">
        <v>7.31</v>
      </c>
      <c r="L244" s="2" t="s">
        <v>8</v>
      </c>
      <c r="M244" s="2" t="s">
        <v>9</v>
      </c>
      <c r="N244" s="3">
        <v>71</v>
      </c>
      <c r="O244" s="2" t="s">
        <v>267</v>
      </c>
      <c r="P244" s="2" t="s">
        <v>221</v>
      </c>
      <c r="Q244" s="3"/>
      <c r="R244" s="3"/>
      <c r="S244" s="2" t="s">
        <v>21</v>
      </c>
      <c r="T244" s="4">
        <v>44955</v>
      </c>
      <c r="U244" s="2" t="s">
        <v>1376</v>
      </c>
      <c r="V244" s="6">
        <f>(Real_Sales[[#This Row],[Price_retail]]-Real_Sales[[#This Row],[Price_current]])/Real_Sales[[#This Row],[Price_retail]]</f>
        <v>0.32874196510560155</v>
      </c>
      <c r="W244" s="3" t="str" cm="1">
        <f t="array" ref="W24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44" s="2" t="str">
        <f>IF(Real_Sales[[#This Row],[Price_retail]]&gt;$AC$3,"Premium","Average")</f>
        <v>Average</v>
      </c>
      <c r="Y244" s="2" t="str">
        <f>IF(ISNUMBER(SEARCH("Basic",Real_Sales[[#This Row],[Product_name]])),"Yes","No")</f>
        <v>No</v>
      </c>
      <c r="Z244" s="2" cm="1">
        <f t="array" ref="Z244">_xlfn.IFS(Real_Sales[[#This Row],[Price_retail]]&lt;=15,1, Real_Sales[[#This Row],[Price_retail]]&lt;=30,2, Real_Sales[[#This Row],[Price_retail]]&lt;=50,3,Real_Sales[[#This Row],[Price_retail]]&gt;50,4)</f>
        <v>1</v>
      </c>
    </row>
    <row r="245" spans="1:26" x14ac:dyDescent="0.35">
      <c r="A245" s="2" t="s">
        <v>980</v>
      </c>
      <c r="B245" s="2" t="s">
        <v>981</v>
      </c>
      <c r="C245" s="2" t="s">
        <v>616</v>
      </c>
      <c r="D245" s="2" t="s">
        <v>847</v>
      </c>
      <c r="E245" s="2" t="s">
        <v>4</v>
      </c>
      <c r="F245" s="2" t="s">
        <v>5</v>
      </c>
      <c r="G245" s="2" t="s">
        <v>6</v>
      </c>
      <c r="H245" s="2" t="s">
        <v>237</v>
      </c>
      <c r="I245" s="2" t="s">
        <v>3393</v>
      </c>
      <c r="J245" s="3">
        <v>10.94</v>
      </c>
      <c r="K245" s="3">
        <v>6.6</v>
      </c>
      <c r="L245" s="2" t="s">
        <v>8</v>
      </c>
      <c r="M245" s="2" t="s">
        <v>9</v>
      </c>
      <c r="N245" s="3">
        <v>16</v>
      </c>
      <c r="O245" s="2" t="s">
        <v>261</v>
      </c>
      <c r="P245" s="2" t="s">
        <v>76</v>
      </c>
      <c r="Q245" s="3"/>
      <c r="R245" s="3"/>
      <c r="S245" s="2" t="s">
        <v>21</v>
      </c>
      <c r="T245" s="4">
        <v>44955</v>
      </c>
      <c r="U245" s="2" t="s">
        <v>982</v>
      </c>
      <c r="V245" s="6">
        <f>(Real_Sales[[#This Row],[Price_retail]]-Real_Sales[[#This Row],[Price_current]])/Real_Sales[[#This Row],[Price_retail]]</f>
        <v>0.39670932358318101</v>
      </c>
      <c r="W245" s="3" t="str" cm="1">
        <f t="array" ref="W24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45" s="2" t="str">
        <f>IF(Real_Sales[[#This Row],[Price_retail]]&gt;$AC$3,"Premium","Average")</f>
        <v>Average</v>
      </c>
      <c r="Y245" s="2" t="str">
        <f>IF(ISNUMBER(SEARCH("Basic",Real_Sales[[#This Row],[Product_name]])),"Yes","No")</f>
        <v>No</v>
      </c>
      <c r="Z245" s="2" cm="1">
        <f t="array" ref="Z245">_xlfn.IFS(Real_Sales[[#This Row],[Price_retail]]&lt;=15,1, Real_Sales[[#This Row],[Price_retail]]&lt;=30,2, Real_Sales[[#This Row],[Price_retail]]&lt;=50,3,Real_Sales[[#This Row],[Price_retail]]&gt;50,4)</f>
        <v>1</v>
      </c>
    </row>
    <row r="246" spans="1:26" x14ac:dyDescent="0.35">
      <c r="A246" s="2" t="s">
        <v>551</v>
      </c>
      <c r="B246" s="2" t="s">
        <v>552</v>
      </c>
      <c r="C246" s="2" t="s">
        <v>3394</v>
      </c>
      <c r="D246" s="2" t="s">
        <v>400</v>
      </c>
      <c r="E246" s="2" t="s">
        <v>4</v>
      </c>
      <c r="F246" s="2" t="s">
        <v>5</v>
      </c>
      <c r="G246" s="2" t="s">
        <v>82</v>
      </c>
      <c r="H246" s="2" t="s">
        <v>185</v>
      </c>
      <c r="I246" s="2" t="s">
        <v>3395</v>
      </c>
      <c r="J246" s="3">
        <v>10.95</v>
      </c>
      <c r="K246" s="3">
        <v>10.95</v>
      </c>
      <c r="L246" s="2" t="s">
        <v>3391</v>
      </c>
      <c r="M246" s="2" t="s">
        <v>9</v>
      </c>
      <c r="N246" s="3">
        <v>200</v>
      </c>
      <c r="O246" s="2" t="s">
        <v>60</v>
      </c>
      <c r="P246" s="2" t="s">
        <v>553</v>
      </c>
      <c r="Q246" s="3"/>
      <c r="R246" s="3"/>
      <c r="S246" s="2" t="s">
        <v>21</v>
      </c>
      <c r="T246" s="4">
        <v>44955</v>
      </c>
      <c r="U246" s="2" t="s">
        <v>554</v>
      </c>
      <c r="V246" s="6">
        <f>(Real_Sales[[#This Row],[Price_retail]]-Real_Sales[[#This Row],[Price_current]])/Real_Sales[[#This Row],[Price_retail]]</f>
        <v>0</v>
      </c>
      <c r="W246" s="3" t="str" cm="1">
        <f t="array" ref="W2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46" s="2" t="str">
        <f>IF(Real_Sales[[#This Row],[Price_retail]]&gt;$AC$3,"Premium","Average")</f>
        <v>Average</v>
      </c>
      <c r="Y246" s="2" t="str">
        <f>IF(ISNUMBER(SEARCH("Basic",Real_Sales[[#This Row],[Product_name]])),"Yes","No")</f>
        <v>No</v>
      </c>
      <c r="Z246" s="2" cm="1">
        <f t="array" ref="Z246">_xlfn.IFS(Real_Sales[[#This Row],[Price_retail]]&lt;=15,1, Real_Sales[[#This Row],[Price_retail]]&lt;=30,2, Real_Sales[[#This Row],[Price_retail]]&lt;=50,3,Real_Sales[[#This Row],[Price_retail]]&gt;50,4)</f>
        <v>1</v>
      </c>
    </row>
    <row r="247" spans="1:26" x14ac:dyDescent="0.35">
      <c r="A247" s="2" t="s">
        <v>2017</v>
      </c>
      <c r="B247" s="2" t="s">
        <v>2018</v>
      </c>
      <c r="C247" s="2" t="s">
        <v>3410</v>
      </c>
      <c r="D247" s="2" t="s">
        <v>1574</v>
      </c>
      <c r="E247" s="2" t="s">
        <v>4</v>
      </c>
      <c r="F247" s="2" t="s">
        <v>17</v>
      </c>
      <c r="G247" s="2" t="s">
        <v>67</v>
      </c>
      <c r="H247" s="2" t="s">
        <v>237</v>
      </c>
      <c r="I247" s="2" t="s">
        <v>3393</v>
      </c>
      <c r="J247" s="3">
        <v>10.95</v>
      </c>
      <c r="K247" s="3">
        <v>10.95</v>
      </c>
      <c r="L247" s="2" t="s">
        <v>3391</v>
      </c>
      <c r="M247" s="2" t="s">
        <v>9</v>
      </c>
      <c r="N247" s="3">
        <v>39</v>
      </c>
      <c r="O247" s="2" t="s">
        <v>43</v>
      </c>
      <c r="P247" s="2" t="s">
        <v>238</v>
      </c>
      <c r="Q247" s="3"/>
      <c r="R247" s="3"/>
      <c r="S247" s="2" t="s">
        <v>21</v>
      </c>
      <c r="T247" s="4">
        <v>44955</v>
      </c>
      <c r="U247" s="2" t="s">
        <v>2019</v>
      </c>
      <c r="V247" s="6">
        <f>(Real_Sales[[#This Row],[Price_retail]]-Real_Sales[[#This Row],[Price_current]])/Real_Sales[[#This Row],[Price_retail]]</f>
        <v>0</v>
      </c>
      <c r="W247" s="3" t="str" cm="1">
        <f t="array" ref="W24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47" s="2" t="str">
        <f>IF(Real_Sales[[#This Row],[Price_retail]]&gt;$AC$3,"Premium","Average")</f>
        <v>Average</v>
      </c>
      <c r="Y247" s="2" t="str">
        <f>IF(ISNUMBER(SEARCH("Basic",Real_Sales[[#This Row],[Product_name]])),"Yes","No")</f>
        <v>No</v>
      </c>
      <c r="Z247" s="2" cm="1">
        <f t="array" ref="Z247">_xlfn.IFS(Real_Sales[[#This Row],[Price_retail]]&lt;=15,1, Real_Sales[[#This Row],[Price_retail]]&lt;=30,2, Real_Sales[[#This Row],[Price_retail]]&lt;=50,3,Real_Sales[[#This Row],[Price_retail]]&gt;50,4)</f>
        <v>1</v>
      </c>
    </row>
    <row r="248" spans="1:26" x14ac:dyDescent="0.35">
      <c r="A248" s="2" t="s">
        <v>106</v>
      </c>
      <c r="B248" s="2" t="s">
        <v>107</v>
      </c>
      <c r="C248" s="2" t="s">
        <v>108</v>
      </c>
      <c r="D248" s="2" t="s">
        <v>109</v>
      </c>
      <c r="E248" s="2" t="s">
        <v>4</v>
      </c>
      <c r="F248" s="2" t="s">
        <v>5</v>
      </c>
      <c r="G248" s="2" t="s">
        <v>82</v>
      </c>
      <c r="H248" s="2" t="s">
        <v>110</v>
      </c>
      <c r="I248" s="2" t="s">
        <v>3393</v>
      </c>
      <c r="J248" s="3">
        <v>10.96</v>
      </c>
      <c r="K248" s="3">
        <v>10.96</v>
      </c>
      <c r="L248" s="2" t="s">
        <v>3391</v>
      </c>
      <c r="M248" s="2" t="s">
        <v>9</v>
      </c>
      <c r="N248" s="3">
        <v>706</v>
      </c>
      <c r="O248" s="2" t="s">
        <v>104</v>
      </c>
      <c r="P248" s="2" t="s">
        <v>37</v>
      </c>
      <c r="Q248" s="3"/>
      <c r="R248" s="3"/>
      <c r="S248" s="2" t="s">
        <v>21</v>
      </c>
      <c r="T248" s="4">
        <v>44955</v>
      </c>
      <c r="U248" s="2" t="s">
        <v>111</v>
      </c>
      <c r="V248" s="6">
        <f>(Real_Sales[[#This Row],[Price_retail]]-Real_Sales[[#This Row],[Price_current]])/Real_Sales[[#This Row],[Price_retail]]</f>
        <v>0</v>
      </c>
      <c r="W248" s="3" t="str" cm="1">
        <f t="array" ref="W24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48" s="2" t="str">
        <f>IF(Real_Sales[[#This Row],[Price_retail]]&gt;$AC$3,"Premium","Average")</f>
        <v>Average</v>
      </c>
      <c r="Y248" s="2" t="str">
        <f>IF(ISNUMBER(SEARCH("Basic",Real_Sales[[#This Row],[Product_name]])),"Yes","No")</f>
        <v>Yes</v>
      </c>
      <c r="Z248" s="2" cm="1">
        <f t="array" ref="Z248">_xlfn.IFS(Real_Sales[[#This Row],[Price_retail]]&lt;=15,1, Real_Sales[[#This Row],[Price_retail]]&lt;=30,2, Real_Sales[[#This Row],[Price_retail]]&lt;=50,3,Real_Sales[[#This Row],[Price_retail]]&gt;50,4)</f>
        <v>1</v>
      </c>
    </row>
    <row r="249" spans="1:26" x14ac:dyDescent="0.35">
      <c r="A249" s="2" t="s">
        <v>1862</v>
      </c>
      <c r="B249" s="2" t="s">
        <v>1863</v>
      </c>
      <c r="C249" s="2" t="s">
        <v>242</v>
      </c>
      <c r="D249" s="2" t="s">
        <v>617</v>
      </c>
      <c r="E249" s="2" t="s">
        <v>4</v>
      </c>
      <c r="F249" s="2" t="s">
        <v>5</v>
      </c>
      <c r="G249" s="2" t="s">
        <v>121</v>
      </c>
      <c r="H249" s="2" t="s">
        <v>83</v>
      </c>
      <c r="I249" s="2" t="s">
        <v>3393</v>
      </c>
      <c r="J249" s="3">
        <v>10.98</v>
      </c>
      <c r="K249" s="3">
        <v>6.09</v>
      </c>
      <c r="L249" s="2" t="s">
        <v>8</v>
      </c>
      <c r="M249" s="2" t="s">
        <v>9</v>
      </c>
      <c r="N249" s="3">
        <v>260</v>
      </c>
      <c r="O249" s="2" t="s">
        <v>267</v>
      </c>
      <c r="P249" s="2" t="s">
        <v>53</v>
      </c>
      <c r="Q249" s="3"/>
      <c r="R249" s="3"/>
      <c r="S249" s="2" t="s">
        <v>21</v>
      </c>
      <c r="T249" s="4">
        <v>44955</v>
      </c>
      <c r="U249" s="2" t="s">
        <v>1864</v>
      </c>
      <c r="V249" s="6">
        <f>(Real_Sales[[#This Row],[Price_retail]]-Real_Sales[[#This Row],[Price_current]])/Real_Sales[[#This Row],[Price_retail]]</f>
        <v>0.44535519125683065</v>
      </c>
      <c r="W249" s="3" t="str" cm="1">
        <f t="array" ref="W24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49" s="2" t="str">
        <f>IF(Real_Sales[[#This Row],[Price_retail]]&gt;$AC$3,"Premium","Average")</f>
        <v>Average</v>
      </c>
      <c r="Y249" s="2" t="str">
        <f>IF(ISNUMBER(SEARCH("Basic",Real_Sales[[#This Row],[Product_name]])),"Yes","No")</f>
        <v>No</v>
      </c>
      <c r="Z249" s="2" cm="1">
        <f t="array" ref="Z249">_xlfn.IFS(Real_Sales[[#This Row],[Price_retail]]&lt;=15,1, Real_Sales[[#This Row],[Price_retail]]&lt;=30,2, Real_Sales[[#This Row],[Price_retail]]&lt;=50,3,Real_Sales[[#This Row],[Price_retail]]&gt;50,4)</f>
        <v>1</v>
      </c>
    </row>
    <row r="250" spans="1:26" x14ac:dyDescent="0.35">
      <c r="A250" s="2" t="s">
        <v>753</v>
      </c>
      <c r="B250" s="2" t="s">
        <v>754</v>
      </c>
      <c r="C250" s="2" t="s">
        <v>3400</v>
      </c>
      <c r="D250" s="2" t="s">
        <v>490</v>
      </c>
      <c r="E250" s="2" t="s">
        <v>4</v>
      </c>
      <c r="F250" s="2" t="s">
        <v>17</v>
      </c>
      <c r="G250" s="2" t="s">
        <v>67</v>
      </c>
      <c r="H250" s="2"/>
      <c r="I250" s="2" t="s">
        <v>3390</v>
      </c>
      <c r="J250" s="3">
        <v>11.01</v>
      </c>
      <c r="K250" s="3">
        <v>6.26</v>
      </c>
      <c r="L250" s="2" t="s">
        <v>8</v>
      </c>
      <c r="M250" s="2" t="s">
        <v>9</v>
      </c>
      <c r="N250" s="3">
        <v>5</v>
      </c>
      <c r="O250" s="2" t="s">
        <v>140</v>
      </c>
      <c r="P250" s="2" t="s">
        <v>70</v>
      </c>
      <c r="Q250" s="3"/>
      <c r="R250" s="3"/>
      <c r="S250" s="2" t="s">
        <v>21</v>
      </c>
      <c r="T250" s="4">
        <v>44955</v>
      </c>
      <c r="U250" s="2" t="s">
        <v>755</v>
      </c>
      <c r="V250" s="6">
        <f>(Real_Sales[[#This Row],[Price_retail]]-Real_Sales[[#This Row],[Price_current]])/Real_Sales[[#This Row],[Price_retail]]</f>
        <v>0.43142597638510444</v>
      </c>
      <c r="W250" s="3" t="str" cm="1">
        <f t="array" ref="W25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50" s="2" t="str">
        <f>IF(Real_Sales[[#This Row],[Price_retail]]&gt;$AC$3,"Premium","Average")</f>
        <v>Average</v>
      </c>
      <c r="Y250" s="2" t="str">
        <f>IF(ISNUMBER(SEARCH("Basic",Real_Sales[[#This Row],[Product_name]])),"Yes","No")</f>
        <v>No</v>
      </c>
      <c r="Z250" s="2" cm="1">
        <f t="array" ref="Z250">_xlfn.IFS(Real_Sales[[#This Row],[Price_retail]]&lt;=15,1, Real_Sales[[#This Row],[Price_retail]]&lt;=30,2, Real_Sales[[#This Row],[Price_retail]]&lt;=50,3,Real_Sales[[#This Row],[Price_retail]]&gt;50,4)</f>
        <v>1</v>
      </c>
    </row>
    <row r="251" spans="1:26" x14ac:dyDescent="0.35">
      <c r="A251" s="2" t="s">
        <v>2786</v>
      </c>
      <c r="B251" s="2" t="s">
        <v>2787</v>
      </c>
      <c r="C251" s="2" t="s">
        <v>3414</v>
      </c>
      <c r="D251" s="2" t="s">
        <v>1125</v>
      </c>
      <c r="E251" s="2" t="s">
        <v>4</v>
      </c>
      <c r="F251" s="2" t="s">
        <v>5</v>
      </c>
      <c r="G251" s="2" t="s">
        <v>121</v>
      </c>
      <c r="H251" s="2" t="s">
        <v>333</v>
      </c>
      <c r="I251" s="2" t="s">
        <v>3395</v>
      </c>
      <c r="J251" s="3">
        <v>11.01</v>
      </c>
      <c r="K251" s="3">
        <v>11.01</v>
      </c>
      <c r="L251" s="2" t="s">
        <v>3391</v>
      </c>
      <c r="M251" s="2" t="s">
        <v>9</v>
      </c>
      <c r="N251" s="3">
        <v>913</v>
      </c>
      <c r="O251" s="2" t="s">
        <v>347</v>
      </c>
      <c r="P251" s="2" t="s">
        <v>221</v>
      </c>
      <c r="Q251" s="3"/>
      <c r="R251" s="3"/>
      <c r="S251" s="2" t="s">
        <v>21</v>
      </c>
      <c r="T251" s="4">
        <v>44955</v>
      </c>
      <c r="U251" s="2" t="s">
        <v>2788</v>
      </c>
      <c r="V251" s="6">
        <f>(Real_Sales[[#This Row],[Price_retail]]-Real_Sales[[#This Row],[Price_current]])/Real_Sales[[#This Row],[Price_retail]]</f>
        <v>0</v>
      </c>
      <c r="W251" s="3" t="str" cm="1">
        <f t="array" ref="W25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51" s="2" t="str">
        <f>IF(Real_Sales[[#This Row],[Price_retail]]&gt;$AC$3,"Premium","Average")</f>
        <v>Average</v>
      </c>
      <c r="Y251" s="2" t="str">
        <f>IF(ISNUMBER(SEARCH("Basic",Real_Sales[[#This Row],[Product_name]])),"Yes","No")</f>
        <v>Yes</v>
      </c>
      <c r="Z251" s="2" cm="1">
        <f t="array" ref="Z251">_xlfn.IFS(Real_Sales[[#This Row],[Price_retail]]&lt;=15,1, Real_Sales[[#This Row],[Price_retail]]&lt;=30,2, Real_Sales[[#This Row],[Price_retail]]&lt;=50,3,Real_Sales[[#This Row],[Price_retail]]&gt;50,4)</f>
        <v>1</v>
      </c>
    </row>
    <row r="252" spans="1:26" x14ac:dyDescent="0.35">
      <c r="A252" s="2" t="s">
        <v>771</v>
      </c>
      <c r="B252" s="2" t="s">
        <v>772</v>
      </c>
      <c r="C252" s="2" t="s">
        <v>41</v>
      </c>
      <c r="D252" s="2" t="s">
        <v>678</v>
      </c>
      <c r="E252" s="2" t="s">
        <v>4</v>
      </c>
      <c r="F252" s="2" t="s">
        <v>17</v>
      </c>
      <c r="G252" s="2" t="s">
        <v>18</v>
      </c>
      <c r="H252" s="2" t="s">
        <v>134</v>
      </c>
      <c r="I252" s="2" t="s">
        <v>3393</v>
      </c>
      <c r="J252" s="3">
        <v>11.06</v>
      </c>
      <c r="K252" s="3">
        <v>11.06</v>
      </c>
      <c r="L252" s="2" t="s">
        <v>3391</v>
      </c>
      <c r="M252" s="2" t="s">
        <v>9</v>
      </c>
      <c r="N252" s="3">
        <v>125</v>
      </c>
      <c r="O252" s="2" t="s">
        <v>36</v>
      </c>
      <c r="P252" s="2" t="s">
        <v>238</v>
      </c>
      <c r="Q252" s="3"/>
      <c r="R252" s="3"/>
      <c r="S252" s="2" t="s">
        <v>21</v>
      </c>
      <c r="T252" s="4">
        <v>44955</v>
      </c>
      <c r="U252" s="2" t="s">
        <v>773</v>
      </c>
      <c r="V252" s="6">
        <f>(Real_Sales[[#This Row],[Price_retail]]-Real_Sales[[#This Row],[Price_current]])/Real_Sales[[#This Row],[Price_retail]]</f>
        <v>0</v>
      </c>
      <c r="W252" s="3" t="str" cm="1">
        <f t="array" ref="W2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52" s="2" t="str">
        <f>IF(Real_Sales[[#This Row],[Price_retail]]&gt;$AC$3,"Premium","Average")</f>
        <v>Average</v>
      </c>
      <c r="Y252" s="2" t="str">
        <f>IF(ISNUMBER(SEARCH("Basic",Real_Sales[[#This Row],[Product_name]])),"Yes","No")</f>
        <v>No</v>
      </c>
      <c r="Z252" s="2" cm="1">
        <f t="array" ref="Z252">_xlfn.IFS(Real_Sales[[#This Row],[Price_retail]]&lt;=15,1, Real_Sales[[#This Row],[Price_retail]]&lt;=30,2, Real_Sales[[#This Row],[Price_retail]]&lt;=50,3,Real_Sales[[#This Row],[Price_retail]]&gt;50,4)</f>
        <v>1</v>
      </c>
    </row>
    <row r="253" spans="1:26" x14ac:dyDescent="0.35">
      <c r="A253" s="2" t="s">
        <v>3170</v>
      </c>
      <c r="B253" s="2" t="s">
        <v>3171</v>
      </c>
      <c r="C253" s="2" t="s">
        <v>1115</v>
      </c>
      <c r="D253" s="2" t="s">
        <v>581</v>
      </c>
      <c r="E253" s="2" t="s">
        <v>4</v>
      </c>
      <c r="F253" s="2" t="s">
        <v>17</v>
      </c>
      <c r="G253" s="2" t="s">
        <v>27</v>
      </c>
      <c r="H253" s="2" t="s">
        <v>7</v>
      </c>
      <c r="I253" s="2" t="s">
        <v>3393</v>
      </c>
      <c r="J253" s="3">
        <v>11.07</v>
      </c>
      <c r="K253" s="3">
        <v>6.4</v>
      </c>
      <c r="L253" s="2" t="s">
        <v>8</v>
      </c>
      <c r="M253" s="2" t="s">
        <v>9</v>
      </c>
      <c r="N253" s="3">
        <v>958</v>
      </c>
      <c r="O253" s="2" t="s">
        <v>36</v>
      </c>
      <c r="P253" s="2" t="s">
        <v>192</v>
      </c>
      <c r="Q253" s="3"/>
      <c r="R253" s="3"/>
      <c r="S253" s="2" t="s">
        <v>12</v>
      </c>
      <c r="T253" s="4">
        <v>44955</v>
      </c>
      <c r="U253" s="2" t="s">
        <v>3172</v>
      </c>
      <c r="V253" s="6">
        <f>(Real_Sales[[#This Row],[Price_retail]]-Real_Sales[[#This Row],[Price_current]])/Real_Sales[[#This Row],[Price_retail]]</f>
        <v>0.4218608852755194</v>
      </c>
      <c r="W253" s="3" t="str" cm="1">
        <f t="array" ref="W25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53" s="2" t="str">
        <f>IF(Real_Sales[[#This Row],[Price_retail]]&gt;$AC$3,"Premium","Average")</f>
        <v>Average</v>
      </c>
      <c r="Y253" s="2" t="str">
        <f>IF(ISNUMBER(SEARCH("Basic",Real_Sales[[#This Row],[Product_name]])),"Yes","No")</f>
        <v>No</v>
      </c>
      <c r="Z253" s="2" cm="1">
        <f t="array" ref="Z253">_xlfn.IFS(Real_Sales[[#This Row],[Price_retail]]&lt;=15,1, Real_Sales[[#This Row],[Price_retail]]&lt;=30,2, Real_Sales[[#This Row],[Price_retail]]&lt;=50,3,Real_Sales[[#This Row],[Price_retail]]&gt;50,4)</f>
        <v>1</v>
      </c>
    </row>
    <row r="254" spans="1:26" x14ac:dyDescent="0.35">
      <c r="A254" s="2" t="s">
        <v>1978</v>
      </c>
      <c r="B254" s="2" t="s">
        <v>1979</v>
      </c>
      <c r="C254" s="2" t="s">
        <v>41</v>
      </c>
      <c r="D254" s="2" t="s">
        <v>847</v>
      </c>
      <c r="E254" s="2" t="s">
        <v>4</v>
      </c>
      <c r="F254" s="2" t="s">
        <v>5</v>
      </c>
      <c r="G254" s="2" t="s">
        <v>121</v>
      </c>
      <c r="H254" s="2" t="s">
        <v>237</v>
      </c>
      <c r="I254" s="2" t="s">
        <v>3393</v>
      </c>
      <c r="J254" s="3">
        <v>11.07</v>
      </c>
      <c r="K254" s="3">
        <v>7.17</v>
      </c>
      <c r="L254" s="2" t="s">
        <v>8</v>
      </c>
      <c r="M254" s="2" t="s">
        <v>9</v>
      </c>
      <c r="N254" s="3">
        <v>314</v>
      </c>
      <c r="O254" s="2" t="s">
        <v>347</v>
      </c>
      <c r="P254" s="2" t="s">
        <v>70</v>
      </c>
      <c r="Q254" s="3"/>
      <c r="R254" s="3"/>
      <c r="S254" s="2" t="s">
        <v>21</v>
      </c>
      <c r="T254" s="4">
        <v>44955</v>
      </c>
      <c r="U254" s="2" t="s">
        <v>1980</v>
      </c>
      <c r="V254" s="6">
        <f>(Real_Sales[[#This Row],[Price_retail]]-Real_Sales[[#This Row],[Price_current]])/Real_Sales[[#This Row],[Price_retail]]</f>
        <v>0.35230352303523038</v>
      </c>
      <c r="W254" s="3" t="str" cm="1">
        <f t="array" ref="W25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54" s="2" t="str">
        <f>IF(Real_Sales[[#This Row],[Price_retail]]&gt;$AC$3,"Premium","Average")</f>
        <v>Average</v>
      </c>
      <c r="Y254" s="2" t="str">
        <f>IF(ISNUMBER(SEARCH("Basic",Real_Sales[[#This Row],[Product_name]])),"Yes","No")</f>
        <v>No</v>
      </c>
      <c r="Z254" s="2" cm="1">
        <f t="array" ref="Z254">_xlfn.IFS(Real_Sales[[#This Row],[Price_retail]]&lt;=15,1, Real_Sales[[#This Row],[Price_retail]]&lt;=30,2, Real_Sales[[#This Row],[Price_retail]]&lt;=50,3,Real_Sales[[#This Row],[Price_retail]]&gt;50,4)</f>
        <v>1</v>
      </c>
    </row>
    <row r="255" spans="1:26" x14ac:dyDescent="0.35">
      <c r="A255" s="2" t="s">
        <v>852</v>
      </c>
      <c r="B255" s="2" t="s">
        <v>853</v>
      </c>
      <c r="C255" s="2" t="s">
        <v>25</v>
      </c>
      <c r="D255" s="2" t="s">
        <v>3411</v>
      </c>
      <c r="E255" s="2" t="s">
        <v>4</v>
      </c>
      <c r="F255" s="2" t="s">
        <v>5</v>
      </c>
      <c r="G255" s="2" t="s">
        <v>82</v>
      </c>
      <c r="H255" s="2"/>
      <c r="I255" s="2" t="s">
        <v>3393</v>
      </c>
      <c r="J255" s="3">
        <v>11.09</v>
      </c>
      <c r="K255" s="3">
        <v>6.72</v>
      </c>
      <c r="L255" s="2" t="s">
        <v>8</v>
      </c>
      <c r="M255" s="2" t="s">
        <v>9</v>
      </c>
      <c r="N255" s="3">
        <v>859</v>
      </c>
      <c r="O255" s="2" t="s">
        <v>91</v>
      </c>
      <c r="P255" s="2" t="s">
        <v>238</v>
      </c>
      <c r="Q255" s="3"/>
      <c r="R255" s="3"/>
      <c r="S255" s="2" t="s">
        <v>21</v>
      </c>
      <c r="T255" s="4">
        <v>44955</v>
      </c>
      <c r="U255" s="2" t="s">
        <v>854</v>
      </c>
      <c r="V255" s="6">
        <f>(Real_Sales[[#This Row],[Price_retail]]-Real_Sales[[#This Row],[Price_current]])/Real_Sales[[#This Row],[Price_retail]]</f>
        <v>0.39404869251578001</v>
      </c>
      <c r="W255" s="3" t="str" cm="1">
        <f t="array" ref="W25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55" s="2" t="str">
        <f>IF(Real_Sales[[#This Row],[Price_retail]]&gt;$AC$3,"Premium","Average")</f>
        <v>Average</v>
      </c>
      <c r="Y255" s="2" t="str">
        <f>IF(ISNUMBER(SEARCH("Basic",Real_Sales[[#This Row],[Product_name]])),"Yes","No")</f>
        <v>No</v>
      </c>
      <c r="Z255" s="2" cm="1">
        <f t="array" ref="Z255">_xlfn.IFS(Real_Sales[[#This Row],[Price_retail]]&lt;=15,1, Real_Sales[[#This Row],[Price_retail]]&lt;=30,2, Real_Sales[[#This Row],[Price_retail]]&lt;=50,3,Real_Sales[[#This Row],[Price_retail]]&gt;50,4)</f>
        <v>1</v>
      </c>
    </row>
    <row r="256" spans="1:26" x14ac:dyDescent="0.35">
      <c r="A256" s="2" t="s">
        <v>1448</v>
      </c>
      <c r="B256" s="2" t="s">
        <v>1449</v>
      </c>
      <c r="C256" s="2" t="s">
        <v>271</v>
      </c>
      <c r="D256" s="2" t="s">
        <v>600</v>
      </c>
      <c r="E256" s="2" t="s">
        <v>4</v>
      </c>
      <c r="F256" s="2" t="s">
        <v>17</v>
      </c>
      <c r="G256" s="2" t="s">
        <v>50</v>
      </c>
      <c r="H256" s="2" t="s">
        <v>134</v>
      </c>
      <c r="I256" s="2" t="s">
        <v>3395</v>
      </c>
      <c r="J256" s="3">
        <v>11.1</v>
      </c>
      <c r="K256" s="3">
        <v>11.1</v>
      </c>
      <c r="L256" s="2" t="s">
        <v>3391</v>
      </c>
      <c r="M256" s="2" t="s">
        <v>9</v>
      </c>
      <c r="N256" s="3">
        <v>966</v>
      </c>
      <c r="O256" s="2" t="s">
        <v>60</v>
      </c>
      <c r="P256" s="2" t="s">
        <v>3392</v>
      </c>
      <c r="Q256" s="3"/>
      <c r="R256" s="3"/>
      <c r="S256" s="2" t="s">
        <v>21</v>
      </c>
      <c r="T256" s="4">
        <v>44955</v>
      </c>
      <c r="U256" s="2" t="s">
        <v>1450</v>
      </c>
      <c r="V256" s="6">
        <f>(Real_Sales[[#This Row],[Price_retail]]-Real_Sales[[#This Row],[Price_current]])/Real_Sales[[#This Row],[Price_retail]]</f>
        <v>0</v>
      </c>
      <c r="W256" s="3" t="str" cm="1">
        <f t="array" ref="W2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56" s="2" t="str">
        <f>IF(Real_Sales[[#This Row],[Price_retail]]&gt;$AC$3,"Premium","Average")</f>
        <v>Average</v>
      </c>
      <c r="Y256" s="2" t="str">
        <f>IF(ISNUMBER(SEARCH("Basic",Real_Sales[[#This Row],[Product_name]])),"Yes","No")</f>
        <v>No</v>
      </c>
      <c r="Z256" s="2" cm="1">
        <f t="array" ref="Z256">_xlfn.IFS(Real_Sales[[#This Row],[Price_retail]]&lt;=15,1, Real_Sales[[#This Row],[Price_retail]]&lt;=30,2, Real_Sales[[#This Row],[Price_retail]]&lt;=50,3,Real_Sales[[#This Row],[Price_retail]]&gt;50,4)</f>
        <v>1</v>
      </c>
    </row>
    <row r="257" spans="1:26" x14ac:dyDescent="0.35">
      <c r="A257" s="2" t="s">
        <v>2632</v>
      </c>
      <c r="B257" s="2" t="s">
        <v>2633</v>
      </c>
      <c r="C257" s="2" t="s">
        <v>242</v>
      </c>
      <c r="D257" s="2" t="s">
        <v>625</v>
      </c>
      <c r="E257" s="2" t="s">
        <v>4</v>
      </c>
      <c r="F257" s="2" t="s">
        <v>17</v>
      </c>
      <c r="G257" s="2" t="s">
        <v>27</v>
      </c>
      <c r="H257" s="2" t="s">
        <v>333</v>
      </c>
      <c r="I257" s="2" t="s">
        <v>3395</v>
      </c>
      <c r="J257" s="3">
        <v>11.12</v>
      </c>
      <c r="K257" s="3">
        <v>11.12</v>
      </c>
      <c r="L257" s="2" t="s">
        <v>3391</v>
      </c>
      <c r="M257" s="2" t="s">
        <v>9</v>
      </c>
      <c r="N257" s="3">
        <v>340</v>
      </c>
      <c r="O257" s="2" t="s">
        <v>69</v>
      </c>
      <c r="P257" s="2" t="s">
        <v>221</v>
      </c>
      <c r="Q257" s="3"/>
      <c r="R257" s="3"/>
      <c r="S257" s="2" t="s">
        <v>12</v>
      </c>
      <c r="T257" s="4">
        <v>44955</v>
      </c>
      <c r="U257" s="2" t="s">
        <v>2634</v>
      </c>
      <c r="V257" s="6">
        <f>(Real_Sales[[#This Row],[Price_retail]]-Real_Sales[[#This Row],[Price_current]])/Real_Sales[[#This Row],[Price_retail]]</f>
        <v>0</v>
      </c>
      <c r="W257" s="3" t="str" cm="1">
        <f t="array" ref="W25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57" s="2" t="str">
        <f>IF(Real_Sales[[#This Row],[Price_retail]]&gt;$AC$3,"Premium","Average")</f>
        <v>Average</v>
      </c>
      <c r="Y257" s="2" t="str">
        <f>IF(ISNUMBER(SEARCH("Basic",Real_Sales[[#This Row],[Product_name]])),"Yes","No")</f>
        <v>No</v>
      </c>
      <c r="Z257" s="2" cm="1">
        <f t="array" ref="Z257">_xlfn.IFS(Real_Sales[[#This Row],[Price_retail]]&lt;=15,1, Real_Sales[[#This Row],[Price_retail]]&lt;=30,2, Real_Sales[[#This Row],[Price_retail]]&lt;=50,3,Real_Sales[[#This Row],[Price_retail]]&gt;50,4)</f>
        <v>1</v>
      </c>
    </row>
    <row r="258" spans="1:26" x14ac:dyDescent="0.35">
      <c r="A258" s="2" t="s">
        <v>806</v>
      </c>
      <c r="B258" s="2" t="s">
        <v>807</v>
      </c>
      <c r="C258" s="2" t="s">
        <v>3394</v>
      </c>
      <c r="D258" s="2" t="s">
        <v>229</v>
      </c>
      <c r="E258" s="2" t="s">
        <v>4</v>
      </c>
      <c r="F258" s="2" t="s">
        <v>5</v>
      </c>
      <c r="G258" s="2" t="s">
        <v>6</v>
      </c>
      <c r="H258" s="2" t="s">
        <v>168</v>
      </c>
      <c r="I258" s="2" t="s">
        <v>3390</v>
      </c>
      <c r="J258" s="3">
        <v>11.15</v>
      </c>
      <c r="K258" s="3">
        <v>11.15</v>
      </c>
      <c r="L258" s="2" t="s">
        <v>3391</v>
      </c>
      <c r="M258" s="2" t="s">
        <v>9</v>
      </c>
      <c r="N258" s="3">
        <v>101</v>
      </c>
      <c r="O258" s="2" t="s">
        <v>104</v>
      </c>
      <c r="P258" s="2" t="s">
        <v>70</v>
      </c>
      <c r="Q258" s="3"/>
      <c r="R258" s="3"/>
      <c r="S258" s="2" t="s">
        <v>21</v>
      </c>
      <c r="T258" s="4">
        <v>44955</v>
      </c>
      <c r="U258" s="2" t="s">
        <v>808</v>
      </c>
      <c r="V258" s="6">
        <f>(Real_Sales[[#This Row],[Price_retail]]-Real_Sales[[#This Row],[Price_current]])/Real_Sales[[#This Row],[Price_retail]]</f>
        <v>0</v>
      </c>
      <c r="W258" s="3" t="str" cm="1">
        <f t="array" ref="W25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58" s="2" t="str">
        <f>IF(Real_Sales[[#This Row],[Price_retail]]&gt;$AC$3,"Premium","Average")</f>
        <v>Average</v>
      </c>
      <c r="Y258" s="2" t="str">
        <f>IF(ISNUMBER(SEARCH("Basic",Real_Sales[[#This Row],[Product_name]])),"Yes","No")</f>
        <v>No</v>
      </c>
      <c r="Z258" s="2" cm="1">
        <f t="array" ref="Z258">_xlfn.IFS(Real_Sales[[#This Row],[Price_retail]]&lt;=15,1, Real_Sales[[#This Row],[Price_retail]]&lt;=30,2, Real_Sales[[#This Row],[Price_retail]]&lt;=50,3,Real_Sales[[#This Row],[Price_retail]]&gt;50,4)</f>
        <v>1</v>
      </c>
    </row>
    <row r="259" spans="1:26" x14ac:dyDescent="0.35">
      <c r="A259" s="2" t="s">
        <v>2968</v>
      </c>
      <c r="B259" s="2" t="s">
        <v>2969</v>
      </c>
      <c r="C259" s="2" t="s">
        <v>242</v>
      </c>
      <c r="D259" s="2" t="s">
        <v>162</v>
      </c>
      <c r="E259" s="2" t="s">
        <v>4</v>
      </c>
      <c r="F259" s="2" t="s">
        <v>17</v>
      </c>
      <c r="G259" s="2" t="s">
        <v>27</v>
      </c>
      <c r="H259" s="2" t="s">
        <v>35</v>
      </c>
      <c r="I259" s="2" t="s">
        <v>3393</v>
      </c>
      <c r="J259" s="3">
        <v>11.2</v>
      </c>
      <c r="K259" s="3">
        <v>6.66</v>
      </c>
      <c r="L259" s="2" t="s">
        <v>8</v>
      </c>
      <c r="M259" s="2" t="s">
        <v>9</v>
      </c>
      <c r="N259" s="3">
        <v>4</v>
      </c>
      <c r="O259" s="2" t="s">
        <v>60</v>
      </c>
      <c r="P259" s="2" t="s">
        <v>221</v>
      </c>
      <c r="Q259" s="3"/>
      <c r="R259" s="3"/>
      <c r="S259" s="2" t="s">
        <v>12</v>
      </c>
      <c r="T259" s="4">
        <v>44955</v>
      </c>
      <c r="U259" s="2" t="s">
        <v>2970</v>
      </c>
      <c r="V259" s="6">
        <f>(Real_Sales[[#This Row],[Price_retail]]-Real_Sales[[#This Row],[Price_current]])/Real_Sales[[#This Row],[Price_retail]]</f>
        <v>0.4053571428571428</v>
      </c>
      <c r="W259" s="3" t="str" cm="1">
        <f t="array" ref="W25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59" s="2" t="str">
        <f>IF(Real_Sales[[#This Row],[Price_retail]]&gt;$AC$3,"Premium","Average")</f>
        <v>Average</v>
      </c>
      <c r="Y259" s="2" t="str">
        <f>IF(ISNUMBER(SEARCH("Basic",Real_Sales[[#This Row],[Product_name]])),"Yes","No")</f>
        <v>No</v>
      </c>
      <c r="Z259" s="2" cm="1">
        <f t="array" ref="Z259">_xlfn.IFS(Real_Sales[[#This Row],[Price_retail]]&lt;=15,1, Real_Sales[[#This Row],[Price_retail]]&lt;=30,2, Real_Sales[[#This Row],[Price_retail]]&lt;=50,3,Real_Sales[[#This Row],[Price_retail]]&gt;50,4)</f>
        <v>1</v>
      </c>
    </row>
    <row r="260" spans="1:26" x14ac:dyDescent="0.35">
      <c r="A260" s="2" t="s">
        <v>672</v>
      </c>
      <c r="B260" s="2" t="s">
        <v>673</v>
      </c>
      <c r="C260" s="2" t="s">
        <v>2915</v>
      </c>
      <c r="D260" s="2" t="s">
        <v>674</v>
      </c>
      <c r="E260" s="2" t="s">
        <v>4</v>
      </c>
      <c r="F260" s="2" t="s">
        <v>5</v>
      </c>
      <c r="G260" s="2" t="s">
        <v>82</v>
      </c>
      <c r="H260" s="2" t="s">
        <v>333</v>
      </c>
      <c r="I260" s="2" t="s">
        <v>3390</v>
      </c>
      <c r="J260" s="3">
        <v>11.22</v>
      </c>
      <c r="K260" s="3">
        <v>11.22</v>
      </c>
      <c r="L260" s="2" t="s">
        <v>3391</v>
      </c>
      <c r="M260" s="2" t="s">
        <v>9</v>
      </c>
      <c r="N260" s="3">
        <v>31</v>
      </c>
      <c r="O260" s="2" t="s">
        <v>104</v>
      </c>
      <c r="P260" s="2" t="s">
        <v>37</v>
      </c>
      <c r="Q260" s="3"/>
      <c r="R260" s="3"/>
      <c r="S260" s="2" t="s">
        <v>21</v>
      </c>
      <c r="T260" s="4">
        <v>44955</v>
      </c>
      <c r="U260" s="2" t="s">
        <v>675</v>
      </c>
      <c r="V260" s="6">
        <f>(Real_Sales[[#This Row],[Price_retail]]-Real_Sales[[#This Row],[Price_current]])/Real_Sales[[#This Row],[Price_retail]]</f>
        <v>0</v>
      </c>
      <c r="W260" s="3" t="str" cm="1">
        <f t="array" ref="W26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60" s="2" t="str">
        <f>IF(Real_Sales[[#This Row],[Price_retail]]&gt;$AC$3,"Premium","Average")</f>
        <v>Average</v>
      </c>
      <c r="Y260" s="2" t="str">
        <f>IF(ISNUMBER(SEARCH("Basic",Real_Sales[[#This Row],[Product_name]])),"Yes","No")</f>
        <v>No</v>
      </c>
      <c r="Z260" s="2" cm="1">
        <f t="array" ref="Z260">_xlfn.IFS(Real_Sales[[#This Row],[Price_retail]]&lt;=15,1, Real_Sales[[#This Row],[Price_retail]]&lt;=30,2, Real_Sales[[#This Row],[Price_retail]]&lt;=50,3,Real_Sales[[#This Row],[Price_retail]]&gt;50,4)</f>
        <v>1</v>
      </c>
    </row>
    <row r="261" spans="1:26" x14ac:dyDescent="0.35">
      <c r="A261" s="2" t="s">
        <v>3197</v>
      </c>
      <c r="B261" s="2" t="s">
        <v>3198</v>
      </c>
      <c r="C261" s="2" t="s">
        <v>1143</v>
      </c>
      <c r="D261" s="2" t="s">
        <v>109</v>
      </c>
      <c r="E261" s="2" t="s">
        <v>4</v>
      </c>
      <c r="F261" s="2" t="s">
        <v>5</v>
      </c>
      <c r="G261" s="2" t="s">
        <v>82</v>
      </c>
      <c r="H261" s="2" t="s">
        <v>110</v>
      </c>
      <c r="I261" s="2" t="s">
        <v>3395</v>
      </c>
      <c r="J261" s="3">
        <v>11.22</v>
      </c>
      <c r="K261" s="3">
        <v>11.22</v>
      </c>
      <c r="L261" s="2" t="s">
        <v>3391</v>
      </c>
      <c r="M261" s="2" t="s">
        <v>9</v>
      </c>
      <c r="N261" s="3">
        <v>693</v>
      </c>
      <c r="O261" s="2" t="s">
        <v>98</v>
      </c>
      <c r="P261" s="2" t="s">
        <v>368</v>
      </c>
      <c r="Q261" s="3"/>
      <c r="R261" s="3"/>
      <c r="S261" s="2" t="s">
        <v>21</v>
      </c>
      <c r="T261" s="4">
        <v>44955</v>
      </c>
      <c r="U261" s="2" t="s">
        <v>3199</v>
      </c>
      <c r="V261" s="6">
        <f>(Real_Sales[[#This Row],[Price_retail]]-Real_Sales[[#This Row],[Price_current]])/Real_Sales[[#This Row],[Price_retail]]</f>
        <v>0</v>
      </c>
      <c r="W261" s="3" t="str" cm="1">
        <f t="array" ref="W26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61" s="2" t="str">
        <f>IF(Real_Sales[[#This Row],[Price_retail]]&gt;$AC$3,"Premium","Average")</f>
        <v>Average</v>
      </c>
      <c r="Y261" s="2" t="str">
        <f>IF(ISNUMBER(SEARCH("Basic",Real_Sales[[#This Row],[Product_name]])),"Yes","No")</f>
        <v>Yes</v>
      </c>
      <c r="Z261" s="2" cm="1">
        <f t="array" ref="Z261">_xlfn.IFS(Real_Sales[[#This Row],[Price_retail]]&lt;=15,1, Real_Sales[[#This Row],[Price_retail]]&lt;=30,2, Real_Sales[[#This Row],[Price_retail]]&lt;=50,3,Real_Sales[[#This Row],[Price_retail]]&gt;50,4)</f>
        <v>1</v>
      </c>
    </row>
    <row r="262" spans="1:26" x14ac:dyDescent="0.35">
      <c r="A262" s="2" t="s">
        <v>1947</v>
      </c>
      <c r="B262" s="2" t="s">
        <v>1948</v>
      </c>
      <c r="C262" s="2" t="s">
        <v>65</v>
      </c>
      <c r="D262" s="2" t="s">
        <v>847</v>
      </c>
      <c r="E262" s="2" t="s">
        <v>4</v>
      </c>
      <c r="F262" s="2" t="s">
        <v>5</v>
      </c>
      <c r="G262" s="2" t="s">
        <v>6</v>
      </c>
      <c r="H262" s="2" t="s">
        <v>237</v>
      </c>
      <c r="I262" s="2" t="s">
        <v>3395</v>
      </c>
      <c r="J262" s="3">
        <v>11.23</v>
      </c>
      <c r="K262" s="3">
        <v>11.23</v>
      </c>
      <c r="L262" s="2" t="s">
        <v>3391</v>
      </c>
      <c r="M262" s="2" t="s">
        <v>9</v>
      </c>
      <c r="N262" s="3">
        <v>962</v>
      </c>
      <c r="O262" s="2" t="s">
        <v>359</v>
      </c>
      <c r="P262" s="2" t="s">
        <v>3392</v>
      </c>
      <c r="Q262" s="3"/>
      <c r="R262" s="3"/>
      <c r="S262" s="2" t="s">
        <v>21</v>
      </c>
      <c r="T262" s="4">
        <v>44955</v>
      </c>
      <c r="U262" s="2" t="s">
        <v>1949</v>
      </c>
      <c r="V262" s="6">
        <f>(Real_Sales[[#This Row],[Price_retail]]-Real_Sales[[#This Row],[Price_current]])/Real_Sales[[#This Row],[Price_retail]]</f>
        <v>0</v>
      </c>
      <c r="W262" s="3" t="str" cm="1">
        <f t="array" ref="W2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62" s="2" t="str">
        <f>IF(Real_Sales[[#This Row],[Price_retail]]&gt;$AC$3,"Premium","Average")</f>
        <v>Average</v>
      </c>
      <c r="Y262" s="2" t="str">
        <f>IF(ISNUMBER(SEARCH("Basic",Real_Sales[[#This Row],[Product_name]])),"Yes","No")</f>
        <v>No</v>
      </c>
      <c r="Z262" s="2" cm="1">
        <f t="array" ref="Z262">_xlfn.IFS(Real_Sales[[#This Row],[Price_retail]]&lt;=15,1, Real_Sales[[#This Row],[Price_retail]]&lt;=30,2, Real_Sales[[#This Row],[Price_retail]]&lt;=50,3,Real_Sales[[#This Row],[Price_retail]]&gt;50,4)</f>
        <v>1</v>
      </c>
    </row>
    <row r="263" spans="1:26" x14ac:dyDescent="0.35">
      <c r="A263" s="2" t="s">
        <v>2205</v>
      </c>
      <c r="B263" s="2" t="s">
        <v>2206</v>
      </c>
      <c r="C263" s="2" t="s">
        <v>616</v>
      </c>
      <c r="D263" s="2" t="s">
        <v>181</v>
      </c>
      <c r="E263" s="2" t="s">
        <v>4</v>
      </c>
      <c r="F263" s="2" t="s">
        <v>5</v>
      </c>
      <c r="G263" s="2" t="s">
        <v>6</v>
      </c>
      <c r="H263" s="2" t="s">
        <v>68</v>
      </c>
      <c r="I263" s="2" t="s">
        <v>3389</v>
      </c>
      <c r="J263" s="3">
        <v>11.26</v>
      </c>
      <c r="K263" s="3">
        <v>11.26</v>
      </c>
      <c r="L263" s="2" t="s">
        <v>3391</v>
      </c>
      <c r="M263" s="2" t="s">
        <v>9</v>
      </c>
      <c r="N263" s="3">
        <v>596</v>
      </c>
      <c r="O263" s="2" t="s">
        <v>91</v>
      </c>
      <c r="P263" s="2" t="s">
        <v>44</v>
      </c>
      <c r="Q263" s="3"/>
      <c r="R263" s="3"/>
      <c r="S263" s="2" t="s">
        <v>21</v>
      </c>
      <c r="T263" s="4">
        <v>44955</v>
      </c>
      <c r="U263" s="2" t="s">
        <v>2207</v>
      </c>
      <c r="V263" s="6">
        <f>(Real_Sales[[#This Row],[Price_retail]]-Real_Sales[[#This Row],[Price_current]])/Real_Sales[[#This Row],[Price_retail]]</f>
        <v>0</v>
      </c>
      <c r="W263" s="3" t="str" cm="1">
        <f t="array" ref="W26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63" s="2" t="str">
        <f>IF(Real_Sales[[#This Row],[Price_retail]]&gt;$AC$3,"Premium","Average")</f>
        <v>Average</v>
      </c>
      <c r="Y263" s="2" t="str">
        <f>IF(ISNUMBER(SEARCH("Basic",Real_Sales[[#This Row],[Product_name]])),"Yes","No")</f>
        <v>No</v>
      </c>
      <c r="Z263" s="2" cm="1">
        <f t="array" ref="Z263">_xlfn.IFS(Real_Sales[[#This Row],[Price_retail]]&lt;=15,1, Real_Sales[[#This Row],[Price_retail]]&lt;=30,2, Real_Sales[[#This Row],[Price_retail]]&lt;=50,3,Real_Sales[[#This Row],[Price_retail]]&gt;50,4)</f>
        <v>1</v>
      </c>
    </row>
    <row r="264" spans="1:26" x14ac:dyDescent="0.35">
      <c r="A264" s="2" t="s">
        <v>3299</v>
      </c>
      <c r="B264" s="2" t="s">
        <v>3300</v>
      </c>
      <c r="C264" s="2" t="s">
        <v>423</v>
      </c>
      <c r="D264" s="2" t="s">
        <v>372</v>
      </c>
      <c r="E264" s="2" t="s">
        <v>4</v>
      </c>
      <c r="F264" s="2" t="s">
        <v>5</v>
      </c>
      <c r="G264" s="2" t="s">
        <v>82</v>
      </c>
      <c r="H264" s="2" t="s">
        <v>134</v>
      </c>
      <c r="I264" s="2" t="s">
        <v>3393</v>
      </c>
      <c r="J264" s="3">
        <v>11.28</v>
      </c>
      <c r="K264" s="3">
        <v>8.08</v>
      </c>
      <c r="L264" s="2" t="s">
        <v>8</v>
      </c>
      <c r="M264" s="2" t="s">
        <v>9</v>
      </c>
      <c r="N264" s="3">
        <v>876</v>
      </c>
      <c r="O264" s="2" t="s">
        <v>91</v>
      </c>
      <c r="P264" s="2" t="s">
        <v>76</v>
      </c>
      <c r="Q264" s="3"/>
      <c r="R264" s="3"/>
      <c r="S264" s="2" t="s">
        <v>12</v>
      </c>
      <c r="T264" s="4">
        <v>44955</v>
      </c>
      <c r="U264" s="2" t="s">
        <v>3301</v>
      </c>
      <c r="V264" s="6">
        <f>(Real_Sales[[#This Row],[Price_retail]]-Real_Sales[[#This Row],[Price_current]])/Real_Sales[[#This Row],[Price_retail]]</f>
        <v>0.28368794326241131</v>
      </c>
      <c r="W264" s="3" t="str" cm="1">
        <f t="array" ref="W26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64" s="2" t="str">
        <f>IF(Real_Sales[[#This Row],[Price_retail]]&gt;$AC$3,"Premium","Average")</f>
        <v>Average</v>
      </c>
      <c r="Y264" s="2" t="str">
        <f>IF(ISNUMBER(SEARCH("Basic",Real_Sales[[#This Row],[Product_name]])),"Yes","No")</f>
        <v>No</v>
      </c>
      <c r="Z264" s="2" cm="1">
        <f t="array" ref="Z264">_xlfn.IFS(Real_Sales[[#This Row],[Price_retail]]&lt;=15,1, Real_Sales[[#This Row],[Price_retail]]&lt;=30,2, Real_Sales[[#This Row],[Price_retail]]&lt;=50,3,Real_Sales[[#This Row],[Price_retail]]&gt;50,4)</f>
        <v>1</v>
      </c>
    </row>
    <row r="265" spans="1:26" x14ac:dyDescent="0.35">
      <c r="A265" s="2" t="s">
        <v>812</v>
      </c>
      <c r="B265" s="2" t="s">
        <v>813</v>
      </c>
      <c r="C265" s="2" t="s">
        <v>1747</v>
      </c>
      <c r="D265" s="2" t="s">
        <v>814</v>
      </c>
      <c r="E265" s="2" t="s">
        <v>4</v>
      </c>
      <c r="F265" s="2" t="s">
        <v>5</v>
      </c>
      <c r="G265" s="2" t="s">
        <v>6</v>
      </c>
      <c r="H265" s="2" t="s">
        <v>418</v>
      </c>
      <c r="I265" s="2" t="s">
        <v>3393</v>
      </c>
      <c r="J265" s="3">
        <v>11.28</v>
      </c>
      <c r="K265" s="3">
        <v>11.28</v>
      </c>
      <c r="L265" s="2" t="s">
        <v>3391</v>
      </c>
      <c r="M265" s="2" t="s">
        <v>9</v>
      </c>
      <c r="N265" s="3">
        <v>70</v>
      </c>
      <c r="O265" s="2" t="s">
        <v>60</v>
      </c>
      <c r="P265" s="2" t="s">
        <v>70</v>
      </c>
      <c r="Q265" s="3"/>
      <c r="R265" s="3"/>
      <c r="S265" s="2" t="s">
        <v>12</v>
      </c>
      <c r="T265" s="4">
        <v>44955</v>
      </c>
      <c r="U265" s="2" t="s">
        <v>815</v>
      </c>
      <c r="V265" s="6">
        <f>(Real_Sales[[#This Row],[Price_retail]]-Real_Sales[[#This Row],[Price_current]])/Real_Sales[[#This Row],[Price_retail]]</f>
        <v>0</v>
      </c>
      <c r="W265" s="3" t="str" cm="1">
        <f t="array" ref="W26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65" s="2" t="str">
        <f>IF(Real_Sales[[#This Row],[Price_retail]]&gt;$AC$3,"Premium","Average")</f>
        <v>Average</v>
      </c>
      <c r="Y265" s="2" t="str">
        <f>IF(ISNUMBER(SEARCH("Basic",Real_Sales[[#This Row],[Product_name]])),"Yes","No")</f>
        <v>No</v>
      </c>
      <c r="Z265" s="2" cm="1">
        <f t="array" ref="Z265">_xlfn.IFS(Real_Sales[[#This Row],[Price_retail]]&lt;=15,1, Real_Sales[[#This Row],[Price_retail]]&lt;=30,2, Real_Sales[[#This Row],[Price_retail]]&lt;=50,3,Real_Sales[[#This Row],[Price_retail]]&gt;50,4)</f>
        <v>1</v>
      </c>
    </row>
    <row r="266" spans="1:26" x14ac:dyDescent="0.35">
      <c r="A266" s="2" t="s">
        <v>2237</v>
      </c>
      <c r="B266" s="2" t="s">
        <v>2238</v>
      </c>
      <c r="C266" s="2" t="s">
        <v>65</v>
      </c>
      <c r="D266" s="2" t="s">
        <v>909</v>
      </c>
      <c r="E266" s="2" t="s">
        <v>4</v>
      </c>
      <c r="F266" s="2" t="s">
        <v>17</v>
      </c>
      <c r="G266" s="2" t="s">
        <v>67</v>
      </c>
      <c r="H266" s="2" t="s">
        <v>110</v>
      </c>
      <c r="I266" s="2" t="s">
        <v>3390</v>
      </c>
      <c r="J266" s="3">
        <v>11.29</v>
      </c>
      <c r="K266" s="3">
        <v>6.65</v>
      </c>
      <c r="L266" s="2" t="s">
        <v>8</v>
      </c>
      <c r="M266" s="2" t="s">
        <v>9</v>
      </c>
      <c r="N266" s="3">
        <v>439</v>
      </c>
      <c r="O266" s="2" t="s">
        <v>10</v>
      </c>
      <c r="P266" s="2" t="s">
        <v>192</v>
      </c>
      <c r="Q266" s="3"/>
      <c r="R266" s="3"/>
      <c r="S266" s="2" t="s">
        <v>21</v>
      </c>
      <c r="T266" s="4">
        <v>44955</v>
      </c>
      <c r="U266" s="2" t="s">
        <v>2239</v>
      </c>
      <c r="V266" s="6">
        <f>(Real_Sales[[#This Row],[Price_retail]]-Real_Sales[[#This Row],[Price_current]])/Real_Sales[[#This Row],[Price_retail]]</f>
        <v>0.41098317094774128</v>
      </c>
      <c r="W266" s="3" t="str" cm="1">
        <f t="array" ref="W26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66" s="2" t="str">
        <f>IF(Real_Sales[[#This Row],[Price_retail]]&gt;$AC$3,"Premium","Average")</f>
        <v>Average</v>
      </c>
      <c r="Y266" s="2" t="str">
        <f>IF(ISNUMBER(SEARCH("Basic",Real_Sales[[#This Row],[Product_name]])),"Yes","No")</f>
        <v>No</v>
      </c>
      <c r="Z266" s="2" cm="1">
        <f t="array" ref="Z266">_xlfn.IFS(Real_Sales[[#This Row],[Price_retail]]&lt;=15,1, Real_Sales[[#This Row],[Price_retail]]&lt;=30,2, Real_Sales[[#This Row],[Price_retail]]&lt;=50,3,Real_Sales[[#This Row],[Price_retail]]&gt;50,4)</f>
        <v>1</v>
      </c>
    </row>
    <row r="267" spans="1:26" x14ac:dyDescent="0.35">
      <c r="A267" s="2" t="s">
        <v>2977</v>
      </c>
      <c r="B267" s="2" t="s">
        <v>2978</v>
      </c>
      <c r="C267" s="2" t="s">
        <v>541</v>
      </c>
      <c r="D267" s="2" t="s">
        <v>699</v>
      </c>
      <c r="E267" s="2" t="s">
        <v>4</v>
      </c>
      <c r="F267" s="2" t="s">
        <v>5</v>
      </c>
      <c r="G267" s="2" t="s">
        <v>6</v>
      </c>
      <c r="H267" s="2" t="s">
        <v>68</v>
      </c>
      <c r="I267" s="2" t="s">
        <v>3393</v>
      </c>
      <c r="J267" s="3">
        <v>11.3</v>
      </c>
      <c r="K267" s="3">
        <v>9.23</v>
      </c>
      <c r="L267" s="2" t="s">
        <v>8</v>
      </c>
      <c r="M267" s="2" t="s">
        <v>9</v>
      </c>
      <c r="N267" s="3">
        <v>164</v>
      </c>
      <c r="O267" s="2" t="s">
        <v>163</v>
      </c>
      <c r="P267" s="2" t="s">
        <v>92</v>
      </c>
      <c r="Q267" s="3"/>
      <c r="R267" s="3"/>
      <c r="S267" s="2" t="s">
        <v>21</v>
      </c>
      <c r="T267" s="4">
        <v>44955</v>
      </c>
      <c r="U267" s="2" t="s">
        <v>2979</v>
      </c>
      <c r="V267" s="6">
        <f>(Real_Sales[[#This Row],[Price_retail]]-Real_Sales[[#This Row],[Price_current]])/Real_Sales[[#This Row],[Price_retail]]</f>
        <v>0.18318584070796462</v>
      </c>
      <c r="W267" s="3" t="str" cm="1">
        <f t="array" ref="W267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267" s="2" t="str">
        <f>IF(Real_Sales[[#This Row],[Price_retail]]&gt;$AC$3,"Premium","Average")</f>
        <v>Average</v>
      </c>
      <c r="Y267" s="2" t="str">
        <f>IF(ISNUMBER(SEARCH("Basic",Real_Sales[[#This Row],[Product_name]])),"Yes","No")</f>
        <v>No</v>
      </c>
      <c r="Z267" s="2" cm="1">
        <f t="array" ref="Z267">_xlfn.IFS(Real_Sales[[#This Row],[Price_retail]]&lt;=15,1, Real_Sales[[#This Row],[Price_retail]]&lt;=30,2, Real_Sales[[#This Row],[Price_retail]]&lt;=50,3,Real_Sales[[#This Row],[Price_retail]]&gt;50,4)</f>
        <v>1</v>
      </c>
    </row>
    <row r="268" spans="1:26" x14ac:dyDescent="0.35">
      <c r="A268" s="2" t="s">
        <v>1381</v>
      </c>
      <c r="B268" s="2" t="s">
        <v>1382</v>
      </c>
      <c r="C268" s="2" t="s">
        <v>886</v>
      </c>
      <c r="D268" s="2" t="s">
        <v>971</v>
      </c>
      <c r="E268" s="2" t="s">
        <v>4</v>
      </c>
      <c r="F268" s="2" t="s">
        <v>5</v>
      </c>
      <c r="G268" s="2" t="s">
        <v>6</v>
      </c>
      <c r="H268" s="2" t="s">
        <v>134</v>
      </c>
      <c r="I268" s="2" t="s">
        <v>3393</v>
      </c>
      <c r="J268" s="3">
        <v>11.31</v>
      </c>
      <c r="K268" s="3">
        <v>8.75</v>
      </c>
      <c r="L268" s="2" t="s">
        <v>8</v>
      </c>
      <c r="M268" s="2" t="s">
        <v>9</v>
      </c>
      <c r="N268" s="3">
        <v>910</v>
      </c>
      <c r="O268" s="2" t="s">
        <v>3392</v>
      </c>
      <c r="P268" s="2" t="s">
        <v>30</v>
      </c>
      <c r="Q268" s="3"/>
      <c r="R268" s="3"/>
      <c r="S268" s="2" t="s">
        <v>21</v>
      </c>
      <c r="T268" s="4">
        <v>44955</v>
      </c>
      <c r="U268" s="2" t="s">
        <v>1383</v>
      </c>
      <c r="V268" s="6">
        <f>(Real_Sales[[#This Row],[Price_retail]]-Real_Sales[[#This Row],[Price_current]])/Real_Sales[[#This Row],[Price_retail]]</f>
        <v>0.22634836427939881</v>
      </c>
      <c r="W268" s="3" t="str" cm="1">
        <f t="array" ref="W26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68" s="2" t="str">
        <f>IF(Real_Sales[[#This Row],[Price_retail]]&gt;$AC$3,"Premium","Average")</f>
        <v>Average</v>
      </c>
      <c r="Y268" s="2" t="str">
        <f>IF(ISNUMBER(SEARCH("Basic",Real_Sales[[#This Row],[Product_name]])),"Yes","No")</f>
        <v>No</v>
      </c>
      <c r="Z268" s="2" cm="1">
        <f t="array" ref="Z268">_xlfn.IFS(Real_Sales[[#This Row],[Price_retail]]&lt;=15,1, Real_Sales[[#This Row],[Price_retail]]&lt;=30,2, Real_Sales[[#This Row],[Price_retail]]&lt;=50,3,Real_Sales[[#This Row],[Price_retail]]&gt;50,4)</f>
        <v>1</v>
      </c>
    </row>
    <row r="269" spans="1:26" x14ac:dyDescent="0.35">
      <c r="A269" s="2" t="s">
        <v>370</v>
      </c>
      <c r="B269" s="2" t="s">
        <v>371</v>
      </c>
      <c r="C269" s="2" t="s">
        <v>3404</v>
      </c>
      <c r="D269" s="2" t="s">
        <v>372</v>
      </c>
      <c r="E269" s="2" t="s">
        <v>4</v>
      </c>
      <c r="F269" s="2" t="s">
        <v>5</v>
      </c>
      <c r="G269" s="2" t="s">
        <v>6</v>
      </c>
      <c r="H269" s="2" t="s">
        <v>134</v>
      </c>
      <c r="I269" s="2" t="s">
        <v>3393</v>
      </c>
      <c r="J269" s="3">
        <v>11.32</v>
      </c>
      <c r="K269" s="3">
        <v>9.11</v>
      </c>
      <c r="L269" s="2" t="s">
        <v>8</v>
      </c>
      <c r="M269" s="2" t="s">
        <v>9</v>
      </c>
      <c r="N269" s="3">
        <v>15</v>
      </c>
      <c r="O269" s="2" t="s">
        <v>60</v>
      </c>
      <c r="P269" s="2" t="s">
        <v>53</v>
      </c>
      <c r="Q269" s="3"/>
      <c r="R269" s="3"/>
      <c r="S269" s="2" t="s">
        <v>12</v>
      </c>
      <c r="T269" s="4">
        <v>44955</v>
      </c>
      <c r="U269" s="2" t="s">
        <v>373</v>
      </c>
      <c r="V269" s="6">
        <f>(Real_Sales[[#This Row],[Price_retail]]-Real_Sales[[#This Row],[Price_current]])/Real_Sales[[#This Row],[Price_retail]]</f>
        <v>0.19522968197879867</v>
      </c>
      <c r="W269" s="3" t="str" cm="1">
        <f t="array" ref="W26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269" s="2" t="str">
        <f>IF(Real_Sales[[#This Row],[Price_retail]]&gt;$AC$3,"Premium","Average")</f>
        <v>Average</v>
      </c>
      <c r="Y269" s="2" t="str">
        <f>IF(ISNUMBER(SEARCH("Basic",Real_Sales[[#This Row],[Product_name]])),"Yes","No")</f>
        <v>No</v>
      </c>
      <c r="Z269" s="2" cm="1">
        <f t="array" ref="Z269">_xlfn.IFS(Real_Sales[[#This Row],[Price_retail]]&lt;=15,1, Real_Sales[[#This Row],[Price_retail]]&lt;=30,2, Real_Sales[[#This Row],[Price_retail]]&lt;=50,3,Real_Sales[[#This Row],[Price_retail]]&gt;50,4)</f>
        <v>1</v>
      </c>
    </row>
    <row r="270" spans="1:26" x14ac:dyDescent="0.35">
      <c r="A270" s="2" t="s">
        <v>2835</v>
      </c>
      <c r="B270" s="2" t="s">
        <v>2836</v>
      </c>
      <c r="C270" s="2" t="s">
        <v>242</v>
      </c>
      <c r="D270" s="2" t="s">
        <v>413</v>
      </c>
      <c r="E270" s="2" t="s">
        <v>4</v>
      </c>
      <c r="F270" s="2" t="s">
        <v>17</v>
      </c>
      <c r="G270" s="2" t="s">
        <v>50</v>
      </c>
      <c r="H270" s="2" t="s">
        <v>19</v>
      </c>
      <c r="I270" s="2" t="s">
        <v>3393</v>
      </c>
      <c r="J270" s="3">
        <v>11.35</v>
      </c>
      <c r="K270" s="3">
        <v>11.35</v>
      </c>
      <c r="L270" s="2" t="s">
        <v>3391</v>
      </c>
      <c r="M270" s="2" t="s">
        <v>9</v>
      </c>
      <c r="N270" s="3">
        <v>537</v>
      </c>
      <c r="O270" s="2" t="s">
        <v>20</v>
      </c>
      <c r="P270" s="2" t="s">
        <v>553</v>
      </c>
      <c r="Q270" s="3"/>
      <c r="R270" s="3"/>
      <c r="S270" s="2" t="s">
        <v>21</v>
      </c>
      <c r="T270" s="4">
        <v>44955</v>
      </c>
      <c r="U270" s="2" t="s">
        <v>2837</v>
      </c>
      <c r="V270" s="6">
        <f>(Real_Sales[[#This Row],[Price_retail]]-Real_Sales[[#This Row],[Price_current]])/Real_Sales[[#This Row],[Price_retail]]</f>
        <v>0</v>
      </c>
      <c r="W270" s="3" t="str" cm="1">
        <f t="array" ref="W27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70" s="2" t="str">
        <f>IF(Real_Sales[[#This Row],[Price_retail]]&gt;$AC$3,"Premium","Average")</f>
        <v>Average</v>
      </c>
      <c r="Y270" s="2" t="str">
        <f>IF(ISNUMBER(SEARCH("Basic",Real_Sales[[#This Row],[Product_name]])),"Yes","No")</f>
        <v>No</v>
      </c>
      <c r="Z270" s="2" cm="1">
        <f t="array" ref="Z270">_xlfn.IFS(Real_Sales[[#This Row],[Price_retail]]&lt;=15,1, Real_Sales[[#This Row],[Price_retail]]&lt;=30,2, Real_Sales[[#This Row],[Price_retail]]&lt;=50,3,Real_Sales[[#This Row],[Price_retail]]&gt;50,4)</f>
        <v>1</v>
      </c>
    </row>
    <row r="271" spans="1:26" x14ac:dyDescent="0.35">
      <c r="A271" s="2" t="s">
        <v>1750</v>
      </c>
      <c r="B271" s="2" t="s">
        <v>1751</v>
      </c>
      <c r="C271" s="2" t="s">
        <v>119</v>
      </c>
      <c r="D271" s="2" t="s">
        <v>42</v>
      </c>
      <c r="E271" s="2" t="s">
        <v>4</v>
      </c>
      <c r="F271" s="2" t="s">
        <v>5</v>
      </c>
      <c r="G271" s="2" t="s">
        <v>82</v>
      </c>
      <c r="H271" s="2" t="s">
        <v>19</v>
      </c>
      <c r="I271" s="2" t="s">
        <v>3395</v>
      </c>
      <c r="J271" s="3">
        <v>11.36</v>
      </c>
      <c r="K271" s="3">
        <v>11.36</v>
      </c>
      <c r="L271" s="2" t="s">
        <v>3391</v>
      </c>
      <c r="M271" s="2" t="s">
        <v>9</v>
      </c>
      <c r="N271" s="3">
        <v>599</v>
      </c>
      <c r="O271" s="2" t="s">
        <v>191</v>
      </c>
      <c r="P271" s="2" t="s">
        <v>44</v>
      </c>
      <c r="Q271" s="3"/>
      <c r="R271" s="3"/>
      <c r="S271" s="2" t="s">
        <v>21</v>
      </c>
      <c r="T271" s="4">
        <v>44955</v>
      </c>
      <c r="U271" s="2" t="s">
        <v>1752</v>
      </c>
      <c r="V271" s="6">
        <f>(Real_Sales[[#This Row],[Price_retail]]-Real_Sales[[#This Row],[Price_current]])/Real_Sales[[#This Row],[Price_retail]]</f>
        <v>0</v>
      </c>
      <c r="W271" s="3" t="str" cm="1">
        <f t="array" ref="W2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71" s="2" t="str">
        <f>IF(Real_Sales[[#This Row],[Price_retail]]&gt;$AC$3,"Premium","Average")</f>
        <v>Average</v>
      </c>
      <c r="Y271" s="2" t="str">
        <f>IF(ISNUMBER(SEARCH("Basic",Real_Sales[[#This Row],[Product_name]])),"Yes","No")</f>
        <v>No</v>
      </c>
      <c r="Z271" s="2" cm="1">
        <f t="array" ref="Z271">_xlfn.IFS(Real_Sales[[#This Row],[Price_retail]]&lt;=15,1, Real_Sales[[#This Row],[Price_retail]]&lt;=30,2, Real_Sales[[#This Row],[Price_retail]]&lt;=50,3,Real_Sales[[#This Row],[Price_retail]]&gt;50,4)</f>
        <v>1</v>
      </c>
    </row>
    <row r="272" spans="1:26" x14ac:dyDescent="0.35">
      <c r="A272" s="2" t="s">
        <v>3332</v>
      </c>
      <c r="B272" s="2" t="s">
        <v>3333</v>
      </c>
      <c r="C272" s="2" t="s">
        <v>3394</v>
      </c>
      <c r="D272" s="2" t="s">
        <v>1161</v>
      </c>
      <c r="E272" s="2" t="s">
        <v>4</v>
      </c>
      <c r="F272" s="2" t="s">
        <v>17</v>
      </c>
      <c r="G272" s="2" t="s">
        <v>27</v>
      </c>
      <c r="H272" s="2" t="s">
        <v>28</v>
      </c>
      <c r="I272" s="2" t="s">
        <v>3395</v>
      </c>
      <c r="J272" s="3">
        <v>11.37</v>
      </c>
      <c r="K272" s="3">
        <v>8.36</v>
      </c>
      <c r="L272" s="2" t="s">
        <v>8</v>
      </c>
      <c r="M272" s="2" t="s">
        <v>9</v>
      </c>
      <c r="N272" s="3">
        <v>322</v>
      </c>
      <c r="O272" s="2" t="s">
        <v>75</v>
      </c>
      <c r="P272" s="2" t="s">
        <v>37</v>
      </c>
      <c r="Q272" s="3"/>
      <c r="R272" s="3"/>
      <c r="S272" s="2" t="s">
        <v>12</v>
      </c>
      <c r="T272" s="4">
        <v>44955</v>
      </c>
      <c r="U272" s="2" t="s">
        <v>3334</v>
      </c>
      <c r="V272" s="6">
        <f>(Real_Sales[[#This Row],[Price_retail]]-Real_Sales[[#This Row],[Price_current]])/Real_Sales[[#This Row],[Price_retail]]</f>
        <v>0.26473175021987688</v>
      </c>
      <c r="W272" s="3" t="str" cm="1">
        <f t="array" ref="W27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72" s="2" t="str">
        <f>IF(Real_Sales[[#This Row],[Price_retail]]&gt;$AC$3,"Premium","Average")</f>
        <v>Average</v>
      </c>
      <c r="Y272" s="2" t="str">
        <f>IF(ISNUMBER(SEARCH("Basic",Real_Sales[[#This Row],[Product_name]])),"Yes","No")</f>
        <v>Yes</v>
      </c>
      <c r="Z272" s="2" cm="1">
        <f t="array" ref="Z272">_xlfn.IFS(Real_Sales[[#This Row],[Price_retail]]&lt;=15,1, Real_Sales[[#This Row],[Price_retail]]&lt;=30,2, Real_Sales[[#This Row],[Price_retail]]&lt;=50,3,Real_Sales[[#This Row],[Price_retail]]&gt;50,4)</f>
        <v>1</v>
      </c>
    </row>
    <row r="273" spans="1:26" x14ac:dyDescent="0.35">
      <c r="A273" s="2" t="s">
        <v>2783</v>
      </c>
      <c r="B273" s="2" t="s">
        <v>2784</v>
      </c>
      <c r="C273" s="2" t="s">
        <v>3412</v>
      </c>
      <c r="D273" s="2" t="s">
        <v>1598</v>
      </c>
      <c r="E273" s="2" t="s">
        <v>4</v>
      </c>
      <c r="F273" s="2" t="s">
        <v>5</v>
      </c>
      <c r="G273" s="2" t="s">
        <v>82</v>
      </c>
      <c r="H273" s="2" t="s">
        <v>418</v>
      </c>
      <c r="I273" s="2" t="s">
        <v>3395</v>
      </c>
      <c r="J273" s="3">
        <v>11.38</v>
      </c>
      <c r="K273" s="3">
        <v>7.49</v>
      </c>
      <c r="L273" s="2" t="s">
        <v>8</v>
      </c>
      <c r="M273" s="2" t="s">
        <v>9</v>
      </c>
      <c r="N273" s="3">
        <v>960</v>
      </c>
      <c r="O273" s="2" t="s">
        <v>267</v>
      </c>
      <c r="P273" s="2" t="s">
        <v>76</v>
      </c>
      <c r="Q273" s="3"/>
      <c r="R273" s="3"/>
      <c r="S273" s="2" t="s">
        <v>21</v>
      </c>
      <c r="T273" s="4">
        <v>44955</v>
      </c>
      <c r="U273" s="2" t="s">
        <v>2785</v>
      </c>
      <c r="V273" s="6">
        <f>(Real_Sales[[#This Row],[Price_retail]]-Real_Sales[[#This Row],[Price_current]])/Real_Sales[[#This Row],[Price_retail]]</f>
        <v>0.34182776801405979</v>
      </c>
      <c r="W273" s="3" t="str" cm="1">
        <f t="array" ref="W27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73" s="2" t="str">
        <f>IF(Real_Sales[[#This Row],[Price_retail]]&gt;$AC$3,"Premium","Average")</f>
        <v>Average</v>
      </c>
      <c r="Y273" s="2" t="str">
        <f>IF(ISNUMBER(SEARCH("Basic",Real_Sales[[#This Row],[Product_name]])),"Yes","No")</f>
        <v>No</v>
      </c>
      <c r="Z273" s="2" cm="1">
        <f t="array" ref="Z273">_xlfn.IFS(Real_Sales[[#This Row],[Price_retail]]&lt;=15,1, Real_Sales[[#This Row],[Price_retail]]&lt;=30,2, Real_Sales[[#This Row],[Price_retail]]&lt;=50,3,Real_Sales[[#This Row],[Price_retail]]&gt;50,4)</f>
        <v>1</v>
      </c>
    </row>
    <row r="274" spans="1:26" x14ac:dyDescent="0.35">
      <c r="A274" s="2" t="s">
        <v>927</v>
      </c>
      <c r="B274" s="2" t="s">
        <v>928</v>
      </c>
      <c r="C274" s="2" t="s">
        <v>3433</v>
      </c>
      <c r="D274" s="2" t="s">
        <v>929</v>
      </c>
      <c r="E274" s="2" t="s">
        <v>4</v>
      </c>
      <c r="F274" s="2" t="s">
        <v>5</v>
      </c>
      <c r="G274" s="2" t="s">
        <v>121</v>
      </c>
      <c r="H274" s="2" t="s">
        <v>51</v>
      </c>
      <c r="I274" s="2" t="s">
        <v>3390</v>
      </c>
      <c r="J274" s="3">
        <v>11.45</v>
      </c>
      <c r="K274" s="3">
        <v>5.85</v>
      </c>
      <c r="L274" s="2" t="s">
        <v>8</v>
      </c>
      <c r="M274" s="2" t="s">
        <v>9</v>
      </c>
      <c r="N274" s="3">
        <v>80</v>
      </c>
      <c r="O274" s="2" t="s">
        <v>302</v>
      </c>
      <c r="P274" s="2" t="s">
        <v>53</v>
      </c>
      <c r="Q274" s="3"/>
      <c r="R274" s="3"/>
      <c r="S274" s="2" t="s">
        <v>21</v>
      </c>
      <c r="T274" s="4">
        <v>44955</v>
      </c>
      <c r="U274" s="2" t="s">
        <v>930</v>
      </c>
      <c r="V274" s="6">
        <f>(Real_Sales[[#This Row],[Price_retail]]-Real_Sales[[#This Row],[Price_current]])/Real_Sales[[#This Row],[Price_retail]]</f>
        <v>0.48908296943231439</v>
      </c>
      <c r="W274" s="3" t="str" cm="1">
        <f t="array" ref="W27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74" s="2" t="str">
        <f>IF(Real_Sales[[#This Row],[Price_retail]]&gt;$AC$3,"Premium","Average")</f>
        <v>Average</v>
      </c>
      <c r="Y274" s="2" t="str">
        <f>IF(ISNUMBER(SEARCH("Basic",Real_Sales[[#This Row],[Product_name]])),"Yes","No")</f>
        <v>No</v>
      </c>
      <c r="Z274" s="2" cm="1">
        <f t="array" ref="Z274">_xlfn.IFS(Real_Sales[[#This Row],[Price_retail]]&lt;=15,1, Real_Sales[[#This Row],[Price_retail]]&lt;=30,2, Real_Sales[[#This Row],[Price_retail]]&lt;=50,3,Real_Sales[[#This Row],[Price_retail]]&gt;50,4)</f>
        <v>1</v>
      </c>
    </row>
    <row r="275" spans="1:26" x14ac:dyDescent="0.35">
      <c r="A275" s="2" t="s">
        <v>3230</v>
      </c>
      <c r="B275" s="2" t="s">
        <v>3231</v>
      </c>
      <c r="C275" s="2" t="s">
        <v>412</v>
      </c>
      <c r="D275" s="2" t="s">
        <v>1015</v>
      </c>
      <c r="E275" s="2" t="s">
        <v>4</v>
      </c>
      <c r="F275" s="2" t="s">
        <v>5</v>
      </c>
      <c r="G275" s="2" t="s">
        <v>121</v>
      </c>
      <c r="H275" s="2" t="s">
        <v>7</v>
      </c>
      <c r="I275" s="2" t="s">
        <v>3390</v>
      </c>
      <c r="J275" s="3">
        <v>11.45</v>
      </c>
      <c r="K275" s="3">
        <v>6.13</v>
      </c>
      <c r="L275" s="2" t="s">
        <v>8</v>
      </c>
      <c r="M275" s="2" t="s">
        <v>9</v>
      </c>
      <c r="N275" s="3">
        <v>611</v>
      </c>
      <c r="O275" s="2" t="s">
        <v>287</v>
      </c>
      <c r="P275" s="2" t="s">
        <v>122</v>
      </c>
      <c r="Q275" s="3"/>
      <c r="R275" s="3"/>
      <c r="S275" s="2" t="s">
        <v>21</v>
      </c>
      <c r="T275" s="4">
        <v>44955</v>
      </c>
      <c r="U275" s="2" t="s">
        <v>3232</v>
      </c>
      <c r="V275" s="6">
        <f>(Real_Sales[[#This Row],[Price_retail]]-Real_Sales[[#This Row],[Price_current]])/Real_Sales[[#This Row],[Price_retail]]</f>
        <v>0.46462882096069869</v>
      </c>
      <c r="W275" s="3" t="str" cm="1">
        <f t="array" ref="W27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75" s="2" t="str">
        <f>IF(Real_Sales[[#This Row],[Price_retail]]&gt;$AC$3,"Premium","Average")</f>
        <v>Average</v>
      </c>
      <c r="Y275" s="2" t="str">
        <f>IF(ISNUMBER(SEARCH("Basic",Real_Sales[[#This Row],[Product_name]])),"Yes","No")</f>
        <v>Yes</v>
      </c>
      <c r="Z275" s="2" cm="1">
        <f t="array" ref="Z275">_xlfn.IFS(Real_Sales[[#This Row],[Price_retail]]&lt;=15,1, Real_Sales[[#This Row],[Price_retail]]&lt;=30,2, Real_Sales[[#This Row],[Price_retail]]&lt;=50,3,Real_Sales[[#This Row],[Price_retail]]&gt;50,4)</f>
        <v>1</v>
      </c>
    </row>
    <row r="276" spans="1:26" x14ac:dyDescent="0.35">
      <c r="A276" s="2" t="s">
        <v>1828</v>
      </c>
      <c r="B276" s="2" t="s">
        <v>1829</v>
      </c>
      <c r="C276" s="2" t="s">
        <v>995</v>
      </c>
      <c r="D276" s="2" t="s">
        <v>109</v>
      </c>
      <c r="E276" s="2" t="s">
        <v>4</v>
      </c>
      <c r="F276" s="2" t="s">
        <v>5</v>
      </c>
      <c r="G276" s="2" t="s">
        <v>82</v>
      </c>
      <c r="H276" s="2" t="s">
        <v>110</v>
      </c>
      <c r="I276" s="2" t="s">
        <v>3393</v>
      </c>
      <c r="J276" s="3">
        <v>11.45</v>
      </c>
      <c r="K276" s="3">
        <v>7.45</v>
      </c>
      <c r="L276" s="2" t="s">
        <v>8</v>
      </c>
      <c r="M276" s="2" t="s">
        <v>9</v>
      </c>
      <c r="N276" s="3">
        <v>965</v>
      </c>
      <c r="O276" s="2" t="s">
        <v>98</v>
      </c>
      <c r="P276" s="2" t="s">
        <v>186</v>
      </c>
      <c r="Q276" s="3"/>
      <c r="R276" s="3"/>
      <c r="S276" s="2" t="s">
        <v>21</v>
      </c>
      <c r="T276" s="4">
        <v>44955</v>
      </c>
      <c r="U276" s="2" t="s">
        <v>1830</v>
      </c>
      <c r="V276" s="6">
        <f>(Real_Sales[[#This Row],[Price_retail]]-Real_Sales[[#This Row],[Price_current]])/Real_Sales[[#This Row],[Price_retail]]</f>
        <v>0.34934497816593879</v>
      </c>
      <c r="W276" s="3" t="str" cm="1">
        <f t="array" ref="W27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76" s="2" t="str">
        <f>IF(Real_Sales[[#This Row],[Price_retail]]&gt;$AC$3,"Premium","Average")</f>
        <v>Average</v>
      </c>
      <c r="Y276" s="2" t="str">
        <f>IF(ISNUMBER(SEARCH("Basic",Real_Sales[[#This Row],[Product_name]])),"Yes","No")</f>
        <v>Yes</v>
      </c>
      <c r="Z276" s="2" cm="1">
        <f t="array" ref="Z276">_xlfn.IFS(Real_Sales[[#This Row],[Price_retail]]&lt;=15,1, Real_Sales[[#This Row],[Price_retail]]&lt;=30,2, Real_Sales[[#This Row],[Price_retail]]&lt;=50,3,Real_Sales[[#This Row],[Price_retail]]&gt;50,4)</f>
        <v>1</v>
      </c>
    </row>
    <row r="277" spans="1:26" x14ac:dyDescent="0.35">
      <c r="A277" s="2" t="s">
        <v>1756</v>
      </c>
      <c r="B277" s="2" t="s">
        <v>1757</v>
      </c>
      <c r="C277" s="2" t="s">
        <v>484</v>
      </c>
      <c r="D277" s="2" t="s">
        <v>450</v>
      </c>
      <c r="E277" s="2" t="s">
        <v>4</v>
      </c>
      <c r="F277" s="2" t="s">
        <v>5</v>
      </c>
      <c r="G277" s="2" t="s">
        <v>82</v>
      </c>
      <c r="H277" s="2" t="s">
        <v>59</v>
      </c>
      <c r="I277" s="2" t="s">
        <v>3393</v>
      </c>
      <c r="J277" s="3">
        <v>11.45</v>
      </c>
      <c r="K277" s="3">
        <v>11.45</v>
      </c>
      <c r="L277" s="2" t="s">
        <v>3391</v>
      </c>
      <c r="M277" s="2" t="s">
        <v>9</v>
      </c>
      <c r="N277" s="3">
        <v>950</v>
      </c>
      <c r="O277" s="2" t="s">
        <v>191</v>
      </c>
      <c r="P277" s="2" t="s">
        <v>30</v>
      </c>
      <c r="Q277" s="3"/>
      <c r="R277" s="3"/>
      <c r="S277" s="2" t="s">
        <v>21</v>
      </c>
      <c r="T277" s="4">
        <v>44955</v>
      </c>
      <c r="U277" s="2" t="s">
        <v>1758</v>
      </c>
      <c r="V277" s="6">
        <f>(Real_Sales[[#This Row],[Price_retail]]-Real_Sales[[#This Row],[Price_current]])/Real_Sales[[#This Row],[Price_retail]]</f>
        <v>0</v>
      </c>
      <c r="W277" s="3" t="str" cm="1">
        <f t="array" ref="W2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77" s="2" t="str">
        <f>IF(Real_Sales[[#This Row],[Price_retail]]&gt;$AC$3,"Premium","Average")</f>
        <v>Average</v>
      </c>
      <c r="Y277" s="2" t="str">
        <f>IF(ISNUMBER(SEARCH("Basic",Real_Sales[[#This Row],[Product_name]])),"Yes","No")</f>
        <v>No</v>
      </c>
      <c r="Z277" s="2" cm="1">
        <f t="array" ref="Z277">_xlfn.IFS(Real_Sales[[#This Row],[Price_retail]]&lt;=15,1, Real_Sales[[#This Row],[Price_retail]]&lt;=30,2, Real_Sales[[#This Row],[Price_retail]]&lt;=50,3,Real_Sales[[#This Row],[Price_retail]]&gt;50,4)</f>
        <v>1</v>
      </c>
    </row>
    <row r="278" spans="1:26" x14ac:dyDescent="0.35">
      <c r="A278" s="2" t="s">
        <v>2280</v>
      </c>
      <c r="B278" s="2" t="s">
        <v>2281</v>
      </c>
      <c r="C278" s="2" t="s">
        <v>65</v>
      </c>
      <c r="D278" s="2" t="s">
        <v>346</v>
      </c>
      <c r="E278" s="2" t="s">
        <v>4</v>
      </c>
      <c r="F278" s="2" t="s">
        <v>5</v>
      </c>
      <c r="G278" s="2" t="s">
        <v>6</v>
      </c>
      <c r="H278" s="2" t="s">
        <v>110</v>
      </c>
      <c r="I278" s="2" t="s">
        <v>3393</v>
      </c>
      <c r="J278" s="3">
        <v>11.45</v>
      </c>
      <c r="K278" s="3">
        <v>11.45</v>
      </c>
      <c r="L278" s="2" t="s">
        <v>3391</v>
      </c>
      <c r="M278" s="2" t="s">
        <v>9</v>
      </c>
      <c r="N278" s="3">
        <v>743</v>
      </c>
      <c r="O278" s="2" t="s">
        <v>29</v>
      </c>
      <c r="P278" s="2" t="s">
        <v>128</v>
      </c>
      <c r="Q278" s="3"/>
      <c r="R278" s="3"/>
      <c r="S278" s="2" t="s">
        <v>12</v>
      </c>
      <c r="T278" s="4">
        <v>44955</v>
      </c>
      <c r="U278" s="2" t="s">
        <v>2282</v>
      </c>
      <c r="V278" s="6">
        <f>(Real_Sales[[#This Row],[Price_retail]]-Real_Sales[[#This Row],[Price_current]])/Real_Sales[[#This Row],[Price_retail]]</f>
        <v>0</v>
      </c>
      <c r="W278" s="3" t="str" cm="1">
        <f t="array" ref="W2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78" s="2" t="str">
        <f>IF(Real_Sales[[#This Row],[Price_retail]]&gt;$AC$3,"Premium","Average")</f>
        <v>Average</v>
      </c>
      <c r="Y278" s="2" t="str">
        <f>IF(ISNUMBER(SEARCH("Basic",Real_Sales[[#This Row],[Product_name]])),"Yes","No")</f>
        <v>No</v>
      </c>
      <c r="Z278" s="2" cm="1">
        <f t="array" ref="Z278">_xlfn.IFS(Real_Sales[[#This Row],[Price_retail]]&lt;=15,1, Real_Sales[[#This Row],[Price_retail]]&lt;=30,2, Real_Sales[[#This Row],[Price_retail]]&lt;=50,3,Real_Sales[[#This Row],[Price_retail]]&gt;50,4)</f>
        <v>1</v>
      </c>
    </row>
    <row r="279" spans="1:26" x14ac:dyDescent="0.35">
      <c r="A279" s="2" t="s">
        <v>1189</v>
      </c>
      <c r="B279" s="2" t="s">
        <v>1190</v>
      </c>
      <c r="C279" s="2" t="s">
        <v>65</v>
      </c>
      <c r="D279" s="2" t="s">
        <v>742</v>
      </c>
      <c r="E279" s="2" t="s">
        <v>4</v>
      </c>
      <c r="F279" s="2" t="s">
        <v>5</v>
      </c>
      <c r="G279" s="2" t="s">
        <v>82</v>
      </c>
      <c r="H279" s="2" t="s">
        <v>168</v>
      </c>
      <c r="I279" s="2" t="s">
        <v>3390</v>
      </c>
      <c r="J279" s="3">
        <v>11.48</v>
      </c>
      <c r="K279" s="3">
        <v>11.48</v>
      </c>
      <c r="L279" s="2" t="s">
        <v>3391</v>
      </c>
      <c r="M279" s="2" t="s">
        <v>9</v>
      </c>
      <c r="N279" s="3">
        <v>975</v>
      </c>
      <c r="O279" s="2" t="s">
        <v>20</v>
      </c>
      <c r="P279" s="2" t="s">
        <v>3392</v>
      </c>
      <c r="Q279" s="3"/>
      <c r="R279" s="3"/>
      <c r="S279" s="2" t="s">
        <v>21</v>
      </c>
      <c r="T279" s="4">
        <v>44955</v>
      </c>
      <c r="U279" s="2" t="s">
        <v>1191</v>
      </c>
      <c r="V279" s="6">
        <f>(Real_Sales[[#This Row],[Price_retail]]-Real_Sales[[#This Row],[Price_current]])/Real_Sales[[#This Row],[Price_retail]]</f>
        <v>0</v>
      </c>
      <c r="W279" s="3" t="str" cm="1">
        <f t="array" ref="W2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79" s="2" t="str">
        <f>IF(Real_Sales[[#This Row],[Price_retail]]&gt;$AC$3,"Premium","Average")</f>
        <v>Average</v>
      </c>
      <c r="Y279" s="2" t="str">
        <f>IF(ISNUMBER(SEARCH("Basic",Real_Sales[[#This Row],[Product_name]])),"Yes","No")</f>
        <v>Yes</v>
      </c>
      <c r="Z279" s="2" cm="1">
        <f t="array" ref="Z279">_xlfn.IFS(Real_Sales[[#This Row],[Price_retail]]&lt;=15,1, Real_Sales[[#This Row],[Price_retail]]&lt;=30,2, Real_Sales[[#This Row],[Price_retail]]&lt;=50,3,Real_Sales[[#This Row],[Price_retail]]&gt;50,4)</f>
        <v>1</v>
      </c>
    </row>
    <row r="280" spans="1:26" x14ac:dyDescent="0.35">
      <c r="A280" s="2" t="s">
        <v>86</v>
      </c>
      <c r="B280" s="2" t="s">
        <v>87</v>
      </c>
      <c r="C280" s="2" t="s">
        <v>88</v>
      </c>
      <c r="D280" s="2" t="s">
        <v>89</v>
      </c>
      <c r="E280" s="2" t="s">
        <v>4</v>
      </c>
      <c r="F280" s="2" t="s">
        <v>5</v>
      </c>
      <c r="G280" s="2" t="s">
        <v>6</v>
      </c>
      <c r="H280" s="2" t="s">
        <v>90</v>
      </c>
      <c r="I280" s="2" t="s">
        <v>3393</v>
      </c>
      <c r="J280" s="3">
        <v>11.49</v>
      </c>
      <c r="K280" s="3">
        <v>8.2200000000000006</v>
      </c>
      <c r="L280" s="2" t="s">
        <v>8</v>
      </c>
      <c r="M280" s="2" t="s">
        <v>9</v>
      </c>
      <c r="N280" s="3">
        <v>442</v>
      </c>
      <c r="O280" s="2" t="s">
        <v>91</v>
      </c>
      <c r="P280" s="2" t="s">
        <v>92</v>
      </c>
      <c r="Q280" s="3"/>
      <c r="R280" s="3"/>
      <c r="S280" s="2" t="s">
        <v>12</v>
      </c>
      <c r="T280" s="4">
        <v>44955</v>
      </c>
      <c r="U280" s="2" t="s">
        <v>93</v>
      </c>
      <c r="V280" s="6">
        <f>(Real_Sales[[#This Row],[Price_retail]]-Real_Sales[[#This Row],[Price_current]])/Real_Sales[[#This Row],[Price_retail]]</f>
        <v>0.28459530026109658</v>
      </c>
      <c r="W280" s="3" t="str" cm="1">
        <f t="array" ref="W28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80" s="2" t="str">
        <f>IF(Real_Sales[[#This Row],[Price_retail]]&gt;$AC$3,"Premium","Average")</f>
        <v>Average</v>
      </c>
      <c r="Y280" s="2" t="str">
        <f>IF(ISNUMBER(SEARCH("Basic",Real_Sales[[#This Row],[Product_name]])),"Yes","No")</f>
        <v>No</v>
      </c>
      <c r="Z280" s="2" cm="1">
        <f t="array" ref="Z280">_xlfn.IFS(Real_Sales[[#This Row],[Price_retail]]&lt;=15,1, Real_Sales[[#This Row],[Price_retail]]&lt;=30,2, Real_Sales[[#This Row],[Price_retail]]&lt;=50,3,Real_Sales[[#This Row],[Price_retail]]&gt;50,4)</f>
        <v>1</v>
      </c>
    </row>
    <row r="281" spans="1:26" x14ac:dyDescent="0.35">
      <c r="A281" s="2" t="s">
        <v>492</v>
      </c>
      <c r="B281" s="2" t="s">
        <v>493</v>
      </c>
      <c r="C281" s="2" t="s">
        <v>721</v>
      </c>
      <c r="D281" s="2" t="s">
        <v>494</v>
      </c>
      <c r="E281" s="2" t="s">
        <v>4</v>
      </c>
      <c r="F281" s="2" t="s">
        <v>17</v>
      </c>
      <c r="G281" s="2" t="s">
        <v>18</v>
      </c>
      <c r="H281" s="2" t="s">
        <v>83</v>
      </c>
      <c r="I281" s="2" t="s">
        <v>3390</v>
      </c>
      <c r="J281" s="3">
        <v>11.53</v>
      </c>
      <c r="K281" s="3">
        <v>11.53</v>
      </c>
      <c r="L281" s="2" t="s">
        <v>3391</v>
      </c>
      <c r="M281" s="2" t="s">
        <v>9</v>
      </c>
      <c r="N281" s="3">
        <v>676</v>
      </c>
      <c r="O281" s="2" t="s">
        <v>104</v>
      </c>
      <c r="P281" s="2" t="s">
        <v>192</v>
      </c>
      <c r="Q281" s="3"/>
      <c r="R281" s="3"/>
      <c r="S281" s="2" t="s">
        <v>21</v>
      </c>
      <c r="T281" s="4">
        <v>44955</v>
      </c>
      <c r="U281" s="2" t="s">
        <v>495</v>
      </c>
      <c r="V281" s="6">
        <f>(Real_Sales[[#This Row],[Price_retail]]-Real_Sales[[#This Row],[Price_current]])/Real_Sales[[#This Row],[Price_retail]]</f>
        <v>0</v>
      </c>
      <c r="W281" s="3" t="str" cm="1">
        <f t="array" ref="W28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81" s="2" t="str">
        <f>IF(Real_Sales[[#This Row],[Price_retail]]&gt;$AC$3,"Premium","Average")</f>
        <v>Average</v>
      </c>
      <c r="Y281" s="2" t="str">
        <f>IF(ISNUMBER(SEARCH("Basic",Real_Sales[[#This Row],[Product_name]])),"Yes","No")</f>
        <v>Yes</v>
      </c>
      <c r="Z281" s="2" cm="1">
        <f t="array" ref="Z281">_xlfn.IFS(Real_Sales[[#This Row],[Price_retail]]&lt;=15,1, Real_Sales[[#This Row],[Price_retail]]&lt;=30,2, Real_Sales[[#This Row],[Price_retail]]&lt;=50,3,Real_Sales[[#This Row],[Price_retail]]&gt;50,4)</f>
        <v>1</v>
      </c>
    </row>
    <row r="282" spans="1:26" x14ac:dyDescent="0.35">
      <c r="A282" s="2" t="s">
        <v>1361</v>
      </c>
      <c r="B282" s="2" t="s">
        <v>1362</v>
      </c>
      <c r="C282" s="2" t="s">
        <v>88</v>
      </c>
      <c r="D282" s="2" t="s">
        <v>600</v>
      </c>
      <c r="E282" s="2" t="s">
        <v>4</v>
      </c>
      <c r="F282" s="2" t="s">
        <v>17</v>
      </c>
      <c r="G282" s="2" t="s">
        <v>27</v>
      </c>
      <c r="H282" s="2" t="s">
        <v>134</v>
      </c>
      <c r="I282" s="2" t="s">
        <v>3395</v>
      </c>
      <c r="J282" s="3">
        <v>11.54</v>
      </c>
      <c r="K282" s="3">
        <v>11.54</v>
      </c>
      <c r="L282" s="2" t="s">
        <v>3391</v>
      </c>
      <c r="M282" s="2" t="s">
        <v>9</v>
      </c>
      <c r="N282" s="3">
        <v>305</v>
      </c>
      <c r="O282" s="2" t="s">
        <v>75</v>
      </c>
      <c r="P282" s="2" t="s">
        <v>92</v>
      </c>
      <c r="Q282" s="3"/>
      <c r="R282" s="3"/>
      <c r="S282" s="2" t="s">
        <v>12</v>
      </c>
      <c r="T282" s="4">
        <v>44955</v>
      </c>
      <c r="U282" s="2" t="s">
        <v>1363</v>
      </c>
      <c r="V282" s="6">
        <f>(Real_Sales[[#This Row],[Price_retail]]-Real_Sales[[#This Row],[Price_current]])/Real_Sales[[#This Row],[Price_retail]]</f>
        <v>0</v>
      </c>
      <c r="W282" s="3" t="str" cm="1">
        <f t="array" ref="W2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82" s="2" t="str">
        <f>IF(Real_Sales[[#This Row],[Price_retail]]&gt;$AC$3,"Premium","Average")</f>
        <v>Average</v>
      </c>
      <c r="Y282" s="2" t="str">
        <f>IF(ISNUMBER(SEARCH("Basic",Real_Sales[[#This Row],[Product_name]])),"Yes","No")</f>
        <v>No</v>
      </c>
      <c r="Z282" s="2" cm="1">
        <f t="array" ref="Z282">_xlfn.IFS(Real_Sales[[#This Row],[Price_retail]]&lt;=15,1, Real_Sales[[#This Row],[Price_retail]]&lt;=30,2, Real_Sales[[#This Row],[Price_retail]]&lt;=50,3,Real_Sales[[#This Row],[Price_retail]]&gt;50,4)</f>
        <v>1</v>
      </c>
    </row>
    <row r="283" spans="1:26" x14ac:dyDescent="0.35">
      <c r="A283" s="2" t="s">
        <v>2059</v>
      </c>
      <c r="B283" s="2" t="s">
        <v>2060</v>
      </c>
      <c r="C283" s="2" t="s">
        <v>585</v>
      </c>
      <c r="D283" s="2" t="s">
        <v>526</v>
      </c>
      <c r="E283" s="2" t="s">
        <v>4</v>
      </c>
      <c r="F283" s="2" t="s">
        <v>5</v>
      </c>
      <c r="G283" s="2" t="s">
        <v>82</v>
      </c>
      <c r="H283" s="2" t="s">
        <v>59</v>
      </c>
      <c r="I283" s="2" t="s">
        <v>3393</v>
      </c>
      <c r="J283" s="3">
        <v>11.55</v>
      </c>
      <c r="K283" s="3">
        <v>11.55</v>
      </c>
      <c r="L283" s="2" t="s">
        <v>3391</v>
      </c>
      <c r="M283" s="2" t="s">
        <v>9</v>
      </c>
      <c r="N283" s="3">
        <v>341</v>
      </c>
      <c r="O283" s="2" t="s">
        <v>140</v>
      </c>
      <c r="P283" s="2" t="s">
        <v>37</v>
      </c>
      <c r="Q283" s="3"/>
      <c r="R283" s="3"/>
      <c r="S283" s="2" t="s">
        <v>12</v>
      </c>
      <c r="T283" s="4">
        <v>44955</v>
      </c>
      <c r="U283" s="2" t="s">
        <v>2061</v>
      </c>
      <c r="V283" s="6">
        <f>(Real_Sales[[#This Row],[Price_retail]]-Real_Sales[[#This Row],[Price_current]])/Real_Sales[[#This Row],[Price_retail]]</f>
        <v>0</v>
      </c>
      <c r="W283" s="3" t="str" cm="1">
        <f t="array" ref="W28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83" s="2" t="str">
        <f>IF(Real_Sales[[#This Row],[Price_retail]]&gt;$AC$3,"Premium","Average")</f>
        <v>Average</v>
      </c>
      <c r="Y283" s="2" t="str">
        <f>IF(ISNUMBER(SEARCH("Basic",Real_Sales[[#This Row],[Product_name]])),"Yes","No")</f>
        <v>No</v>
      </c>
      <c r="Z283" s="2" cm="1">
        <f t="array" ref="Z283">_xlfn.IFS(Real_Sales[[#This Row],[Price_retail]]&lt;=15,1, Real_Sales[[#This Row],[Price_retail]]&lt;=30,2, Real_Sales[[#This Row],[Price_retail]]&lt;=50,3,Real_Sales[[#This Row],[Price_retail]]&gt;50,4)</f>
        <v>1</v>
      </c>
    </row>
    <row r="284" spans="1:26" x14ac:dyDescent="0.35">
      <c r="A284" s="2" t="s">
        <v>2108</v>
      </c>
      <c r="B284" s="2" t="s">
        <v>2109</v>
      </c>
      <c r="C284" s="2" t="s">
        <v>57</v>
      </c>
      <c r="D284" s="2" t="s">
        <v>34</v>
      </c>
      <c r="E284" s="2" t="s">
        <v>4</v>
      </c>
      <c r="F284" s="2" t="s">
        <v>17</v>
      </c>
      <c r="G284" s="2" t="s">
        <v>67</v>
      </c>
      <c r="H284" s="2" t="s">
        <v>35</v>
      </c>
      <c r="I284" s="2" t="s">
        <v>3393</v>
      </c>
      <c r="J284" s="3">
        <v>11.58</v>
      </c>
      <c r="K284" s="3">
        <v>6.39</v>
      </c>
      <c r="L284" s="2" t="s">
        <v>8</v>
      </c>
      <c r="M284" s="2" t="s">
        <v>9</v>
      </c>
      <c r="N284" s="3">
        <v>68</v>
      </c>
      <c r="O284" s="2" t="s">
        <v>287</v>
      </c>
      <c r="P284" s="2" t="s">
        <v>3392</v>
      </c>
      <c r="Q284" s="3"/>
      <c r="R284" s="3"/>
      <c r="S284" s="2" t="s">
        <v>12</v>
      </c>
      <c r="T284" s="4">
        <v>44955</v>
      </c>
      <c r="U284" s="2" t="s">
        <v>2110</v>
      </c>
      <c r="V284" s="6">
        <f>(Real_Sales[[#This Row],[Price_retail]]-Real_Sales[[#This Row],[Price_current]])/Real_Sales[[#This Row],[Price_retail]]</f>
        <v>0.44818652849740936</v>
      </c>
      <c r="W284" s="3" t="str" cm="1">
        <f t="array" ref="W28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84" s="2" t="str">
        <f>IF(Real_Sales[[#This Row],[Price_retail]]&gt;$AC$3,"Premium","Average")</f>
        <v>Average</v>
      </c>
      <c r="Y284" s="2" t="str">
        <f>IF(ISNUMBER(SEARCH("Basic",Real_Sales[[#This Row],[Product_name]])),"Yes","No")</f>
        <v>No</v>
      </c>
      <c r="Z284" s="2" cm="1">
        <f t="array" ref="Z284">_xlfn.IFS(Real_Sales[[#This Row],[Price_retail]]&lt;=15,1, Real_Sales[[#This Row],[Price_retail]]&lt;=30,2, Real_Sales[[#This Row],[Price_retail]]&lt;=50,3,Real_Sales[[#This Row],[Price_retail]]&gt;50,4)</f>
        <v>1</v>
      </c>
    </row>
    <row r="285" spans="1:26" x14ac:dyDescent="0.35">
      <c r="A285" s="2" t="s">
        <v>1871</v>
      </c>
      <c r="B285" s="2" t="s">
        <v>1872</v>
      </c>
      <c r="C285" s="2" t="s">
        <v>3394</v>
      </c>
      <c r="D285" s="2" t="s">
        <v>133</v>
      </c>
      <c r="E285" s="2" t="s">
        <v>4</v>
      </c>
      <c r="F285" s="2" t="s">
        <v>17</v>
      </c>
      <c r="G285" s="2" t="s">
        <v>67</v>
      </c>
      <c r="H285" s="2" t="s">
        <v>134</v>
      </c>
      <c r="I285" s="2" t="s">
        <v>3393</v>
      </c>
      <c r="J285" s="3">
        <v>11.58</v>
      </c>
      <c r="K285" s="3">
        <v>9.26</v>
      </c>
      <c r="L285" s="2" t="s">
        <v>8</v>
      </c>
      <c r="M285" s="2" t="s">
        <v>9</v>
      </c>
      <c r="N285" s="3">
        <v>186</v>
      </c>
      <c r="O285" s="2" t="s">
        <v>60</v>
      </c>
      <c r="P285" s="2" t="s">
        <v>92</v>
      </c>
      <c r="Q285" s="3"/>
      <c r="R285" s="3"/>
      <c r="S285" s="2" t="s">
        <v>12</v>
      </c>
      <c r="T285" s="4">
        <v>44955</v>
      </c>
      <c r="U285" s="2" t="s">
        <v>1873</v>
      </c>
      <c r="V285" s="6">
        <f>(Real_Sales[[#This Row],[Price_retail]]-Real_Sales[[#This Row],[Price_current]])/Real_Sales[[#This Row],[Price_retail]]</f>
        <v>0.20034542314335063</v>
      </c>
      <c r="W285" s="3" t="str" cm="1">
        <f t="array" ref="W28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85" s="2" t="str">
        <f>IF(Real_Sales[[#This Row],[Price_retail]]&gt;$AC$3,"Premium","Average")</f>
        <v>Average</v>
      </c>
      <c r="Y285" s="2" t="str">
        <f>IF(ISNUMBER(SEARCH("Basic",Real_Sales[[#This Row],[Product_name]])),"Yes","No")</f>
        <v>No</v>
      </c>
      <c r="Z285" s="2" cm="1">
        <f t="array" ref="Z285">_xlfn.IFS(Real_Sales[[#This Row],[Price_retail]]&lt;=15,1, Real_Sales[[#This Row],[Price_retail]]&lt;=30,2, Real_Sales[[#This Row],[Price_retail]]&lt;=50,3,Real_Sales[[#This Row],[Price_retail]]&gt;50,4)</f>
        <v>1</v>
      </c>
    </row>
    <row r="286" spans="1:26" x14ac:dyDescent="0.35">
      <c r="A286" s="2" t="s">
        <v>1853</v>
      </c>
      <c r="B286" s="2" t="s">
        <v>1854</v>
      </c>
      <c r="C286" s="2" t="s">
        <v>88</v>
      </c>
      <c r="D286" s="2" t="s">
        <v>229</v>
      </c>
      <c r="E286" s="2" t="s">
        <v>4</v>
      </c>
      <c r="F286" s="2" t="s">
        <v>5</v>
      </c>
      <c r="G286" s="2" t="s">
        <v>82</v>
      </c>
      <c r="H286" s="2" t="s">
        <v>168</v>
      </c>
      <c r="I286" s="2" t="s">
        <v>3390</v>
      </c>
      <c r="J286" s="3">
        <v>11.58</v>
      </c>
      <c r="K286" s="3">
        <v>9.68</v>
      </c>
      <c r="L286" s="2" t="s">
        <v>8</v>
      </c>
      <c r="M286" s="2" t="s">
        <v>9</v>
      </c>
      <c r="N286" s="3">
        <v>135</v>
      </c>
      <c r="O286" s="2" t="s">
        <v>91</v>
      </c>
      <c r="P286" s="2" t="s">
        <v>44</v>
      </c>
      <c r="Q286" s="3"/>
      <c r="R286" s="3"/>
      <c r="S286" s="2" t="s">
        <v>21</v>
      </c>
      <c r="T286" s="4">
        <v>44955</v>
      </c>
      <c r="U286" s="2" t="s">
        <v>1855</v>
      </c>
      <c r="V286" s="6">
        <f>(Real_Sales[[#This Row],[Price_retail]]-Real_Sales[[#This Row],[Price_current]])/Real_Sales[[#This Row],[Price_retail]]</f>
        <v>0.16407599309153717</v>
      </c>
      <c r="W286" s="3" t="str" cm="1">
        <f t="array" ref="W28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286" s="2" t="str">
        <f>IF(Real_Sales[[#This Row],[Price_retail]]&gt;$AC$3,"Premium","Average")</f>
        <v>Average</v>
      </c>
      <c r="Y286" s="2" t="str">
        <f>IF(ISNUMBER(SEARCH("Basic",Real_Sales[[#This Row],[Product_name]])),"Yes","No")</f>
        <v>No</v>
      </c>
      <c r="Z286" s="2" cm="1">
        <f t="array" ref="Z286">_xlfn.IFS(Real_Sales[[#This Row],[Price_retail]]&lt;=15,1, Real_Sales[[#This Row],[Price_retail]]&lt;=30,2, Real_Sales[[#This Row],[Price_retail]]&lt;=50,3,Real_Sales[[#This Row],[Price_retail]]&gt;50,4)</f>
        <v>1</v>
      </c>
    </row>
    <row r="287" spans="1:26" x14ac:dyDescent="0.35">
      <c r="A287" s="2" t="s">
        <v>3176</v>
      </c>
      <c r="B287" s="2" t="s">
        <v>3177</v>
      </c>
      <c r="C287" s="2" t="s">
        <v>65</v>
      </c>
      <c r="D287" s="2" t="s">
        <v>699</v>
      </c>
      <c r="E287" s="2" t="s">
        <v>4</v>
      </c>
      <c r="F287" s="2" t="s">
        <v>5</v>
      </c>
      <c r="G287" s="2" t="s">
        <v>6</v>
      </c>
      <c r="H287" s="2" t="s">
        <v>68</v>
      </c>
      <c r="I287" s="2" t="s">
        <v>3390</v>
      </c>
      <c r="J287" s="3">
        <v>11.61</v>
      </c>
      <c r="K287" s="3">
        <v>5.76</v>
      </c>
      <c r="L287" s="2" t="s">
        <v>8</v>
      </c>
      <c r="M287" s="2" t="s">
        <v>9</v>
      </c>
      <c r="N287" s="3">
        <v>154</v>
      </c>
      <c r="O287" s="2" t="s">
        <v>43</v>
      </c>
      <c r="P287" s="2" t="s">
        <v>92</v>
      </c>
      <c r="Q287" s="3"/>
      <c r="R287" s="3"/>
      <c r="S287" s="2" t="s">
        <v>21</v>
      </c>
      <c r="T287" s="4">
        <v>44955</v>
      </c>
      <c r="U287" s="2" t="s">
        <v>3178</v>
      </c>
      <c r="V287" s="6">
        <f>(Real_Sales[[#This Row],[Price_retail]]-Real_Sales[[#This Row],[Price_current]])/Real_Sales[[#This Row],[Price_retail]]</f>
        <v>0.50387596899224807</v>
      </c>
      <c r="W287" s="3" t="str" cm="1">
        <f t="array" ref="W287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287" s="2" t="str">
        <f>IF(Real_Sales[[#This Row],[Price_retail]]&gt;$AC$3,"Premium","Average")</f>
        <v>Average</v>
      </c>
      <c r="Y287" s="2" t="str">
        <f>IF(ISNUMBER(SEARCH("Basic",Real_Sales[[#This Row],[Product_name]])),"Yes","No")</f>
        <v>No</v>
      </c>
      <c r="Z287" s="2" cm="1">
        <f t="array" ref="Z287">_xlfn.IFS(Real_Sales[[#This Row],[Price_retail]]&lt;=15,1, Real_Sales[[#This Row],[Price_retail]]&lt;=30,2, Real_Sales[[#This Row],[Price_retail]]&lt;=50,3,Real_Sales[[#This Row],[Price_retail]]&gt;50,4)</f>
        <v>1</v>
      </c>
    </row>
    <row r="288" spans="1:26" x14ac:dyDescent="0.35">
      <c r="A288" s="2" t="s">
        <v>788</v>
      </c>
      <c r="B288" s="2" t="s">
        <v>789</v>
      </c>
      <c r="C288" s="2" t="s">
        <v>790</v>
      </c>
      <c r="D288" s="2" t="s">
        <v>138</v>
      </c>
      <c r="E288" s="2" t="s">
        <v>4</v>
      </c>
      <c r="F288" s="2" t="s">
        <v>5</v>
      </c>
      <c r="G288" s="2" t="s">
        <v>6</v>
      </c>
      <c r="H288" s="2" t="s">
        <v>139</v>
      </c>
      <c r="I288" s="2" t="s">
        <v>3390</v>
      </c>
      <c r="J288" s="3">
        <v>11.61</v>
      </c>
      <c r="K288" s="3">
        <v>11.61</v>
      </c>
      <c r="L288" s="2" t="s">
        <v>3391</v>
      </c>
      <c r="M288" s="2" t="s">
        <v>9</v>
      </c>
      <c r="N288" s="3">
        <v>771</v>
      </c>
      <c r="O288" s="2" t="s">
        <v>261</v>
      </c>
      <c r="P288" s="2" t="s">
        <v>30</v>
      </c>
      <c r="Q288" s="3"/>
      <c r="R288" s="3"/>
      <c r="S288" s="2" t="s">
        <v>21</v>
      </c>
      <c r="T288" s="4">
        <v>44955</v>
      </c>
      <c r="U288" s="2" t="s">
        <v>791</v>
      </c>
      <c r="V288" s="6">
        <f>(Real_Sales[[#This Row],[Price_retail]]-Real_Sales[[#This Row],[Price_current]])/Real_Sales[[#This Row],[Price_retail]]</f>
        <v>0</v>
      </c>
      <c r="W288" s="3" t="str" cm="1">
        <f t="array" ref="W28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88" s="2" t="str">
        <f>IF(Real_Sales[[#This Row],[Price_retail]]&gt;$AC$3,"Premium","Average")</f>
        <v>Average</v>
      </c>
      <c r="Y288" s="2" t="str">
        <f>IF(ISNUMBER(SEARCH("Basic",Real_Sales[[#This Row],[Product_name]])),"Yes","No")</f>
        <v>Yes</v>
      </c>
      <c r="Z288" s="2" cm="1">
        <f t="array" ref="Z288">_xlfn.IFS(Real_Sales[[#This Row],[Price_retail]]&lt;=15,1, Real_Sales[[#This Row],[Price_retail]]&lt;=30,2, Real_Sales[[#This Row],[Price_retail]]&lt;=50,3,Real_Sales[[#This Row],[Price_retail]]&gt;50,4)</f>
        <v>1</v>
      </c>
    </row>
    <row r="289" spans="1:26" x14ac:dyDescent="0.35">
      <c r="A289" s="2" t="s">
        <v>903</v>
      </c>
      <c r="B289" s="2" t="s">
        <v>904</v>
      </c>
      <c r="C289" s="2" t="s">
        <v>995</v>
      </c>
      <c r="D289" s="2" t="s">
        <v>905</v>
      </c>
      <c r="E289" s="2" t="s">
        <v>4</v>
      </c>
      <c r="F289" s="2" t="s">
        <v>5</v>
      </c>
      <c r="G289" s="2" t="s">
        <v>82</v>
      </c>
      <c r="H289" s="2" t="s">
        <v>28</v>
      </c>
      <c r="I289" s="2" t="s">
        <v>3393</v>
      </c>
      <c r="J289" s="3">
        <v>11.61</v>
      </c>
      <c r="K289" s="3">
        <v>11.61</v>
      </c>
      <c r="L289" s="2" t="s">
        <v>3391</v>
      </c>
      <c r="M289" s="2" t="s">
        <v>9</v>
      </c>
      <c r="N289" s="3">
        <v>460</v>
      </c>
      <c r="O289" s="2" t="s">
        <v>91</v>
      </c>
      <c r="P289" s="2" t="s">
        <v>163</v>
      </c>
      <c r="Q289" s="3"/>
      <c r="R289" s="3"/>
      <c r="S289" s="2" t="s">
        <v>21</v>
      </c>
      <c r="T289" s="4">
        <v>44955</v>
      </c>
      <c r="U289" s="2" t="s">
        <v>906</v>
      </c>
      <c r="V289" s="6">
        <f>(Real_Sales[[#This Row],[Price_retail]]-Real_Sales[[#This Row],[Price_current]])/Real_Sales[[#This Row],[Price_retail]]</f>
        <v>0</v>
      </c>
      <c r="W289" s="3" t="str" cm="1">
        <f t="array" ref="W28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89" s="2" t="str">
        <f>IF(Real_Sales[[#This Row],[Price_retail]]&gt;$AC$3,"Premium","Average")</f>
        <v>Average</v>
      </c>
      <c r="Y289" s="2" t="str">
        <f>IF(ISNUMBER(SEARCH("Basic",Real_Sales[[#This Row],[Product_name]])),"Yes","No")</f>
        <v>No</v>
      </c>
      <c r="Z289" s="2" cm="1">
        <f t="array" ref="Z289">_xlfn.IFS(Real_Sales[[#This Row],[Price_retail]]&lt;=15,1, Real_Sales[[#This Row],[Price_retail]]&lt;=30,2, Real_Sales[[#This Row],[Price_retail]]&lt;=50,3,Real_Sales[[#This Row],[Price_retail]]&gt;50,4)</f>
        <v>1</v>
      </c>
    </row>
    <row r="290" spans="1:26" x14ac:dyDescent="0.35">
      <c r="A290" s="2" t="s">
        <v>2420</v>
      </c>
      <c r="B290" s="2" t="s">
        <v>2421</v>
      </c>
      <c r="C290" s="2" t="s">
        <v>246</v>
      </c>
      <c r="D290" s="2" t="s">
        <v>971</v>
      </c>
      <c r="E290" s="2" t="s">
        <v>4</v>
      </c>
      <c r="F290" s="2" t="s">
        <v>5</v>
      </c>
      <c r="G290" s="2" t="s">
        <v>121</v>
      </c>
      <c r="H290" s="2" t="s">
        <v>134</v>
      </c>
      <c r="I290" s="2" t="s">
        <v>3390</v>
      </c>
      <c r="J290" s="3">
        <v>11.61</v>
      </c>
      <c r="K290" s="3">
        <v>11.61</v>
      </c>
      <c r="L290" s="2" t="s">
        <v>248</v>
      </c>
      <c r="M290" s="2" t="s">
        <v>9</v>
      </c>
      <c r="N290" s="3">
        <v>140</v>
      </c>
      <c r="O290" s="2" t="s">
        <v>302</v>
      </c>
      <c r="P290" s="2" t="s">
        <v>37</v>
      </c>
      <c r="Q290" s="3"/>
      <c r="R290" s="3"/>
      <c r="S290" s="2" t="s">
        <v>21</v>
      </c>
      <c r="T290" s="4">
        <v>44955</v>
      </c>
      <c r="U290" s="2" t="s">
        <v>2422</v>
      </c>
      <c r="V290" s="6">
        <f>(Real_Sales[[#This Row],[Price_retail]]-Real_Sales[[#This Row],[Price_current]])/Real_Sales[[#This Row],[Price_retail]]</f>
        <v>0</v>
      </c>
      <c r="W290" s="3" t="str" cm="1">
        <f t="array" ref="W29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0" s="2" t="str">
        <f>IF(Real_Sales[[#This Row],[Price_retail]]&gt;$AC$3,"Premium","Average")</f>
        <v>Average</v>
      </c>
      <c r="Y290" s="2" t="str">
        <f>IF(ISNUMBER(SEARCH("Basic",Real_Sales[[#This Row],[Product_name]])),"Yes","No")</f>
        <v>No</v>
      </c>
      <c r="Z290" s="2" cm="1">
        <f t="array" ref="Z290">_xlfn.IFS(Real_Sales[[#This Row],[Price_retail]]&lt;=15,1, Real_Sales[[#This Row],[Price_retail]]&lt;=30,2, Real_Sales[[#This Row],[Price_retail]]&lt;=50,3,Real_Sales[[#This Row],[Price_retail]]&gt;50,4)</f>
        <v>1</v>
      </c>
    </row>
    <row r="291" spans="1:26" x14ac:dyDescent="0.35">
      <c r="A291" s="2" t="s">
        <v>2801</v>
      </c>
      <c r="B291" s="2" t="s">
        <v>2802</v>
      </c>
      <c r="C291" s="2" t="s">
        <v>978</v>
      </c>
      <c r="D291" s="2" t="s">
        <v>144</v>
      </c>
      <c r="E291" s="2" t="s">
        <v>4</v>
      </c>
      <c r="F291" s="2" t="s">
        <v>17</v>
      </c>
      <c r="G291" s="2" t="s">
        <v>50</v>
      </c>
      <c r="H291" s="2" t="s">
        <v>145</v>
      </c>
      <c r="I291" s="2" t="s">
        <v>3393</v>
      </c>
      <c r="J291" s="3">
        <v>11.62</v>
      </c>
      <c r="K291" s="3">
        <v>11.62</v>
      </c>
      <c r="L291" s="2" t="s">
        <v>3391</v>
      </c>
      <c r="M291" s="2" t="s">
        <v>9</v>
      </c>
      <c r="N291" s="3">
        <v>528</v>
      </c>
      <c r="O291" s="2" t="s">
        <v>3392</v>
      </c>
      <c r="P291" s="2" t="s">
        <v>186</v>
      </c>
      <c r="Q291" s="3"/>
      <c r="R291" s="3"/>
      <c r="S291" s="2" t="s">
        <v>21</v>
      </c>
      <c r="T291" s="4">
        <v>44955</v>
      </c>
      <c r="U291" s="2" t="s">
        <v>2803</v>
      </c>
      <c r="V291" s="6">
        <f>(Real_Sales[[#This Row],[Price_retail]]-Real_Sales[[#This Row],[Price_current]])/Real_Sales[[#This Row],[Price_retail]]</f>
        <v>0</v>
      </c>
      <c r="W291" s="3" t="str" cm="1">
        <f t="array" ref="W29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1" s="2" t="str">
        <f>IF(Real_Sales[[#This Row],[Price_retail]]&gt;$AC$3,"Premium","Average")</f>
        <v>Average</v>
      </c>
      <c r="Y291" s="2" t="str">
        <f>IF(ISNUMBER(SEARCH("Basic",Real_Sales[[#This Row],[Product_name]])),"Yes","No")</f>
        <v>No</v>
      </c>
      <c r="Z291" s="2" cm="1">
        <f t="array" ref="Z291">_xlfn.IFS(Real_Sales[[#This Row],[Price_retail]]&lt;=15,1, Real_Sales[[#This Row],[Price_retail]]&lt;=30,2, Real_Sales[[#This Row],[Price_retail]]&lt;=50,3,Real_Sales[[#This Row],[Price_retail]]&gt;50,4)</f>
        <v>1</v>
      </c>
    </row>
    <row r="292" spans="1:26" x14ac:dyDescent="0.35">
      <c r="A292" s="2" t="s">
        <v>352</v>
      </c>
      <c r="B292" s="2" t="s">
        <v>353</v>
      </c>
      <c r="C292" s="2" t="s">
        <v>242</v>
      </c>
      <c r="D292" s="2" t="s">
        <v>354</v>
      </c>
      <c r="E292" s="2" t="s">
        <v>4</v>
      </c>
      <c r="F292" s="2" t="s">
        <v>17</v>
      </c>
      <c r="G292" s="2" t="s">
        <v>67</v>
      </c>
      <c r="H292" s="2" t="s">
        <v>90</v>
      </c>
      <c r="I292" s="2" t="s">
        <v>3390</v>
      </c>
      <c r="J292" s="3">
        <v>11.66</v>
      </c>
      <c r="K292" s="3">
        <v>11.66</v>
      </c>
      <c r="L292" s="2" t="s">
        <v>3391</v>
      </c>
      <c r="M292" s="2" t="s">
        <v>9</v>
      </c>
      <c r="N292" s="3">
        <v>225</v>
      </c>
      <c r="O292" s="2" t="s">
        <v>347</v>
      </c>
      <c r="P292" s="2" t="s">
        <v>84</v>
      </c>
      <c r="Q292" s="3"/>
      <c r="R292" s="3"/>
      <c r="S292" s="2" t="s">
        <v>12</v>
      </c>
      <c r="T292" s="4">
        <v>44955</v>
      </c>
      <c r="U292" s="2" t="s">
        <v>355</v>
      </c>
      <c r="V292" s="6">
        <f>(Real_Sales[[#This Row],[Price_retail]]-Real_Sales[[#This Row],[Price_current]])/Real_Sales[[#This Row],[Price_retail]]</f>
        <v>0</v>
      </c>
      <c r="W292" s="3" t="str" cm="1">
        <f t="array" ref="W2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2" s="2" t="str">
        <f>IF(Real_Sales[[#This Row],[Price_retail]]&gt;$AC$3,"Premium","Average")</f>
        <v>Average</v>
      </c>
      <c r="Y292" s="2" t="str">
        <f>IF(ISNUMBER(SEARCH("Basic",Real_Sales[[#This Row],[Product_name]])),"Yes","No")</f>
        <v>No</v>
      </c>
      <c r="Z292" s="2" cm="1">
        <f t="array" ref="Z292">_xlfn.IFS(Real_Sales[[#This Row],[Price_retail]]&lt;=15,1, Real_Sales[[#This Row],[Price_retail]]&lt;=30,2, Real_Sales[[#This Row],[Price_retail]]&lt;=50,3,Real_Sales[[#This Row],[Price_retail]]&gt;50,4)</f>
        <v>1</v>
      </c>
    </row>
    <row r="293" spans="1:26" x14ac:dyDescent="0.35">
      <c r="A293" s="2" t="s">
        <v>1662</v>
      </c>
      <c r="B293" s="2" t="s">
        <v>1663</v>
      </c>
      <c r="C293" s="2" t="s">
        <v>367</v>
      </c>
      <c r="D293" s="2" t="s">
        <v>127</v>
      </c>
      <c r="E293" s="2" t="s">
        <v>4</v>
      </c>
      <c r="F293" s="2" t="s">
        <v>5</v>
      </c>
      <c r="G293" s="2" t="s">
        <v>82</v>
      </c>
      <c r="H293" s="2" t="s">
        <v>110</v>
      </c>
      <c r="I293" s="2" t="s">
        <v>3395</v>
      </c>
      <c r="J293" s="3">
        <v>11.67</v>
      </c>
      <c r="K293" s="3">
        <v>7.79</v>
      </c>
      <c r="L293" s="2" t="s">
        <v>8</v>
      </c>
      <c r="M293" s="2" t="s">
        <v>9</v>
      </c>
      <c r="N293" s="3">
        <v>177</v>
      </c>
      <c r="O293" s="2" t="s">
        <v>302</v>
      </c>
      <c r="P293" s="2" t="s">
        <v>3392</v>
      </c>
      <c r="Q293" s="3"/>
      <c r="R293" s="3"/>
      <c r="S293" s="2" t="s">
        <v>21</v>
      </c>
      <c r="T293" s="4">
        <v>44955</v>
      </c>
      <c r="U293" s="2" t="s">
        <v>1664</v>
      </c>
      <c r="V293" s="6">
        <f>(Real_Sales[[#This Row],[Price_retail]]-Real_Sales[[#This Row],[Price_current]])/Real_Sales[[#This Row],[Price_retail]]</f>
        <v>0.33247643530419879</v>
      </c>
      <c r="W293" s="3" t="str" cm="1">
        <f t="array" ref="W29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93" s="2" t="str">
        <f>IF(Real_Sales[[#This Row],[Price_retail]]&gt;$AC$3,"Premium","Average")</f>
        <v>Average</v>
      </c>
      <c r="Y293" s="2" t="str">
        <f>IF(ISNUMBER(SEARCH("Basic",Real_Sales[[#This Row],[Product_name]])),"Yes","No")</f>
        <v>No</v>
      </c>
      <c r="Z293" s="2" cm="1">
        <f t="array" ref="Z293">_xlfn.IFS(Real_Sales[[#This Row],[Price_retail]]&lt;=15,1, Real_Sales[[#This Row],[Price_retail]]&lt;=30,2, Real_Sales[[#This Row],[Price_retail]]&lt;=50,3,Real_Sales[[#This Row],[Price_retail]]&gt;50,4)</f>
        <v>1</v>
      </c>
    </row>
    <row r="294" spans="1:26" x14ac:dyDescent="0.35">
      <c r="A294" s="2" t="s">
        <v>2069</v>
      </c>
      <c r="B294" s="2" t="s">
        <v>2070</v>
      </c>
      <c r="C294" s="2" t="s">
        <v>703</v>
      </c>
      <c r="D294" s="2" t="s">
        <v>1324</v>
      </c>
      <c r="E294" s="2" t="s">
        <v>4</v>
      </c>
      <c r="F294" s="2" t="s">
        <v>17</v>
      </c>
      <c r="G294" s="2" t="s">
        <v>18</v>
      </c>
      <c r="H294" s="2" t="s">
        <v>19</v>
      </c>
      <c r="I294" s="2" t="s">
        <v>3393</v>
      </c>
      <c r="J294" s="3">
        <v>11.68</v>
      </c>
      <c r="K294" s="3">
        <v>11.68</v>
      </c>
      <c r="L294" s="2" t="s">
        <v>3391</v>
      </c>
      <c r="M294" s="2" t="s">
        <v>9</v>
      </c>
      <c r="N294" s="3">
        <v>54</v>
      </c>
      <c r="O294" s="2" t="s">
        <v>69</v>
      </c>
      <c r="P294" s="2" t="s">
        <v>11</v>
      </c>
      <c r="Q294" s="3"/>
      <c r="R294" s="3"/>
      <c r="S294" s="2" t="s">
        <v>21</v>
      </c>
      <c r="T294" s="4">
        <v>44955</v>
      </c>
      <c r="U294" s="2" t="s">
        <v>2071</v>
      </c>
      <c r="V294" s="6">
        <f>(Real_Sales[[#This Row],[Price_retail]]-Real_Sales[[#This Row],[Price_current]])/Real_Sales[[#This Row],[Price_retail]]</f>
        <v>0</v>
      </c>
      <c r="W294" s="3" t="str" cm="1">
        <f t="array" ref="W2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4" s="2" t="str">
        <f>IF(Real_Sales[[#This Row],[Price_retail]]&gt;$AC$3,"Premium","Average")</f>
        <v>Average</v>
      </c>
      <c r="Y294" s="2" t="str">
        <f>IF(ISNUMBER(SEARCH("Basic",Real_Sales[[#This Row],[Product_name]])),"Yes","No")</f>
        <v>Yes</v>
      </c>
      <c r="Z294" s="2" cm="1">
        <f t="array" ref="Z294">_xlfn.IFS(Real_Sales[[#This Row],[Price_retail]]&lt;=15,1, Real_Sales[[#This Row],[Price_retail]]&lt;=30,2, Real_Sales[[#This Row],[Price_retail]]&lt;=50,3,Real_Sales[[#This Row],[Price_retail]]&gt;50,4)</f>
        <v>1</v>
      </c>
    </row>
    <row r="295" spans="1:26" x14ac:dyDescent="0.35">
      <c r="A295" s="2" t="s">
        <v>3107</v>
      </c>
      <c r="B295" s="2" t="s">
        <v>3108</v>
      </c>
      <c r="C295" s="2" t="s">
        <v>25</v>
      </c>
      <c r="D295" s="2" t="s">
        <v>959</v>
      </c>
      <c r="E295" s="2" t="s">
        <v>4</v>
      </c>
      <c r="F295" s="2" t="s">
        <v>17</v>
      </c>
      <c r="G295" s="2" t="s">
        <v>50</v>
      </c>
      <c r="H295" s="2" t="s">
        <v>418</v>
      </c>
      <c r="I295" s="2" t="s">
        <v>3393</v>
      </c>
      <c r="J295" s="3">
        <v>11.7</v>
      </c>
      <c r="K295" s="3">
        <v>7.9</v>
      </c>
      <c r="L295" s="2" t="s">
        <v>8</v>
      </c>
      <c r="M295" s="2" t="s">
        <v>9</v>
      </c>
      <c r="N295" s="3">
        <v>661</v>
      </c>
      <c r="O295" s="2" t="s">
        <v>359</v>
      </c>
      <c r="P295" s="2" t="s">
        <v>53</v>
      </c>
      <c r="Q295" s="3"/>
      <c r="R295" s="3"/>
      <c r="S295" s="2" t="s">
        <v>21</v>
      </c>
      <c r="T295" s="4">
        <v>44955</v>
      </c>
      <c r="U295" s="2" t="s">
        <v>3109</v>
      </c>
      <c r="V295" s="6">
        <f>(Real_Sales[[#This Row],[Price_retail]]-Real_Sales[[#This Row],[Price_current]])/Real_Sales[[#This Row],[Price_retail]]</f>
        <v>0.32478632478632474</v>
      </c>
      <c r="W295" s="3" t="str" cm="1">
        <f t="array" ref="W29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95" s="2" t="str">
        <f>IF(Real_Sales[[#This Row],[Price_retail]]&gt;$AC$3,"Premium","Average")</f>
        <v>Average</v>
      </c>
      <c r="Y295" s="2" t="str">
        <f>IF(ISNUMBER(SEARCH("Basic",Real_Sales[[#This Row],[Product_name]])),"Yes","No")</f>
        <v>No</v>
      </c>
      <c r="Z295" s="2" cm="1">
        <f t="array" ref="Z295">_xlfn.IFS(Real_Sales[[#This Row],[Price_retail]]&lt;=15,1, Real_Sales[[#This Row],[Price_retail]]&lt;=30,2, Real_Sales[[#This Row],[Price_retail]]&lt;=50,3,Real_Sales[[#This Row],[Price_retail]]&gt;50,4)</f>
        <v>1</v>
      </c>
    </row>
    <row r="296" spans="1:26" x14ac:dyDescent="0.35">
      <c r="A296" s="2" t="s">
        <v>1971</v>
      </c>
      <c r="B296" s="2" t="s">
        <v>1972</v>
      </c>
      <c r="C296" s="2" t="s">
        <v>1973</v>
      </c>
      <c r="D296" s="2" t="s">
        <v>392</v>
      </c>
      <c r="E296" s="2" t="s">
        <v>4</v>
      </c>
      <c r="F296" s="2" t="s">
        <v>17</v>
      </c>
      <c r="G296" s="2" t="s">
        <v>18</v>
      </c>
      <c r="H296" s="2" t="s">
        <v>19</v>
      </c>
      <c r="I296" s="2" t="s">
        <v>3390</v>
      </c>
      <c r="J296" s="3">
        <v>11.7</v>
      </c>
      <c r="K296" s="3">
        <v>8.34</v>
      </c>
      <c r="L296" s="2" t="s">
        <v>8</v>
      </c>
      <c r="M296" s="2" t="s">
        <v>9</v>
      </c>
      <c r="N296" s="3">
        <v>688</v>
      </c>
      <c r="O296" s="2" t="s">
        <v>261</v>
      </c>
      <c r="P296" s="2" t="s">
        <v>221</v>
      </c>
      <c r="Q296" s="3"/>
      <c r="R296" s="3"/>
      <c r="S296" s="2" t="s">
        <v>21</v>
      </c>
      <c r="T296" s="4">
        <v>44955</v>
      </c>
      <c r="U296" s="2" t="s">
        <v>1974</v>
      </c>
      <c r="V296" s="6">
        <f>(Real_Sales[[#This Row],[Price_retail]]-Real_Sales[[#This Row],[Price_current]])/Real_Sales[[#This Row],[Price_retail]]</f>
        <v>0.28717948717948716</v>
      </c>
      <c r="W296" s="3" t="str" cm="1">
        <f t="array" ref="W29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296" s="2" t="str">
        <f>IF(Real_Sales[[#This Row],[Price_retail]]&gt;$AC$3,"Premium","Average")</f>
        <v>Average</v>
      </c>
      <c r="Y296" s="2" t="str">
        <f>IF(ISNUMBER(SEARCH("Basic",Real_Sales[[#This Row],[Product_name]])),"Yes","No")</f>
        <v>No</v>
      </c>
      <c r="Z296" s="2" cm="1">
        <f t="array" ref="Z296">_xlfn.IFS(Real_Sales[[#This Row],[Price_retail]]&lt;=15,1, Real_Sales[[#This Row],[Price_retail]]&lt;=30,2, Real_Sales[[#This Row],[Price_retail]]&lt;=50,3,Real_Sales[[#This Row],[Price_retail]]&gt;50,4)</f>
        <v>1</v>
      </c>
    </row>
    <row r="297" spans="1:26" x14ac:dyDescent="0.35">
      <c r="A297" s="2" t="s">
        <v>3203</v>
      </c>
      <c r="B297" s="2" t="s">
        <v>3204</v>
      </c>
      <c r="C297" s="2" t="s">
        <v>65</v>
      </c>
      <c r="D297" s="2" t="s">
        <v>247</v>
      </c>
      <c r="E297" s="2" t="s">
        <v>4</v>
      </c>
      <c r="F297" s="2" t="s">
        <v>17</v>
      </c>
      <c r="G297" s="2" t="s">
        <v>50</v>
      </c>
      <c r="H297" s="2" t="s">
        <v>68</v>
      </c>
      <c r="I297" s="2" t="s">
        <v>3393</v>
      </c>
      <c r="J297" s="3">
        <v>11.73</v>
      </c>
      <c r="K297" s="3">
        <v>11.73</v>
      </c>
      <c r="L297" s="2" t="s">
        <v>3391</v>
      </c>
      <c r="M297" s="2" t="s">
        <v>9</v>
      </c>
      <c r="N297" s="3">
        <v>116</v>
      </c>
      <c r="O297" s="2" t="s">
        <v>69</v>
      </c>
      <c r="P297" s="2" t="s">
        <v>44</v>
      </c>
      <c r="Q297" s="3"/>
      <c r="R297" s="3"/>
      <c r="S297" s="2" t="s">
        <v>21</v>
      </c>
      <c r="T297" s="4">
        <v>44955</v>
      </c>
      <c r="U297" s="2" t="s">
        <v>3205</v>
      </c>
      <c r="V297" s="6">
        <f>(Real_Sales[[#This Row],[Price_retail]]-Real_Sales[[#This Row],[Price_current]])/Real_Sales[[#This Row],[Price_retail]]</f>
        <v>0</v>
      </c>
      <c r="W297" s="3" t="str" cm="1">
        <f t="array" ref="W29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7" s="2" t="str">
        <f>IF(Real_Sales[[#This Row],[Price_retail]]&gt;$AC$3,"Premium","Average")</f>
        <v>Average</v>
      </c>
      <c r="Y297" s="2" t="str">
        <f>IF(ISNUMBER(SEARCH("Basic",Real_Sales[[#This Row],[Product_name]])),"Yes","No")</f>
        <v>No</v>
      </c>
      <c r="Z297" s="2" cm="1">
        <f t="array" ref="Z297">_xlfn.IFS(Real_Sales[[#This Row],[Price_retail]]&lt;=15,1, Real_Sales[[#This Row],[Price_retail]]&lt;=30,2, Real_Sales[[#This Row],[Price_retail]]&lt;=50,3,Real_Sales[[#This Row],[Price_retail]]&gt;50,4)</f>
        <v>1</v>
      </c>
    </row>
    <row r="298" spans="1:26" x14ac:dyDescent="0.35">
      <c r="A298" s="2" t="s">
        <v>1899</v>
      </c>
      <c r="B298" s="2" t="s">
        <v>1900</v>
      </c>
      <c r="C298" s="2" t="s">
        <v>786</v>
      </c>
      <c r="D298" s="2" t="s">
        <v>209</v>
      </c>
      <c r="E298" s="2" t="s">
        <v>4</v>
      </c>
      <c r="F298" s="2" t="s">
        <v>5</v>
      </c>
      <c r="G298" s="2" t="s">
        <v>121</v>
      </c>
      <c r="H298" s="2" t="s">
        <v>35</v>
      </c>
      <c r="I298" s="2" t="s">
        <v>3390</v>
      </c>
      <c r="J298" s="3">
        <v>11.75</v>
      </c>
      <c r="K298" s="3">
        <v>11.75</v>
      </c>
      <c r="L298" s="2" t="s">
        <v>3391</v>
      </c>
      <c r="M298" s="2" t="s">
        <v>9</v>
      </c>
      <c r="N298" s="3">
        <v>918</v>
      </c>
      <c r="O298" s="2" t="s">
        <v>36</v>
      </c>
      <c r="P298" s="2" t="s">
        <v>186</v>
      </c>
      <c r="Q298" s="3"/>
      <c r="R298" s="3"/>
      <c r="S298" s="2" t="s">
        <v>21</v>
      </c>
      <c r="T298" s="4">
        <v>44955</v>
      </c>
      <c r="U298" s="2" t="s">
        <v>1901</v>
      </c>
      <c r="V298" s="6">
        <f>(Real_Sales[[#This Row],[Price_retail]]-Real_Sales[[#This Row],[Price_current]])/Real_Sales[[#This Row],[Price_retail]]</f>
        <v>0</v>
      </c>
      <c r="W298" s="3" t="str" cm="1">
        <f t="array" ref="W29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8" s="2" t="str">
        <f>IF(Real_Sales[[#This Row],[Price_retail]]&gt;$AC$3,"Premium","Average")</f>
        <v>Average</v>
      </c>
      <c r="Y298" s="2" t="str">
        <f>IF(ISNUMBER(SEARCH("Basic",Real_Sales[[#This Row],[Product_name]])),"Yes","No")</f>
        <v>No</v>
      </c>
      <c r="Z298" s="2" cm="1">
        <f t="array" ref="Z298">_xlfn.IFS(Real_Sales[[#This Row],[Price_retail]]&lt;=15,1, Real_Sales[[#This Row],[Price_retail]]&lt;=30,2, Real_Sales[[#This Row],[Price_retail]]&lt;=50,3,Real_Sales[[#This Row],[Price_retail]]&gt;50,4)</f>
        <v>1</v>
      </c>
    </row>
    <row r="299" spans="1:26" x14ac:dyDescent="0.35">
      <c r="A299" s="2" t="s">
        <v>3089</v>
      </c>
      <c r="B299" s="2" t="s">
        <v>3090</v>
      </c>
      <c r="C299" s="2" t="s">
        <v>1784</v>
      </c>
      <c r="D299" s="2" t="s">
        <v>814</v>
      </c>
      <c r="E299" s="2" t="s">
        <v>4</v>
      </c>
      <c r="F299" s="2" t="s">
        <v>5</v>
      </c>
      <c r="G299" s="2" t="s">
        <v>82</v>
      </c>
      <c r="H299" s="2" t="s">
        <v>418</v>
      </c>
      <c r="I299" s="2" t="s">
        <v>3393</v>
      </c>
      <c r="J299" s="3">
        <v>11.76</v>
      </c>
      <c r="K299" s="3">
        <v>11.76</v>
      </c>
      <c r="L299" s="2" t="s">
        <v>3391</v>
      </c>
      <c r="M299" s="2" t="s">
        <v>9</v>
      </c>
      <c r="N299" s="3">
        <v>109</v>
      </c>
      <c r="O299" s="2" t="s">
        <v>60</v>
      </c>
      <c r="P299" s="2" t="s">
        <v>221</v>
      </c>
      <c r="Q299" s="3"/>
      <c r="R299" s="3"/>
      <c r="S299" s="2" t="s">
        <v>21</v>
      </c>
      <c r="T299" s="4">
        <v>44955</v>
      </c>
      <c r="U299" s="2" t="s">
        <v>3091</v>
      </c>
      <c r="V299" s="6">
        <f>(Real_Sales[[#This Row],[Price_retail]]-Real_Sales[[#This Row],[Price_current]])/Real_Sales[[#This Row],[Price_retail]]</f>
        <v>0</v>
      </c>
      <c r="W299" s="3" t="str" cm="1">
        <f t="array" ref="W2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299" s="2" t="str">
        <f>IF(Real_Sales[[#This Row],[Price_retail]]&gt;$AC$3,"Premium","Average")</f>
        <v>Average</v>
      </c>
      <c r="Y299" s="2" t="str">
        <f>IF(ISNUMBER(SEARCH("Basic",Real_Sales[[#This Row],[Product_name]])),"Yes","No")</f>
        <v>No</v>
      </c>
      <c r="Z299" s="2" cm="1">
        <f t="array" ref="Z299">_xlfn.IFS(Real_Sales[[#This Row],[Price_retail]]&lt;=15,1, Real_Sales[[#This Row],[Price_retail]]&lt;=30,2, Real_Sales[[#This Row],[Price_retail]]&lt;=50,3,Real_Sales[[#This Row],[Price_retail]]&gt;50,4)</f>
        <v>1</v>
      </c>
    </row>
    <row r="300" spans="1:26" x14ac:dyDescent="0.35">
      <c r="A300" s="2" t="s">
        <v>2132</v>
      </c>
      <c r="B300" s="2" t="s">
        <v>2133</v>
      </c>
      <c r="C300" s="2" t="s">
        <v>399</v>
      </c>
      <c r="D300" s="2" t="s">
        <v>319</v>
      </c>
      <c r="E300" s="2" t="s">
        <v>4</v>
      </c>
      <c r="F300" s="2" t="s">
        <v>5</v>
      </c>
      <c r="G300" s="2" t="s">
        <v>82</v>
      </c>
      <c r="H300" s="2" t="s">
        <v>90</v>
      </c>
      <c r="I300" s="2" t="s">
        <v>3393</v>
      </c>
      <c r="J300" s="3">
        <v>11.78</v>
      </c>
      <c r="K300" s="3">
        <v>11.78</v>
      </c>
      <c r="L300" s="2" t="s">
        <v>3391</v>
      </c>
      <c r="M300" s="2" t="s">
        <v>9</v>
      </c>
      <c r="N300" s="3">
        <v>781</v>
      </c>
      <c r="O300" s="2" t="s">
        <v>359</v>
      </c>
      <c r="P300" s="2" t="s">
        <v>368</v>
      </c>
      <c r="Q300" s="3"/>
      <c r="R300" s="3"/>
      <c r="S300" s="2" t="s">
        <v>21</v>
      </c>
      <c r="T300" s="4">
        <v>44955</v>
      </c>
      <c r="U300" s="2" t="s">
        <v>2134</v>
      </c>
      <c r="V300" s="6">
        <f>(Real_Sales[[#This Row],[Price_retail]]-Real_Sales[[#This Row],[Price_current]])/Real_Sales[[#This Row],[Price_retail]]</f>
        <v>0</v>
      </c>
      <c r="W300" s="3" t="str" cm="1">
        <f t="array" ref="W3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00" s="2" t="str">
        <f>IF(Real_Sales[[#This Row],[Price_retail]]&gt;$AC$3,"Premium","Average")</f>
        <v>Average</v>
      </c>
      <c r="Y300" s="2" t="str">
        <f>IF(ISNUMBER(SEARCH("Basic",Real_Sales[[#This Row],[Product_name]])),"Yes","No")</f>
        <v>No</v>
      </c>
      <c r="Z300" s="2" cm="1">
        <f t="array" ref="Z300">_xlfn.IFS(Real_Sales[[#This Row],[Price_retail]]&lt;=15,1, Real_Sales[[#This Row],[Price_retail]]&lt;=30,2, Real_Sales[[#This Row],[Price_retail]]&lt;=50,3,Real_Sales[[#This Row],[Price_retail]]&gt;50,4)</f>
        <v>1</v>
      </c>
    </row>
    <row r="301" spans="1:26" x14ac:dyDescent="0.35">
      <c r="A301" s="2" t="s">
        <v>3308</v>
      </c>
      <c r="B301" s="2" t="s">
        <v>3309</v>
      </c>
      <c r="C301" s="2" t="s">
        <v>423</v>
      </c>
      <c r="D301" s="2" t="s">
        <v>376</v>
      </c>
      <c r="E301" s="2" t="s">
        <v>4</v>
      </c>
      <c r="F301" s="2" t="s">
        <v>17</v>
      </c>
      <c r="G301" s="2" t="s">
        <v>67</v>
      </c>
      <c r="H301" s="2" t="s">
        <v>168</v>
      </c>
      <c r="I301" s="2" t="s">
        <v>3393</v>
      </c>
      <c r="J301" s="3">
        <v>11.78</v>
      </c>
      <c r="K301" s="3">
        <v>11.78</v>
      </c>
      <c r="L301" s="2" t="s">
        <v>3391</v>
      </c>
      <c r="M301" s="2" t="s">
        <v>9</v>
      </c>
      <c r="N301" s="3">
        <v>889</v>
      </c>
      <c r="O301" s="2" t="s">
        <v>52</v>
      </c>
      <c r="P301" s="2" t="s">
        <v>92</v>
      </c>
      <c r="Q301" s="3"/>
      <c r="R301" s="3"/>
      <c r="S301" s="2" t="s">
        <v>21</v>
      </c>
      <c r="T301" s="4">
        <v>44955</v>
      </c>
      <c r="U301" s="2" t="s">
        <v>3310</v>
      </c>
      <c r="V301" s="6">
        <f>(Real_Sales[[#This Row],[Price_retail]]-Real_Sales[[#This Row],[Price_current]])/Real_Sales[[#This Row],[Price_retail]]</f>
        <v>0</v>
      </c>
      <c r="W301" s="3" t="str" cm="1">
        <f t="array" ref="W3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01" s="2" t="str">
        <f>IF(Real_Sales[[#This Row],[Price_retail]]&gt;$AC$3,"Premium","Average")</f>
        <v>Average</v>
      </c>
      <c r="Y301" s="2" t="str">
        <f>IF(ISNUMBER(SEARCH("Basic",Real_Sales[[#This Row],[Product_name]])),"Yes","No")</f>
        <v>Yes</v>
      </c>
      <c r="Z301" s="2" cm="1">
        <f t="array" ref="Z301">_xlfn.IFS(Real_Sales[[#This Row],[Price_retail]]&lt;=15,1, Real_Sales[[#This Row],[Price_retail]]&lt;=30,2, Real_Sales[[#This Row],[Price_retail]]&lt;=50,3,Real_Sales[[#This Row],[Price_retail]]&gt;50,4)</f>
        <v>1</v>
      </c>
    </row>
    <row r="302" spans="1:26" x14ac:dyDescent="0.35">
      <c r="A302" s="2" t="s">
        <v>3110</v>
      </c>
      <c r="B302" s="2" t="s">
        <v>3111</v>
      </c>
      <c r="C302" s="2" t="s">
        <v>383</v>
      </c>
      <c r="D302" s="2" t="s">
        <v>686</v>
      </c>
      <c r="E302" s="2" t="s">
        <v>4</v>
      </c>
      <c r="F302" s="2" t="s">
        <v>5</v>
      </c>
      <c r="G302" s="2" t="s">
        <v>6</v>
      </c>
      <c r="H302" s="2" t="s">
        <v>7</v>
      </c>
      <c r="I302" s="2" t="s">
        <v>3393</v>
      </c>
      <c r="J302" s="3">
        <v>11.8</v>
      </c>
      <c r="K302" s="3">
        <v>6.7</v>
      </c>
      <c r="L302" s="2" t="s">
        <v>8</v>
      </c>
      <c r="M302" s="2" t="s">
        <v>9</v>
      </c>
      <c r="N302" s="3">
        <v>824</v>
      </c>
      <c r="O302" s="2" t="s">
        <v>302</v>
      </c>
      <c r="P302" s="2" t="s">
        <v>53</v>
      </c>
      <c r="Q302" s="3"/>
      <c r="R302" s="3"/>
      <c r="S302" s="2" t="s">
        <v>21</v>
      </c>
      <c r="T302" s="4">
        <v>44955</v>
      </c>
      <c r="U302" s="2" t="s">
        <v>3112</v>
      </c>
      <c r="V302" s="6">
        <f>(Real_Sales[[#This Row],[Price_retail]]-Real_Sales[[#This Row],[Price_current]])/Real_Sales[[#This Row],[Price_retail]]</f>
        <v>0.43220338983050849</v>
      </c>
      <c r="W302" s="3" t="str" cm="1">
        <f t="array" ref="W30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02" s="2" t="str">
        <f>IF(Real_Sales[[#This Row],[Price_retail]]&gt;$AC$3,"Premium","Average")</f>
        <v>Average</v>
      </c>
      <c r="Y302" s="2" t="str">
        <f>IF(ISNUMBER(SEARCH("Basic",Real_Sales[[#This Row],[Product_name]])),"Yes","No")</f>
        <v>No</v>
      </c>
      <c r="Z302" s="2" cm="1">
        <f t="array" ref="Z302">_xlfn.IFS(Real_Sales[[#This Row],[Price_retail]]&lt;=15,1, Real_Sales[[#This Row],[Price_retail]]&lt;=30,2, Real_Sales[[#This Row],[Price_retail]]&lt;=50,3,Real_Sales[[#This Row],[Price_retail]]&gt;50,4)</f>
        <v>1</v>
      </c>
    </row>
    <row r="303" spans="1:26" x14ac:dyDescent="0.35">
      <c r="A303" s="2" t="s">
        <v>2514</v>
      </c>
      <c r="B303" s="2" t="s">
        <v>2515</v>
      </c>
      <c r="C303" s="2" t="s">
        <v>3420</v>
      </c>
      <c r="D303" s="2" t="s">
        <v>474</v>
      </c>
      <c r="E303" s="2" t="s">
        <v>4</v>
      </c>
      <c r="F303" s="2" t="s">
        <v>17</v>
      </c>
      <c r="G303" s="2" t="s">
        <v>50</v>
      </c>
      <c r="H303" s="2" t="s">
        <v>83</v>
      </c>
      <c r="I303" s="2" t="s">
        <v>3393</v>
      </c>
      <c r="J303" s="3">
        <v>11.81</v>
      </c>
      <c r="K303" s="3">
        <v>11.81</v>
      </c>
      <c r="L303" s="2" t="s">
        <v>3391</v>
      </c>
      <c r="M303" s="2" t="s">
        <v>9</v>
      </c>
      <c r="N303" s="3">
        <v>716</v>
      </c>
      <c r="O303" s="2" t="s">
        <v>267</v>
      </c>
      <c r="P303" s="2" t="s">
        <v>37</v>
      </c>
      <c r="Q303" s="3"/>
      <c r="R303" s="3"/>
      <c r="S303" s="2" t="s">
        <v>21</v>
      </c>
      <c r="T303" s="4">
        <v>44955</v>
      </c>
      <c r="U303" s="2" t="s">
        <v>2516</v>
      </c>
      <c r="V303" s="6">
        <f>(Real_Sales[[#This Row],[Price_retail]]-Real_Sales[[#This Row],[Price_current]])/Real_Sales[[#This Row],[Price_retail]]</f>
        <v>0</v>
      </c>
      <c r="W303" s="3" t="str" cm="1">
        <f t="array" ref="W3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03" s="2" t="str">
        <f>IF(Real_Sales[[#This Row],[Price_retail]]&gt;$AC$3,"Premium","Average")</f>
        <v>Average</v>
      </c>
      <c r="Y303" s="2" t="str">
        <f>IF(ISNUMBER(SEARCH("Basic",Real_Sales[[#This Row],[Product_name]])),"Yes","No")</f>
        <v>No</v>
      </c>
      <c r="Z303" s="2" cm="1">
        <f t="array" ref="Z303">_xlfn.IFS(Real_Sales[[#This Row],[Price_retail]]&lt;=15,1, Real_Sales[[#This Row],[Price_retail]]&lt;=30,2, Real_Sales[[#This Row],[Price_retail]]&lt;=50,3,Real_Sales[[#This Row],[Price_retail]]&gt;50,4)</f>
        <v>1</v>
      </c>
    </row>
    <row r="304" spans="1:26" x14ac:dyDescent="0.35">
      <c r="A304" s="2" t="s">
        <v>2240</v>
      </c>
      <c r="B304" s="2" t="s">
        <v>2241</v>
      </c>
      <c r="C304" s="2" t="s">
        <v>126</v>
      </c>
      <c r="D304" s="2" t="s">
        <v>3427</v>
      </c>
      <c r="E304" s="2" t="s">
        <v>4</v>
      </c>
      <c r="F304" s="2" t="s">
        <v>17</v>
      </c>
      <c r="G304" s="2" t="s">
        <v>18</v>
      </c>
      <c r="H304" s="2" t="s">
        <v>139</v>
      </c>
      <c r="I304" s="2" t="s">
        <v>3395</v>
      </c>
      <c r="J304" s="3">
        <v>11.83</v>
      </c>
      <c r="K304" s="3">
        <v>7.35</v>
      </c>
      <c r="L304" s="2" t="s">
        <v>8</v>
      </c>
      <c r="M304" s="2" t="s">
        <v>9</v>
      </c>
      <c r="N304" s="3">
        <v>902</v>
      </c>
      <c r="O304" s="2" t="s">
        <v>302</v>
      </c>
      <c r="P304" s="2" t="s">
        <v>238</v>
      </c>
      <c r="Q304" s="3"/>
      <c r="R304" s="3"/>
      <c r="S304" s="2" t="s">
        <v>21</v>
      </c>
      <c r="T304" s="4">
        <v>44955</v>
      </c>
      <c r="U304" s="2" t="s">
        <v>2242</v>
      </c>
      <c r="V304" s="6">
        <f>(Real_Sales[[#This Row],[Price_retail]]-Real_Sales[[#This Row],[Price_current]])/Real_Sales[[#This Row],[Price_retail]]</f>
        <v>0.37869822485207105</v>
      </c>
      <c r="W304" s="3" t="str" cm="1">
        <f t="array" ref="W30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04" s="2" t="str">
        <f>IF(Real_Sales[[#This Row],[Price_retail]]&gt;$AC$3,"Premium","Average")</f>
        <v>Average</v>
      </c>
      <c r="Y304" s="2" t="str">
        <f>IF(ISNUMBER(SEARCH("Basic",Real_Sales[[#This Row],[Product_name]])),"Yes","No")</f>
        <v>No</v>
      </c>
      <c r="Z304" s="2" cm="1">
        <f t="array" ref="Z304">_xlfn.IFS(Real_Sales[[#This Row],[Price_retail]]&lt;=15,1, Real_Sales[[#This Row],[Price_retail]]&lt;=30,2, Real_Sales[[#This Row],[Price_retail]]&lt;=50,3,Real_Sales[[#This Row],[Price_retail]]&gt;50,4)</f>
        <v>1</v>
      </c>
    </row>
    <row r="305" spans="1:26" x14ac:dyDescent="0.35">
      <c r="A305" s="2" t="s">
        <v>1566</v>
      </c>
      <c r="B305" s="2" t="s">
        <v>1567</v>
      </c>
      <c r="C305" s="2" t="s">
        <v>3413</v>
      </c>
      <c r="D305" s="2" t="s">
        <v>1482</v>
      </c>
      <c r="E305" s="2" t="s">
        <v>4</v>
      </c>
      <c r="F305" s="2" t="s">
        <v>17</v>
      </c>
      <c r="G305" s="2" t="s">
        <v>50</v>
      </c>
      <c r="H305" s="2" t="s">
        <v>185</v>
      </c>
      <c r="I305" s="2" t="s">
        <v>3390</v>
      </c>
      <c r="J305" s="3">
        <v>11.83</v>
      </c>
      <c r="K305" s="3">
        <v>9.6300000000000008</v>
      </c>
      <c r="L305" s="2" t="s">
        <v>8</v>
      </c>
      <c r="M305" s="2" t="s">
        <v>9</v>
      </c>
      <c r="N305" s="3">
        <v>577</v>
      </c>
      <c r="O305" s="2" t="s">
        <v>359</v>
      </c>
      <c r="P305" s="2" t="s">
        <v>192</v>
      </c>
      <c r="Q305" s="3"/>
      <c r="R305" s="3"/>
      <c r="S305" s="2" t="s">
        <v>21</v>
      </c>
      <c r="T305" s="4">
        <v>44955</v>
      </c>
      <c r="U305" s="2" t="s">
        <v>1568</v>
      </c>
      <c r="V305" s="6">
        <f>(Real_Sales[[#This Row],[Price_retail]]-Real_Sales[[#This Row],[Price_current]])/Real_Sales[[#This Row],[Price_retail]]</f>
        <v>0.18596787827557051</v>
      </c>
      <c r="W305" s="3" t="str" cm="1">
        <f t="array" ref="W30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05" s="2" t="str">
        <f>IF(Real_Sales[[#This Row],[Price_retail]]&gt;$AC$3,"Premium","Average")</f>
        <v>Average</v>
      </c>
      <c r="Y305" s="2" t="str">
        <f>IF(ISNUMBER(SEARCH("Basic",Real_Sales[[#This Row],[Product_name]])),"Yes","No")</f>
        <v>No</v>
      </c>
      <c r="Z305" s="2" cm="1">
        <f t="array" ref="Z305">_xlfn.IFS(Real_Sales[[#This Row],[Price_retail]]&lt;=15,1, Real_Sales[[#This Row],[Price_retail]]&lt;=30,2, Real_Sales[[#This Row],[Price_retail]]&lt;=50,3,Real_Sales[[#This Row],[Price_retail]]&gt;50,4)</f>
        <v>1</v>
      </c>
    </row>
    <row r="306" spans="1:26" x14ac:dyDescent="0.35">
      <c r="A306" s="2" t="s">
        <v>595</v>
      </c>
      <c r="B306" s="2" t="s">
        <v>596</v>
      </c>
      <c r="C306" s="2" t="s">
        <v>454</v>
      </c>
      <c r="D306" s="2" t="s">
        <v>470</v>
      </c>
      <c r="E306" s="2" t="s">
        <v>4</v>
      </c>
      <c r="F306" s="2" t="s">
        <v>17</v>
      </c>
      <c r="G306" s="2" t="s">
        <v>50</v>
      </c>
      <c r="H306" s="2" t="s">
        <v>185</v>
      </c>
      <c r="I306" s="2" t="s">
        <v>3389</v>
      </c>
      <c r="J306" s="3">
        <v>11.86</v>
      </c>
      <c r="K306" s="3">
        <v>8.64</v>
      </c>
      <c r="L306" s="2" t="s">
        <v>8</v>
      </c>
      <c r="M306" s="2" t="s">
        <v>9</v>
      </c>
      <c r="N306" s="3">
        <v>632</v>
      </c>
      <c r="O306" s="2" t="s">
        <v>3392</v>
      </c>
      <c r="P306" s="2" t="s">
        <v>169</v>
      </c>
      <c r="Q306" s="3"/>
      <c r="R306" s="3"/>
      <c r="S306" s="2" t="s">
        <v>12</v>
      </c>
      <c r="T306" s="4">
        <v>44955</v>
      </c>
      <c r="U306" s="2" t="s">
        <v>597</v>
      </c>
      <c r="V306" s="6">
        <f>(Real_Sales[[#This Row],[Price_retail]]-Real_Sales[[#This Row],[Price_current]])/Real_Sales[[#This Row],[Price_retail]]</f>
        <v>0.27150084317032031</v>
      </c>
      <c r="W306" s="3" t="str" cm="1">
        <f t="array" ref="W30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06" s="2" t="str">
        <f>IF(Real_Sales[[#This Row],[Price_retail]]&gt;$AC$3,"Premium","Average")</f>
        <v>Average</v>
      </c>
      <c r="Y306" s="2" t="str">
        <f>IF(ISNUMBER(SEARCH("Basic",Real_Sales[[#This Row],[Product_name]])),"Yes","No")</f>
        <v>No</v>
      </c>
      <c r="Z306" s="2" cm="1">
        <f t="array" ref="Z306">_xlfn.IFS(Real_Sales[[#This Row],[Price_retail]]&lt;=15,1, Real_Sales[[#This Row],[Price_retail]]&lt;=30,2, Real_Sales[[#This Row],[Price_retail]]&lt;=50,3,Real_Sales[[#This Row],[Price_retail]]&gt;50,4)</f>
        <v>1</v>
      </c>
    </row>
    <row r="307" spans="1:26" x14ac:dyDescent="0.35">
      <c r="A307" s="2" t="s">
        <v>2008</v>
      </c>
      <c r="B307" s="2" t="s">
        <v>2009</v>
      </c>
      <c r="C307" s="2" t="s">
        <v>616</v>
      </c>
      <c r="D307" s="2" t="s">
        <v>346</v>
      </c>
      <c r="E307" s="2" t="s">
        <v>4</v>
      </c>
      <c r="F307" s="2" t="s">
        <v>5</v>
      </c>
      <c r="G307" s="2" t="s">
        <v>6</v>
      </c>
      <c r="H307" s="2" t="s">
        <v>110</v>
      </c>
      <c r="I307" s="2" t="s">
        <v>3393</v>
      </c>
      <c r="J307" s="3">
        <v>11.89</v>
      </c>
      <c r="K307" s="3">
        <v>11.89</v>
      </c>
      <c r="L307" s="2" t="s">
        <v>3391</v>
      </c>
      <c r="M307" s="2" t="s">
        <v>9</v>
      </c>
      <c r="N307" s="3">
        <v>787</v>
      </c>
      <c r="O307" s="2" t="s">
        <v>29</v>
      </c>
      <c r="P307" s="2" t="s">
        <v>37</v>
      </c>
      <c r="Q307" s="3"/>
      <c r="R307" s="3"/>
      <c r="S307" s="2" t="s">
        <v>21</v>
      </c>
      <c r="T307" s="4">
        <v>44955</v>
      </c>
      <c r="U307" s="2" t="s">
        <v>2010</v>
      </c>
      <c r="V307" s="6">
        <f>(Real_Sales[[#This Row],[Price_retail]]-Real_Sales[[#This Row],[Price_current]])/Real_Sales[[#This Row],[Price_retail]]</f>
        <v>0</v>
      </c>
      <c r="W307" s="3" t="str" cm="1">
        <f t="array" ref="W30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07" s="2" t="str">
        <f>IF(Real_Sales[[#This Row],[Price_retail]]&gt;$AC$3,"Premium","Average")</f>
        <v>Average</v>
      </c>
      <c r="Y307" s="2" t="str">
        <f>IF(ISNUMBER(SEARCH("Basic",Real_Sales[[#This Row],[Product_name]])),"Yes","No")</f>
        <v>No</v>
      </c>
      <c r="Z307" s="2" cm="1">
        <f t="array" ref="Z307">_xlfn.IFS(Real_Sales[[#This Row],[Price_retail]]&lt;=15,1, Real_Sales[[#This Row],[Price_retail]]&lt;=30,2, Real_Sales[[#This Row],[Price_retail]]&lt;=50,3,Real_Sales[[#This Row],[Price_retail]]&gt;50,4)</f>
        <v>1</v>
      </c>
    </row>
    <row r="308" spans="1:26" x14ac:dyDescent="0.35">
      <c r="A308" s="2" t="s">
        <v>2770</v>
      </c>
      <c r="B308" s="2" t="s">
        <v>2771</v>
      </c>
      <c r="C308" s="2" t="s">
        <v>3423</v>
      </c>
      <c r="D308" s="2" t="s">
        <v>474</v>
      </c>
      <c r="E308" s="2" t="s">
        <v>4</v>
      </c>
      <c r="F308" s="2" t="s">
        <v>17</v>
      </c>
      <c r="G308" s="2" t="s">
        <v>18</v>
      </c>
      <c r="H308" s="2" t="s">
        <v>83</v>
      </c>
      <c r="I308" s="2" t="s">
        <v>3393</v>
      </c>
      <c r="J308" s="3">
        <v>11.92</v>
      </c>
      <c r="K308" s="3">
        <v>7.14</v>
      </c>
      <c r="L308" s="2" t="s">
        <v>8</v>
      </c>
      <c r="M308" s="2" t="s">
        <v>9</v>
      </c>
      <c r="N308" s="3">
        <v>202</v>
      </c>
      <c r="O308" s="2" t="s">
        <v>69</v>
      </c>
      <c r="P308" s="2" t="s">
        <v>76</v>
      </c>
      <c r="Q308" s="3"/>
      <c r="R308" s="3"/>
      <c r="S308" s="2" t="s">
        <v>21</v>
      </c>
      <c r="T308" s="4">
        <v>44955</v>
      </c>
      <c r="U308" s="2" t="s">
        <v>2772</v>
      </c>
      <c r="V308" s="6">
        <f>(Real_Sales[[#This Row],[Price_retail]]-Real_Sales[[#This Row],[Price_current]])/Real_Sales[[#This Row],[Price_retail]]</f>
        <v>0.40100671140939598</v>
      </c>
      <c r="W308" s="3" t="str" cm="1">
        <f t="array" ref="W30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08" s="2" t="str">
        <f>IF(Real_Sales[[#This Row],[Price_retail]]&gt;$AC$3,"Premium","Average")</f>
        <v>Average</v>
      </c>
      <c r="Y308" s="2" t="str">
        <f>IF(ISNUMBER(SEARCH("Basic",Real_Sales[[#This Row],[Product_name]])),"Yes","No")</f>
        <v>No</v>
      </c>
      <c r="Z308" s="2" cm="1">
        <f t="array" ref="Z308">_xlfn.IFS(Real_Sales[[#This Row],[Price_retail]]&lt;=15,1, Real_Sales[[#This Row],[Price_retail]]&lt;=30,2, Real_Sales[[#This Row],[Price_retail]]&lt;=50,3,Real_Sales[[#This Row],[Price_retail]]&gt;50,4)</f>
        <v>1</v>
      </c>
    </row>
    <row r="309" spans="1:26" x14ac:dyDescent="0.35">
      <c r="A309" s="2" t="s">
        <v>2307</v>
      </c>
      <c r="B309" s="2" t="s">
        <v>2308</v>
      </c>
      <c r="C309" s="2" t="s">
        <v>65</v>
      </c>
      <c r="D309" s="2" t="s">
        <v>542</v>
      </c>
      <c r="E309" s="2" t="s">
        <v>4</v>
      </c>
      <c r="F309" s="2" t="s">
        <v>17</v>
      </c>
      <c r="G309" s="2" t="s">
        <v>67</v>
      </c>
      <c r="H309" s="2"/>
      <c r="I309" s="2" t="s">
        <v>3389</v>
      </c>
      <c r="J309" s="3">
        <v>11.92</v>
      </c>
      <c r="K309" s="3">
        <v>11.92</v>
      </c>
      <c r="L309" s="2" t="s">
        <v>3391</v>
      </c>
      <c r="M309" s="2" t="s">
        <v>9</v>
      </c>
      <c r="N309" s="3">
        <v>802</v>
      </c>
      <c r="O309" s="2" t="s">
        <v>261</v>
      </c>
      <c r="P309" s="2" t="s">
        <v>186</v>
      </c>
      <c r="Q309" s="3"/>
      <c r="R309" s="3"/>
      <c r="S309" s="2" t="s">
        <v>21</v>
      </c>
      <c r="T309" s="4">
        <v>44955</v>
      </c>
      <c r="U309" s="2" t="s">
        <v>2309</v>
      </c>
      <c r="V309" s="6">
        <f>(Real_Sales[[#This Row],[Price_retail]]-Real_Sales[[#This Row],[Price_current]])/Real_Sales[[#This Row],[Price_retail]]</f>
        <v>0</v>
      </c>
      <c r="W309" s="3" t="str" cm="1">
        <f t="array" ref="W3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09" s="2" t="str">
        <f>IF(Real_Sales[[#This Row],[Price_retail]]&gt;$AC$3,"Premium","Average")</f>
        <v>Average</v>
      </c>
      <c r="Y309" s="2" t="str">
        <f>IF(ISNUMBER(SEARCH("Basic",Real_Sales[[#This Row],[Product_name]])),"Yes","No")</f>
        <v>No</v>
      </c>
      <c r="Z309" s="2" cm="1">
        <f t="array" ref="Z309">_xlfn.IFS(Real_Sales[[#This Row],[Price_retail]]&lt;=15,1, Real_Sales[[#This Row],[Price_retail]]&lt;=30,2, Real_Sales[[#This Row],[Price_retail]]&lt;=50,3,Real_Sales[[#This Row],[Price_retail]]&gt;50,4)</f>
        <v>1</v>
      </c>
    </row>
    <row r="310" spans="1:26" x14ac:dyDescent="0.35">
      <c r="A310" s="2" t="s">
        <v>2986</v>
      </c>
      <c r="B310" s="2" t="s">
        <v>2987</v>
      </c>
      <c r="C310" s="2" t="s">
        <v>1468</v>
      </c>
      <c r="D310" s="2" t="s">
        <v>181</v>
      </c>
      <c r="E310" s="2" t="s">
        <v>4</v>
      </c>
      <c r="F310" s="2" t="s">
        <v>5</v>
      </c>
      <c r="G310" s="2" t="s">
        <v>6</v>
      </c>
      <c r="H310" s="2" t="s">
        <v>68</v>
      </c>
      <c r="I310" s="2" t="s">
        <v>3390</v>
      </c>
      <c r="J310" s="3">
        <v>11.93</v>
      </c>
      <c r="K310" s="3">
        <v>5.46</v>
      </c>
      <c r="L310" s="2" t="s">
        <v>8</v>
      </c>
      <c r="M310" s="2" t="s">
        <v>9</v>
      </c>
      <c r="N310" s="3">
        <v>283</v>
      </c>
      <c r="O310" s="2" t="s">
        <v>91</v>
      </c>
      <c r="P310" s="2" t="s">
        <v>2988</v>
      </c>
      <c r="Q310" s="3"/>
      <c r="R310" s="3"/>
      <c r="S310" s="2" t="s">
        <v>21</v>
      </c>
      <c r="T310" s="4">
        <v>44955</v>
      </c>
      <c r="U310" s="2" t="s">
        <v>2989</v>
      </c>
      <c r="V310" s="6">
        <f>(Real_Sales[[#This Row],[Price_retail]]-Real_Sales[[#This Row],[Price_current]])/Real_Sales[[#This Row],[Price_retail]]</f>
        <v>0.54233025984911987</v>
      </c>
      <c r="W310" s="3" t="str" cm="1">
        <f t="array" ref="W310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310" s="2" t="str">
        <f>IF(Real_Sales[[#This Row],[Price_retail]]&gt;$AC$3,"Premium","Average")</f>
        <v>Average</v>
      </c>
      <c r="Y310" s="2" t="str">
        <f>IF(ISNUMBER(SEARCH("Basic",Real_Sales[[#This Row],[Product_name]])),"Yes","No")</f>
        <v>No</v>
      </c>
      <c r="Z310" s="2" cm="1">
        <f t="array" ref="Z310">_xlfn.IFS(Real_Sales[[#This Row],[Price_retail]]&lt;=15,1, Real_Sales[[#This Row],[Price_retail]]&lt;=30,2, Real_Sales[[#This Row],[Price_retail]]&lt;=50,3,Real_Sales[[#This Row],[Price_retail]]&gt;50,4)</f>
        <v>1</v>
      </c>
    </row>
    <row r="311" spans="1:26" x14ac:dyDescent="0.35">
      <c r="A311" s="2" t="s">
        <v>1201</v>
      </c>
      <c r="B311" s="2" t="s">
        <v>1202</v>
      </c>
      <c r="C311" s="2" t="s">
        <v>3400</v>
      </c>
      <c r="D311" s="2" t="s">
        <v>1011</v>
      </c>
      <c r="E311" s="2" t="s">
        <v>4</v>
      </c>
      <c r="F311" s="2" t="s">
        <v>17</v>
      </c>
      <c r="G311" s="2" t="s">
        <v>50</v>
      </c>
      <c r="H311" s="2" t="s">
        <v>68</v>
      </c>
      <c r="I311" s="2" t="s">
        <v>3390</v>
      </c>
      <c r="J311" s="3">
        <v>11.95</v>
      </c>
      <c r="K311" s="3">
        <v>11.95</v>
      </c>
      <c r="L311" s="2" t="s">
        <v>3391</v>
      </c>
      <c r="M311" s="2" t="s">
        <v>9</v>
      </c>
      <c r="N311" s="3">
        <v>292</v>
      </c>
      <c r="O311" s="2" t="s">
        <v>347</v>
      </c>
      <c r="P311" s="2" t="s">
        <v>238</v>
      </c>
      <c r="Q311" s="3"/>
      <c r="R311" s="3"/>
      <c r="S311" s="2" t="s">
        <v>12</v>
      </c>
      <c r="T311" s="4">
        <v>44955</v>
      </c>
      <c r="U311" s="2" t="s">
        <v>1203</v>
      </c>
      <c r="V311" s="6">
        <f>(Real_Sales[[#This Row],[Price_retail]]-Real_Sales[[#This Row],[Price_current]])/Real_Sales[[#This Row],[Price_retail]]</f>
        <v>0</v>
      </c>
      <c r="W311" s="3" t="str" cm="1">
        <f t="array" ref="W3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11" s="2" t="str">
        <f>IF(Real_Sales[[#This Row],[Price_retail]]&gt;$AC$3,"Premium","Average")</f>
        <v>Average</v>
      </c>
      <c r="Y311" s="2" t="str">
        <f>IF(ISNUMBER(SEARCH("Basic",Real_Sales[[#This Row],[Product_name]])),"Yes","No")</f>
        <v>No</v>
      </c>
      <c r="Z311" s="2" cm="1">
        <f t="array" ref="Z311">_xlfn.IFS(Real_Sales[[#This Row],[Price_retail]]&lt;=15,1, Real_Sales[[#This Row],[Price_retail]]&lt;=30,2, Real_Sales[[#This Row],[Price_retail]]&lt;=50,3,Real_Sales[[#This Row],[Price_retail]]&gt;50,4)</f>
        <v>1</v>
      </c>
    </row>
    <row r="312" spans="1:26" x14ac:dyDescent="0.35">
      <c r="A312" s="2" t="s">
        <v>1287</v>
      </c>
      <c r="B312" s="2" t="s">
        <v>1288</v>
      </c>
      <c r="C312" s="2" t="s">
        <v>750</v>
      </c>
      <c r="D312" s="2" t="s">
        <v>127</v>
      </c>
      <c r="E312" s="2" t="s">
        <v>4</v>
      </c>
      <c r="F312" s="2" t="s">
        <v>5</v>
      </c>
      <c r="G312" s="2" t="s">
        <v>82</v>
      </c>
      <c r="H312" s="2" t="s">
        <v>110</v>
      </c>
      <c r="I312" s="2" t="s">
        <v>3393</v>
      </c>
      <c r="J312" s="3">
        <v>11.95</v>
      </c>
      <c r="K312" s="3">
        <v>11.95</v>
      </c>
      <c r="L312" s="2" t="s">
        <v>3391</v>
      </c>
      <c r="M312" s="2" t="s">
        <v>9</v>
      </c>
      <c r="N312" s="3">
        <v>120</v>
      </c>
      <c r="O312" s="2" t="s">
        <v>287</v>
      </c>
      <c r="P312" s="2" t="s">
        <v>37</v>
      </c>
      <c r="Q312" s="3"/>
      <c r="R312" s="3"/>
      <c r="S312" s="2" t="s">
        <v>21</v>
      </c>
      <c r="T312" s="4">
        <v>44955</v>
      </c>
      <c r="U312" s="2" t="s">
        <v>1289</v>
      </c>
      <c r="V312" s="6">
        <f>(Real_Sales[[#This Row],[Price_retail]]-Real_Sales[[#This Row],[Price_current]])/Real_Sales[[#This Row],[Price_retail]]</f>
        <v>0</v>
      </c>
      <c r="W312" s="3" t="str" cm="1">
        <f t="array" ref="W31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12" s="2" t="str">
        <f>IF(Real_Sales[[#This Row],[Price_retail]]&gt;$AC$3,"Premium","Average")</f>
        <v>Average</v>
      </c>
      <c r="Y312" s="2" t="str">
        <f>IF(ISNUMBER(SEARCH("Basic",Real_Sales[[#This Row],[Product_name]])),"Yes","No")</f>
        <v>No</v>
      </c>
      <c r="Z312" s="2" cm="1">
        <f t="array" ref="Z312">_xlfn.IFS(Real_Sales[[#This Row],[Price_retail]]&lt;=15,1, Real_Sales[[#This Row],[Price_retail]]&lt;=30,2, Real_Sales[[#This Row],[Price_retail]]&lt;=50,3,Real_Sales[[#This Row],[Price_retail]]&gt;50,4)</f>
        <v>1</v>
      </c>
    </row>
    <row r="313" spans="1:26" x14ac:dyDescent="0.35">
      <c r="A313" s="2" t="s">
        <v>3281</v>
      </c>
      <c r="B313" s="2" t="s">
        <v>3282</v>
      </c>
      <c r="C313" s="2" t="s">
        <v>3414</v>
      </c>
      <c r="D313" s="2" t="s">
        <v>327</v>
      </c>
      <c r="E313" s="2" t="s">
        <v>4</v>
      </c>
      <c r="F313" s="2" t="s">
        <v>5</v>
      </c>
      <c r="G313" s="2" t="s">
        <v>121</v>
      </c>
      <c r="H313" s="2" t="s">
        <v>110</v>
      </c>
      <c r="I313" s="2" t="s">
        <v>3393</v>
      </c>
      <c r="J313" s="3">
        <v>11.95</v>
      </c>
      <c r="K313" s="3">
        <v>11.95</v>
      </c>
      <c r="L313" s="2" t="s">
        <v>3391</v>
      </c>
      <c r="M313" s="2" t="s">
        <v>9</v>
      </c>
      <c r="N313" s="3">
        <v>438</v>
      </c>
      <c r="O313" s="2" t="s">
        <v>20</v>
      </c>
      <c r="P313" s="2" t="s">
        <v>44</v>
      </c>
      <c r="Q313" s="3"/>
      <c r="R313" s="3"/>
      <c r="S313" s="2" t="s">
        <v>21</v>
      </c>
      <c r="T313" s="4">
        <v>44955</v>
      </c>
      <c r="U313" s="2" t="s">
        <v>3283</v>
      </c>
      <c r="V313" s="6">
        <f>(Real_Sales[[#This Row],[Price_retail]]-Real_Sales[[#This Row],[Price_current]])/Real_Sales[[#This Row],[Price_retail]]</f>
        <v>0</v>
      </c>
      <c r="W313" s="3" t="str" cm="1">
        <f t="array" ref="W31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13" s="2" t="str">
        <f>IF(Real_Sales[[#This Row],[Price_retail]]&gt;$AC$3,"Premium","Average")</f>
        <v>Average</v>
      </c>
      <c r="Y313" s="2" t="str">
        <f>IF(ISNUMBER(SEARCH("Basic",Real_Sales[[#This Row],[Product_name]])),"Yes","No")</f>
        <v>No</v>
      </c>
      <c r="Z313" s="2" cm="1">
        <f t="array" ref="Z313">_xlfn.IFS(Real_Sales[[#This Row],[Price_retail]]&lt;=15,1, Real_Sales[[#This Row],[Price_retail]]&lt;=30,2, Real_Sales[[#This Row],[Price_retail]]&lt;=50,3,Real_Sales[[#This Row],[Price_retail]]&gt;50,4)</f>
        <v>1</v>
      </c>
    </row>
    <row r="314" spans="1:26" x14ac:dyDescent="0.35">
      <c r="A314" s="2" t="s">
        <v>918</v>
      </c>
      <c r="B314" s="2" t="s">
        <v>919</v>
      </c>
      <c r="C314" s="2" t="s">
        <v>3394</v>
      </c>
      <c r="D314" s="2" t="s">
        <v>138</v>
      </c>
      <c r="E314" s="2" t="s">
        <v>4</v>
      </c>
      <c r="F314" s="2" t="s">
        <v>5</v>
      </c>
      <c r="G314" s="2" t="s">
        <v>82</v>
      </c>
      <c r="H314" s="2" t="s">
        <v>139</v>
      </c>
      <c r="I314" s="2" t="s">
        <v>3395</v>
      </c>
      <c r="J314" s="3">
        <v>11.98</v>
      </c>
      <c r="K314" s="3">
        <v>5.86</v>
      </c>
      <c r="L314" s="2" t="s">
        <v>8</v>
      </c>
      <c r="M314" s="2" t="s">
        <v>9</v>
      </c>
      <c r="N314" s="3">
        <v>178</v>
      </c>
      <c r="O314" s="2" t="s">
        <v>10</v>
      </c>
      <c r="P314" s="2" t="s">
        <v>186</v>
      </c>
      <c r="Q314" s="3"/>
      <c r="R314" s="3"/>
      <c r="S314" s="2" t="s">
        <v>21</v>
      </c>
      <c r="T314" s="4">
        <v>44955</v>
      </c>
      <c r="U314" s="2" t="s">
        <v>920</v>
      </c>
      <c r="V314" s="6">
        <f>(Real_Sales[[#This Row],[Price_retail]]-Real_Sales[[#This Row],[Price_current]])/Real_Sales[[#This Row],[Price_retail]]</f>
        <v>0.51085141903171949</v>
      </c>
      <c r="W314" s="3" t="str" cm="1">
        <f t="array" ref="W314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314" s="2" t="str">
        <f>IF(Real_Sales[[#This Row],[Price_retail]]&gt;$AC$3,"Premium","Average")</f>
        <v>Average</v>
      </c>
      <c r="Y314" s="2" t="str">
        <f>IF(ISNUMBER(SEARCH("Basic",Real_Sales[[#This Row],[Product_name]])),"Yes","No")</f>
        <v>Yes</v>
      </c>
      <c r="Z314" s="2" cm="1">
        <f t="array" ref="Z314">_xlfn.IFS(Real_Sales[[#This Row],[Price_retail]]&lt;=15,1, Real_Sales[[#This Row],[Price_retail]]&lt;=30,2, Real_Sales[[#This Row],[Price_retail]]&lt;=50,3,Real_Sales[[#This Row],[Price_retail]]&gt;50,4)</f>
        <v>1</v>
      </c>
    </row>
    <row r="315" spans="1:26" x14ac:dyDescent="0.35">
      <c r="A315" s="2" t="s">
        <v>2904</v>
      </c>
      <c r="B315" s="2" t="s">
        <v>2905</v>
      </c>
      <c r="C315" s="2" t="s">
        <v>3417</v>
      </c>
      <c r="D315" s="2" t="s">
        <v>2312</v>
      </c>
      <c r="E315" s="2" t="s">
        <v>4</v>
      </c>
      <c r="F315" s="2" t="s">
        <v>5</v>
      </c>
      <c r="G315" s="2" t="s">
        <v>82</v>
      </c>
      <c r="H315" s="2" t="s">
        <v>145</v>
      </c>
      <c r="I315" s="2" t="s">
        <v>3390</v>
      </c>
      <c r="J315" s="3">
        <v>11.98</v>
      </c>
      <c r="K315" s="3">
        <v>9.65</v>
      </c>
      <c r="L315" s="2" t="s">
        <v>8</v>
      </c>
      <c r="M315" s="2" t="s">
        <v>9</v>
      </c>
      <c r="N315" s="3">
        <v>853</v>
      </c>
      <c r="O315" s="2" t="s">
        <v>302</v>
      </c>
      <c r="P315" s="2" t="s">
        <v>177</v>
      </c>
      <c r="Q315" s="3"/>
      <c r="R315" s="3"/>
      <c r="S315" s="2" t="s">
        <v>12</v>
      </c>
      <c r="T315" s="4">
        <v>44955</v>
      </c>
      <c r="U315" s="2" t="s">
        <v>2906</v>
      </c>
      <c r="V315" s="6">
        <f>(Real_Sales[[#This Row],[Price_retail]]-Real_Sales[[#This Row],[Price_current]])/Real_Sales[[#This Row],[Price_retail]]</f>
        <v>0.19449081803005008</v>
      </c>
      <c r="W315" s="3" t="str" cm="1">
        <f t="array" ref="W31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15" s="2" t="str">
        <f>IF(Real_Sales[[#This Row],[Price_retail]]&gt;$AC$3,"Premium","Average")</f>
        <v>Average</v>
      </c>
      <c r="Y315" s="2" t="str">
        <f>IF(ISNUMBER(SEARCH("Basic",Real_Sales[[#This Row],[Product_name]])),"Yes","No")</f>
        <v>No</v>
      </c>
      <c r="Z315" s="2" cm="1">
        <f t="array" ref="Z315">_xlfn.IFS(Real_Sales[[#This Row],[Price_retail]]&lt;=15,1, Real_Sales[[#This Row],[Price_retail]]&lt;=30,2, Real_Sales[[#This Row],[Price_retail]]&lt;=50,3,Real_Sales[[#This Row],[Price_retail]]&gt;50,4)</f>
        <v>1</v>
      </c>
    </row>
    <row r="316" spans="1:26" x14ac:dyDescent="0.35">
      <c r="A316" s="2" t="s">
        <v>1694</v>
      </c>
      <c r="B316" s="2" t="s">
        <v>1695</v>
      </c>
      <c r="C316" s="2" t="s">
        <v>2</v>
      </c>
      <c r="D316" s="2" t="s">
        <v>66</v>
      </c>
      <c r="E316" s="2" t="s">
        <v>4</v>
      </c>
      <c r="F316" s="2" t="s">
        <v>17</v>
      </c>
      <c r="G316" s="2" t="s">
        <v>50</v>
      </c>
      <c r="H316" s="2"/>
      <c r="I316" s="2" t="s">
        <v>3390</v>
      </c>
      <c r="J316" s="3">
        <v>12</v>
      </c>
      <c r="K316" s="3">
        <v>9.83</v>
      </c>
      <c r="L316" s="2" t="s">
        <v>8</v>
      </c>
      <c r="M316" s="2" t="s">
        <v>9</v>
      </c>
      <c r="N316" s="3">
        <v>459</v>
      </c>
      <c r="O316" s="2" t="s">
        <v>261</v>
      </c>
      <c r="P316" s="2" t="s">
        <v>61</v>
      </c>
      <c r="Q316" s="3"/>
      <c r="R316" s="3"/>
      <c r="S316" s="2" t="s">
        <v>21</v>
      </c>
      <c r="T316" s="4">
        <v>44955</v>
      </c>
      <c r="U316" s="2" t="s">
        <v>1696</v>
      </c>
      <c r="V316" s="6">
        <f>(Real_Sales[[#This Row],[Price_retail]]-Real_Sales[[#This Row],[Price_current]])/Real_Sales[[#This Row],[Price_retail]]</f>
        <v>0.18083333333333332</v>
      </c>
      <c r="W316" s="3" t="str" cm="1">
        <f t="array" ref="W31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16" s="2" t="str">
        <f>IF(Real_Sales[[#This Row],[Price_retail]]&gt;$AC$3,"Premium","Average")</f>
        <v>Average</v>
      </c>
      <c r="Y316" s="2" t="str">
        <f>IF(ISNUMBER(SEARCH("Basic",Real_Sales[[#This Row],[Product_name]])),"Yes","No")</f>
        <v>Yes</v>
      </c>
      <c r="Z316" s="2" cm="1">
        <f t="array" ref="Z316">_xlfn.IFS(Real_Sales[[#This Row],[Price_retail]]&lt;=15,1, Real_Sales[[#This Row],[Price_retail]]&lt;=30,2, Real_Sales[[#This Row],[Price_retail]]&lt;=50,3,Real_Sales[[#This Row],[Price_retail]]&gt;50,4)</f>
        <v>1</v>
      </c>
    </row>
    <row r="317" spans="1:26" x14ac:dyDescent="0.35">
      <c r="A317" s="2" t="s">
        <v>1460</v>
      </c>
      <c r="B317" s="2" t="s">
        <v>1461</v>
      </c>
      <c r="C317" s="2" t="s">
        <v>108</v>
      </c>
      <c r="D317" s="2" t="s">
        <v>1184</v>
      </c>
      <c r="E317" s="2" t="s">
        <v>4</v>
      </c>
      <c r="F317" s="2" t="s">
        <v>17</v>
      </c>
      <c r="G317" s="2" t="s">
        <v>50</v>
      </c>
      <c r="H317" s="2"/>
      <c r="I317" s="2" t="s">
        <v>3390</v>
      </c>
      <c r="J317" s="3">
        <v>12.01</v>
      </c>
      <c r="K317" s="3">
        <v>12.01</v>
      </c>
      <c r="L317" s="2" t="s">
        <v>3391</v>
      </c>
      <c r="M317" s="2" t="s">
        <v>9</v>
      </c>
      <c r="N317" s="3">
        <v>886</v>
      </c>
      <c r="O317" s="2" t="s">
        <v>302</v>
      </c>
      <c r="P317" s="2" t="s">
        <v>92</v>
      </c>
      <c r="Q317" s="3"/>
      <c r="R317" s="3"/>
      <c r="S317" s="2" t="s">
        <v>21</v>
      </c>
      <c r="T317" s="4">
        <v>44955</v>
      </c>
      <c r="U317" s="2" t="s">
        <v>1462</v>
      </c>
      <c r="V317" s="6">
        <f>(Real_Sales[[#This Row],[Price_retail]]-Real_Sales[[#This Row],[Price_current]])/Real_Sales[[#This Row],[Price_retail]]</f>
        <v>0</v>
      </c>
      <c r="W317" s="3" t="str" cm="1">
        <f t="array" ref="W3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17" s="2" t="str">
        <f>IF(Real_Sales[[#This Row],[Price_retail]]&gt;$AC$3,"Premium","Average")</f>
        <v>Average</v>
      </c>
      <c r="Y317" s="2" t="str">
        <f>IF(ISNUMBER(SEARCH("Basic",Real_Sales[[#This Row],[Product_name]])),"Yes","No")</f>
        <v>No</v>
      </c>
      <c r="Z317" s="2" cm="1">
        <f t="array" ref="Z317">_xlfn.IFS(Real_Sales[[#This Row],[Price_retail]]&lt;=15,1, Real_Sales[[#This Row],[Price_retail]]&lt;=30,2, Real_Sales[[#This Row],[Price_retail]]&lt;=50,3,Real_Sales[[#This Row],[Price_retail]]&gt;50,4)</f>
        <v>1</v>
      </c>
    </row>
    <row r="318" spans="1:26" x14ac:dyDescent="0.35">
      <c r="A318" s="2" t="s">
        <v>1445</v>
      </c>
      <c r="B318" s="2" t="s">
        <v>1446</v>
      </c>
      <c r="C318" s="2" t="s">
        <v>505</v>
      </c>
      <c r="D318" s="2" t="s">
        <v>89</v>
      </c>
      <c r="E318" s="2" t="s">
        <v>4</v>
      </c>
      <c r="F318" s="2" t="s">
        <v>5</v>
      </c>
      <c r="G318" s="2" t="s">
        <v>82</v>
      </c>
      <c r="H318" s="2" t="s">
        <v>90</v>
      </c>
      <c r="I318" s="2" t="s">
        <v>3390</v>
      </c>
      <c r="J318" s="3">
        <v>12.03</v>
      </c>
      <c r="K318" s="3">
        <v>12.03</v>
      </c>
      <c r="L318" s="2" t="s">
        <v>3391</v>
      </c>
      <c r="M318" s="2" t="s">
        <v>9</v>
      </c>
      <c r="N318" s="3">
        <v>864</v>
      </c>
      <c r="O318" s="2" t="s">
        <v>302</v>
      </c>
      <c r="P318" s="2" t="s">
        <v>3392</v>
      </c>
      <c r="Q318" s="3"/>
      <c r="R318" s="3"/>
      <c r="S318" s="2" t="s">
        <v>21</v>
      </c>
      <c r="T318" s="4">
        <v>44955</v>
      </c>
      <c r="U318" s="2" t="s">
        <v>1447</v>
      </c>
      <c r="V318" s="6">
        <f>(Real_Sales[[#This Row],[Price_retail]]-Real_Sales[[#This Row],[Price_current]])/Real_Sales[[#This Row],[Price_retail]]</f>
        <v>0</v>
      </c>
      <c r="W318" s="3" t="str" cm="1">
        <f t="array" ref="W3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18" s="2" t="str">
        <f>IF(Real_Sales[[#This Row],[Price_retail]]&gt;$AC$3,"Premium","Average")</f>
        <v>Average</v>
      </c>
      <c r="Y318" s="2" t="str">
        <f>IF(ISNUMBER(SEARCH("Basic",Real_Sales[[#This Row],[Product_name]])),"Yes","No")</f>
        <v>No</v>
      </c>
      <c r="Z318" s="2" cm="1">
        <f t="array" ref="Z318">_xlfn.IFS(Real_Sales[[#This Row],[Price_retail]]&lt;=15,1, Real_Sales[[#This Row],[Price_retail]]&lt;=30,2, Real_Sales[[#This Row],[Price_retail]]&lt;=50,3,Real_Sales[[#This Row],[Price_retail]]&gt;50,4)</f>
        <v>1</v>
      </c>
    </row>
    <row r="319" spans="1:26" x14ac:dyDescent="0.35">
      <c r="A319" s="2" t="s">
        <v>1293</v>
      </c>
      <c r="B319" s="2" t="s">
        <v>1294</v>
      </c>
      <c r="C319" s="2" t="s">
        <v>333</v>
      </c>
      <c r="D319" s="2" t="s">
        <v>604</v>
      </c>
      <c r="E319" s="2" t="s">
        <v>4</v>
      </c>
      <c r="F319" s="2" t="s">
        <v>5</v>
      </c>
      <c r="G319" s="2" t="s">
        <v>121</v>
      </c>
      <c r="H319" s="2"/>
      <c r="I319" s="2" t="s">
        <v>3395</v>
      </c>
      <c r="J319" s="3">
        <v>12.04</v>
      </c>
      <c r="K319" s="3">
        <v>8.1199999999999992</v>
      </c>
      <c r="L319" s="2" t="s">
        <v>8</v>
      </c>
      <c r="M319" s="2" t="s">
        <v>9</v>
      </c>
      <c r="N319" s="3">
        <v>997</v>
      </c>
      <c r="O319" s="2" t="s">
        <v>36</v>
      </c>
      <c r="P319" s="2" t="s">
        <v>368</v>
      </c>
      <c r="Q319" s="3"/>
      <c r="R319" s="3"/>
      <c r="S319" s="2" t="s">
        <v>12</v>
      </c>
      <c r="T319" s="4">
        <v>44955</v>
      </c>
      <c r="U319" s="2" t="s">
        <v>1295</v>
      </c>
      <c r="V319" s="6">
        <f>(Real_Sales[[#This Row],[Price_retail]]-Real_Sales[[#This Row],[Price_current]])/Real_Sales[[#This Row],[Price_retail]]</f>
        <v>0.32558139534883723</v>
      </c>
      <c r="W319" s="3" t="str" cm="1">
        <f t="array" ref="W31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19" s="2" t="str">
        <f>IF(Real_Sales[[#This Row],[Price_retail]]&gt;$AC$3,"Premium","Average")</f>
        <v>Average</v>
      </c>
      <c r="Y319" s="2" t="str">
        <f>IF(ISNUMBER(SEARCH("Basic",Real_Sales[[#This Row],[Product_name]])),"Yes","No")</f>
        <v>No</v>
      </c>
      <c r="Z319" s="2" cm="1">
        <f t="array" ref="Z319">_xlfn.IFS(Real_Sales[[#This Row],[Price_retail]]&lt;=15,1, Real_Sales[[#This Row],[Price_retail]]&lt;=30,2, Real_Sales[[#This Row],[Price_retail]]&lt;=50,3,Real_Sales[[#This Row],[Price_retail]]&gt;50,4)</f>
        <v>1</v>
      </c>
    </row>
    <row r="320" spans="1:26" x14ac:dyDescent="0.35">
      <c r="A320" s="2" t="s">
        <v>756</v>
      </c>
      <c r="B320" s="2" t="s">
        <v>757</v>
      </c>
      <c r="C320" s="2" t="s">
        <v>242</v>
      </c>
      <c r="D320" s="2" t="s">
        <v>758</v>
      </c>
      <c r="E320" s="2" t="s">
        <v>4</v>
      </c>
      <c r="F320" s="2" t="s">
        <v>5</v>
      </c>
      <c r="G320" s="2" t="s">
        <v>6</v>
      </c>
      <c r="H320" s="2" t="s">
        <v>168</v>
      </c>
      <c r="I320" s="2" t="s">
        <v>3393</v>
      </c>
      <c r="J320" s="3">
        <v>12.05</v>
      </c>
      <c r="K320" s="3">
        <v>12.05</v>
      </c>
      <c r="L320" s="2" t="s">
        <v>3391</v>
      </c>
      <c r="M320" s="2" t="s">
        <v>9</v>
      </c>
      <c r="N320" s="3">
        <v>594</v>
      </c>
      <c r="O320" s="2" t="s">
        <v>20</v>
      </c>
      <c r="P320" s="2" t="s">
        <v>215</v>
      </c>
      <c r="Q320" s="3"/>
      <c r="R320" s="3"/>
      <c r="S320" s="2" t="s">
        <v>21</v>
      </c>
      <c r="T320" s="4">
        <v>44955</v>
      </c>
      <c r="U320" s="2" t="s">
        <v>759</v>
      </c>
      <c r="V320" s="6">
        <f>(Real_Sales[[#This Row],[Price_retail]]-Real_Sales[[#This Row],[Price_current]])/Real_Sales[[#This Row],[Price_retail]]</f>
        <v>0</v>
      </c>
      <c r="W320" s="3" t="str" cm="1">
        <f t="array" ref="W32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20" s="2" t="str">
        <f>IF(Real_Sales[[#This Row],[Price_retail]]&gt;$AC$3,"Premium","Average")</f>
        <v>Average</v>
      </c>
      <c r="Y320" s="2" t="str">
        <f>IF(ISNUMBER(SEARCH("Basic",Real_Sales[[#This Row],[Product_name]])),"Yes","No")</f>
        <v>No</v>
      </c>
      <c r="Z320" s="2" cm="1">
        <f t="array" ref="Z320">_xlfn.IFS(Real_Sales[[#This Row],[Price_retail]]&lt;=15,1, Real_Sales[[#This Row],[Price_retail]]&lt;=30,2, Real_Sales[[#This Row],[Price_retail]]&lt;=50,3,Real_Sales[[#This Row],[Price_retail]]&gt;50,4)</f>
        <v>1</v>
      </c>
    </row>
    <row r="321" spans="1:26" x14ac:dyDescent="0.35">
      <c r="A321" s="2" t="s">
        <v>760</v>
      </c>
      <c r="B321" s="2" t="s">
        <v>761</v>
      </c>
      <c r="C321" s="2" t="s">
        <v>242</v>
      </c>
      <c r="D321" s="2" t="s">
        <v>625</v>
      </c>
      <c r="E321" s="2" t="s">
        <v>4</v>
      </c>
      <c r="F321" s="2" t="s">
        <v>17</v>
      </c>
      <c r="G321" s="2" t="s">
        <v>27</v>
      </c>
      <c r="H321" s="2" t="s">
        <v>333</v>
      </c>
      <c r="I321" s="2" t="s">
        <v>3395</v>
      </c>
      <c r="J321" s="3">
        <v>12.12</v>
      </c>
      <c r="K321" s="3">
        <v>9.82</v>
      </c>
      <c r="L321" s="2" t="s">
        <v>8</v>
      </c>
      <c r="M321" s="2" t="s">
        <v>9</v>
      </c>
      <c r="N321" s="3">
        <v>163</v>
      </c>
      <c r="O321" s="2" t="s">
        <v>69</v>
      </c>
      <c r="P321" s="2" t="s">
        <v>70</v>
      </c>
      <c r="Q321" s="3"/>
      <c r="R321" s="3"/>
      <c r="S321" s="2" t="s">
        <v>21</v>
      </c>
      <c r="T321" s="4">
        <v>44955</v>
      </c>
      <c r="U321" s="2" t="s">
        <v>762</v>
      </c>
      <c r="V321" s="6">
        <f>(Real_Sales[[#This Row],[Price_retail]]-Real_Sales[[#This Row],[Price_current]])/Real_Sales[[#This Row],[Price_retail]]</f>
        <v>0.18976897689768971</v>
      </c>
      <c r="W321" s="3" t="str" cm="1">
        <f t="array" ref="W321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21" s="2" t="str">
        <f>IF(Real_Sales[[#This Row],[Price_retail]]&gt;$AC$3,"Premium","Average")</f>
        <v>Average</v>
      </c>
      <c r="Y321" s="2" t="str">
        <f>IF(ISNUMBER(SEARCH("Basic",Real_Sales[[#This Row],[Product_name]])),"Yes","No")</f>
        <v>No</v>
      </c>
      <c r="Z321" s="2" cm="1">
        <f t="array" ref="Z321">_xlfn.IFS(Real_Sales[[#This Row],[Price_retail]]&lt;=15,1, Real_Sales[[#This Row],[Price_retail]]&lt;=30,2, Real_Sales[[#This Row],[Price_retail]]&lt;=50,3,Real_Sales[[#This Row],[Price_retail]]&gt;50,4)</f>
        <v>1</v>
      </c>
    </row>
    <row r="322" spans="1:26" x14ac:dyDescent="0.35">
      <c r="A322" s="2" t="s">
        <v>2865</v>
      </c>
      <c r="B322" s="2" t="s">
        <v>2866</v>
      </c>
      <c r="C322" s="2" t="s">
        <v>1242</v>
      </c>
      <c r="D322" s="2" t="s">
        <v>1602</v>
      </c>
      <c r="E322" s="2" t="s">
        <v>4</v>
      </c>
      <c r="F322" s="2" t="s">
        <v>5</v>
      </c>
      <c r="G322" s="2" t="s">
        <v>6</v>
      </c>
      <c r="H322" s="2" t="s">
        <v>418</v>
      </c>
      <c r="I322" s="2" t="s">
        <v>3390</v>
      </c>
      <c r="J322" s="3">
        <v>12.12</v>
      </c>
      <c r="K322" s="3">
        <v>12.12</v>
      </c>
      <c r="L322" s="2" t="s">
        <v>3391</v>
      </c>
      <c r="M322" s="2" t="s">
        <v>9</v>
      </c>
      <c r="N322" s="3">
        <v>38</v>
      </c>
      <c r="O322" s="2" t="s">
        <v>98</v>
      </c>
      <c r="P322" s="2" t="s">
        <v>221</v>
      </c>
      <c r="Q322" s="3"/>
      <c r="R322" s="3"/>
      <c r="S322" s="2" t="s">
        <v>12</v>
      </c>
      <c r="T322" s="4">
        <v>44955</v>
      </c>
      <c r="U322" s="2" t="s">
        <v>2867</v>
      </c>
      <c r="V322" s="6">
        <f>(Real_Sales[[#This Row],[Price_retail]]-Real_Sales[[#This Row],[Price_current]])/Real_Sales[[#This Row],[Price_retail]]</f>
        <v>0</v>
      </c>
      <c r="W322" s="3" t="str" cm="1">
        <f t="array" ref="W3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22" s="2" t="str">
        <f>IF(Real_Sales[[#This Row],[Price_retail]]&gt;$AC$3,"Premium","Average")</f>
        <v>Average</v>
      </c>
      <c r="Y322" s="2" t="str">
        <f>IF(ISNUMBER(SEARCH("Basic",Real_Sales[[#This Row],[Product_name]])),"Yes","No")</f>
        <v>No</v>
      </c>
      <c r="Z322" s="2" cm="1">
        <f t="array" ref="Z322">_xlfn.IFS(Real_Sales[[#This Row],[Price_retail]]&lt;=15,1, Real_Sales[[#This Row],[Price_retail]]&lt;=30,2, Real_Sales[[#This Row],[Price_retail]]&lt;=50,3,Real_Sales[[#This Row],[Price_retail]]&gt;50,4)</f>
        <v>1</v>
      </c>
    </row>
    <row r="323" spans="1:26" x14ac:dyDescent="0.35">
      <c r="A323" s="2" t="s">
        <v>1159</v>
      </c>
      <c r="B323" s="2" t="s">
        <v>1160</v>
      </c>
      <c r="C323" s="2" t="s">
        <v>399</v>
      </c>
      <c r="D323" s="2" t="s">
        <v>1161</v>
      </c>
      <c r="E323" s="2" t="s">
        <v>4</v>
      </c>
      <c r="F323" s="2" t="s">
        <v>17</v>
      </c>
      <c r="G323" s="2" t="s">
        <v>67</v>
      </c>
      <c r="H323" s="2" t="s">
        <v>28</v>
      </c>
      <c r="I323" s="2" t="s">
        <v>3390</v>
      </c>
      <c r="J323" s="3">
        <v>12.14</v>
      </c>
      <c r="K323" s="3">
        <v>9.6300000000000008</v>
      </c>
      <c r="L323" s="2" t="s">
        <v>8</v>
      </c>
      <c r="M323" s="2" t="s">
        <v>9</v>
      </c>
      <c r="N323" s="3">
        <v>182</v>
      </c>
      <c r="O323" s="2" t="s">
        <v>98</v>
      </c>
      <c r="P323" s="2" t="s">
        <v>84</v>
      </c>
      <c r="Q323" s="3"/>
      <c r="R323" s="3"/>
      <c r="S323" s="2" t="s">
        <v>21</v>
      </c>
      <c r="T323" s="4">
        <v>44955</v>
      </c>
      <c r="U323" s="2" t="s">
        <v>1162</v>
      </c>
      <c r="V323" s="6">
        <f>(Real_Sales[[#This Row],[Price_retail]]-Real_Sales[[#This Row],[Price_current]])/Real_Sales[[#This Row],[Price_retail]]</f>
        <v>0.20675453047775944</v>
      </c>
      <c r="W323" s="3" t="str" cm="1">
        <f t="array" ref="W32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3" s="2" t="str">
        <f>IF(Real_Sales[[#This Row],[Price_retail]]&gt;$AC$3,"Premium","Average")</f>
        <v>Average</v>
      </c>
      <c r="Y323" s="2" t="str">
        <f>IF(ISNUMBER(SEARCH("Basic",Real_Sales[[#This Row],[Product_name]])),"Yes","No")</f>
        <v>Yes</v>
      </c>
      <c r="Z323" s="2" cm="1">
        <f t="array" ref="Z323">_xlfn.IFS(Real_Sales[[#This Row],[Price_retail]]&lt;=15,1, Real_Sales[[#This Row],[Price_retail]]&lt;=30,2, Real_Sales[[#This Row],[Price_retail]]&lt;=50,3,Real_Sales[[#This Row],[Price_retail]]&gt;50,4)</f>
        <v>1</v>
      </c>
    </row>
    <row r="324" spans="1:26" x14ac:dyDescent="0.35">
      <c r="A324" s="2" t="s">
        <v>3248</v>
      </c>
      <c r="B324" s="2" t="s">
        <v>3249</v>
      </c>
      <c r="C324" s="2" t="s">
        <v>3405</v>
      </c>
      <c r="D324" s="2" t="s">
        <v>894</v>
      </c>
      <c r="E324" s="2" t="s">
        <v>4</v>
      </c>
      <c r="F324" s="2" t="s">
        <v>5</v>
      </c>
      <c r="G324" s="2" t="s">
        <v>121</v>
      </c>
      <c r="H324" s="2" t="s">
        <v>145</v>
      </c>
      <c r="I324" s="2" t="s">
        <v>3393</v>
      </c>
      <c r="J324" s="3">
        <v>12.15</v>
      </c>
      <c r="K324" s="3">
        <v>7.53</v>
      </c>
      <c r="L324" s="2" t="s">
        <v>8</v>
      </c>
      <c r="M324" s="2" t="s">
        <v>9</v>
      </c>
      <c r="N324" s="3">
        <v>753</v>
      </c>
      <c r="O324" s="2" t="s">
        <v>98</v>
      </c>
      <c r="P324" s="2" t="s">
        <v>44</v>
      </c>
      <c r="Q324" s="3"/>
      <c r="R324" s="3"/>
      <c r="S324" s="2" t="s">
        <v>12</v>
      </c>
      <c r="T324" s="4">
        <v>44955</v>
      </c>
      <c r="U324" s="2" t="s">
        <v>3250</v>
      </c>
      <c r="V324" s="6">
        <f>(Real_Sales[[#This Row],[Price_retail]]-Real_Sales[[#This Row],[Price_current]])/Real_Sales[[#This Row],[Price_retail]]</f>
        <v>0.38024691358024693</v>
      </c>
      <c r="W324" s="3" t="str" cm="1">
        <f t="array" ref="W32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4" s="2" t="str">
        <f>IF(Real_Sales[[#This Row],[Price_retail]]&gt;$AC$3,"Premium","Average")</f>
        <v>Average</v>
      </c>
      <c r="Y324" s="2" t="str">
        <f>IF(ISNUMBER(SEARCH("Basic",Real_Sales[[#This Row],[Product_name]])),"Yes","No")</f>
        <v>No</v>
      </c>
      <c r="Z324" s="2" cm="1">
        <f t="array" ref="Z324">_xlfn.IFS(Real_Sales[[#This Row],[Price_retail]]&lt;=15,1, Real_Sales[[#This Row],[Price_retail]]&lt;=30,2, Real_Sales[[#This Row],[Price_retail]]&lt;=50,3,Real_Sales[[#This Row],[Price_retail]]&gt;50,4)</f>
        <v>1</v>
      </c>
    </row>
    <row r="325" spans="1:26" x14ac:dyDescent="0.35">
      <c r="A325" s="2" t="s">
        <v>2332</v>
      </c>
      <c r="B325" s="2" t="s">
        <v>2333</v>
      </c>
      <c r="C325" s="2" t="s">
        <v>569</v>
      </c>
      <c r="D325" s="2" t="s">
        <v>725</v>
      </c>
      <c r="E325" s="2" t="s">
        <v>4</v>
      </c>
      <c r="F325" s="2" t="s">
        <v>17</v>
      </c>
      <c r="G325" s="2" t="s">
        <v>18</v>
      </c>
      <c r="H325" s="2" t="s">
        <v>110</v>
      </c>
      <c r="I325" s="2" t="s">
        <v>3390</v>
      </c>
      <c r="J325" s="3">
        <v>12.16</v>
      </c>
      <c r="K325" s="3">
        <v>7.34</v>
      </c>
      <c r="L325" s="2" t="s">
        <v>8</v>
      </c>
      <c r="M325" s="2" t="s">
        <v>9</v>
      </c>
      <c r="N325" s="3">
        <v>934</v>
      </c>
      <c r="O325" s="2" t="s">
        <v>267</v>
      </c>
      <c r="P325" s="2" t="s">
        <v>61</v>
      </c>
      <c r="Q325" s="3"/>
      <c r="R325" s="3"/>
      <c r="S325" s="2" t="s">
        <v>12</v>
      </c>
      <c r="T325" s="4">
        <v>44955</v>
      </c>
      <c r="U325" s="2" t="s">
        <v>2334</v>
      </c>
      <c r="V325" s="6">
        <f>(Real_Sales[[#This Row],[Price_retail]]-Real_Sales[[#This Row],[Price_current]])/Real_Sales[[#This Row],[Price_retail]]</f>
        <v>0.39638157894736842</v>
      </c>
      <c r="W325" s="3" t="str" cm="1">
        <f t="array" ref="W32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5" s="2" t="str">
        <f>IF(Real_Sales[[#This Row],[Price_retail]]&gt;$AC$3,"Premium","Average")</f>
        <v>Average</v>
      </c>
      <c r="Y325" s="2" t="str">
        <f>IF(ISNUMBER(SEARCH("Basic",Real_Sales[[#This Row],[Product_name]])),"Yes","No")</f>
        <v>Yes</v>
      </c>
      <c r="Z325" s="2" cm="1">
        <f t="array" ref="Z325">_xlfn.IFS(Real_Sales[[#This Row],[Price_retail]]&lt;=15,1, Real_Sales[[#This Row],[Price_retail]]&lt;=30,2, Real_Sales[[#This Row],[Price_retail]]&lt;=50,3,Real_Sales[[#This Row],[Price_retail]]&gt;50,4)</f>
        <v>1</v>
      </c>
    </row>
    <row r="326" spans="1:26" x14ac:dyDescent="0.35">
      <c r="A326" s="2" t="s">
        <v>884</v>
      </c>
      <c r="B326" s="2" t="s">
        <v>885</v>
      </c>
      <c r="C326" s="2" t="s">
        <v>886</v>
      </c>
      <c r="D326" s="2" t="s">
        <v>887</v>
      </c>
      <c r="E326" s="2" t="s">
        <v>4</v>
      </c>
      <c r="F326" s="2" t="s">
        <v>5</v>
      </c>
      <c r="G326" s="2" t="s">
        <v>82</v>
      </c>
      <c r="H326" s="2" t="s">
        <v>185</v>
      </c>
      <c r="I326" s="2" t="s">
        <v>3395</v>
      </c>
      <c r="J326" s="3">
        <v>12.17</v>
      </c>
      <c r="K326" s="3">
        <v>7.99</v>
      </c>
      <c r="L326" s="2" t="s">
        <v>8</v>
      </c>
      <c r="M326" s="2" t="s">
        <v>9</v>
      </c>
      <c r="N326" s="3">
        <v>972</v>
      </c>
      <c r="O326" s="2" t="s">
        <v>3392</v>
      </c>
      <c r="P326" s="2" t="s">
        <v>70</v>
      </c>
      <c r="Q326" s="3"/>
      <c r="R326" s="3"/>
      <c r="S326" s="2" t="s">
        <v>21</v>
      </c>
      <c r="T326" s="4">
        <v>44955</v>
      </c>
      <c r="U326" s="2" t="s">
        <v>888</v>
      </c>
      <c r="V326" s="6">
        <f>(Real_Sales[[#This Row],[Price_retail]]-Real_Sales[[#This Row],[Price_current]])/Real_Sales[[#This Row],[Price_retail]]</f>
        <v>0.34346754313886602</v>
      </c>
      <c r="W326" s="3" t="str" cm="1">
        <f t="array" ref="W32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6" s="2" t="str">
        <f>IF(Real_Sales[[#This Row],[Price_retail]]&gt;$AC$3,"Premium","Average")</f>
        <v>Average</v>
      </c>
      <c r="Y326" s="2" t="str">
        <f>IF(ISNUMBER(SEARCH("Basic",Real_Sales[[#This Row],[Product_name]])),"Yes","No")</f>
        <v>Yes</v>
      </c>
      <c r="Z326" s="2" cm="1">
        <f t="array" ref="Z326">_xlfn.IFS(Real_Sales[[#This Row],[Price_retail]]&lt;=15,1, Real_Sales[[#This Row],[Price_retail]]&lt;=30,2, Real_Sales[[#This Row],[Price_retail]]&lt;=50,3,Real_Sales[[#This Row],[Price_retail]]&gt;50,4)</f>
        <v>1</v>
      </c>
    </row>
    <row r="327" spans="1:26" x14ac:dyDescent="0.35">
      <c r="A327" s="2" t="s">
        <v>3239</v>
      </c>
      <c r="B327" s="2" t="s">
        <v>3240</v>
      </c>
      <c r="C327" s="2" t="s">
        <v>65</v>
      </c>
      <c r="D327" s="2" t="s">
        <v>149</v>
      </c>
      <c r="E327" s="2" t="s">
        <v>4</v>
      </c>
      <c r="F327" s="2" t="s">
        <v>5</v>
      </c>
      <c r="G327" s="2" t="s">
        <v>82</v>
      </c>
      <c r="H327" s="2" t="s">
        <v>28</v>
      </c>
      <c r="I327" s="2" t="s">
        <v>3393</v>
      </c>
      <c r="J327" s="3">
        <v>12.17</v>
      </c>
      <c r="K327" s="3">
        <v>12.17</v>
      </c>
      <c r="L327" s="2" t="s">
        <v>3391</v>
      </c>
      <c r="M327" s="2" t="s">
        <v>9</v>
      </c>
      <c r="N327" s="3">
        <v>629</v>
      </c>
      <c r="O327" s="2" t="s">
        <v>267</v>
      </c>
      <c r="P327" s="2" t="s">
        <v>186</v>
      </c>
      <c r="Q327" s="3"/>
      <c r="R327" s="3"/>
      <c r="S327" s="2" t="s">
        <v>12</v>
      </c>
      <c r="T327" s="4">
        <v>44955</v>
      </c>
      <c r="U327" s="2" t="s">
        <v>3241</v>
      </c>
      <c r="V327" s="6">
        <f>(Real_Sales[[#This Row],[Price_retail]]-Real_Sales[[#This Row],[Price_current]])/Real_Sales[[#This Row],[Price_retail]]</f>
        <v>0</v>
      </c>
      <c r="W327" s="3" t="str" cm="1">
        <f t="array" ref="W32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27" s="2" t="str">
        <f>IF(Real_Sales[[#This Row],[Price_retail]]&gt;$AC$3,"Premium","Average")</f>
        <v>Average</v>
      </c>
      <c r="Y327" s="2" t="str">
        <f>IF(ISNUMBER(SEARCH("Basic",Real_Sales[[#This Row],[Product_name]])),"Yes","No")</f>
        <v>Yes</v>
      </c>
      <c r="Z327" s="2" cm="1">
        <f t="array" ref="Z327">_xlfn.IFS(Real_Sales[[#This Row],[Price_retail]]&lt;=15,1, Real_Sales[[#This Row],[Price_retail]]&lt;=30,2, Real_Sales[[#This Row],[Price_retail]]&lt;=50,3,Real_Sales[[#This Row],[Price_retail]]&gt;50,4)</f>
        <v>1</v>
      </c>
    </row>
    <row r="328" spans="1:26" x14ac:dyDescent="0.35">
      <c r="A328" s="2" t="s">
        <v>1439</v>
      </c>
      <c r="B328" s="2" t="s">
        <v>1440</v>
      </c>
      <c r="C328" s="2" t="s">
        <v>682</v>
      </c>
      <c r="D328" s="2" t="s">
        <v>640</v>
      </c>
      <c r="E328" s="2" t="s">
        <v>4</v>
      </c>
      <c r="F328" s="2" t="s">
        <v>17</v>
      </c>
      <c r="G328" s="2" t="s">
        <v>50</v>
      </c>
      <c r="H328" s="2" t="s">
        <v>139</v>
      </c>
      <c r="I328" s="2" t="s">
        <v>3393</v>
      </c>
      <c r="J328" s="3">
        <v>12.21</v>
      </c>
      <c r="K328" s="3">
        <v>7.39</v>
      </c>
      <c r="L328" s="2" t="s">
        <v>8</v>
      </c>
      <c r="M328" s="2" t="s">
        <v>9</v>
      </c>
      <c r="N328" s="3">
        <v>397</v>
      </c>
      <c r="O328" s="2" t="s">
        <v>267</v>
      </c>
      <c r="P328" s="2" t="s">
        <v>53</v>
      </c>
      <c r="Q328" s="3"/>
      <c r="R328" s="3"/>
      <c r="S328" s="2" t="s">
        <v>21</v>
      </c>
      <c r="T328" s="4">
        <v>44955</v>
      </c>
      <c r="U328" s="2" t="s">
        <v>1441</v>
      </c>
      <c r="V328" s="6">
        <f>(Real_Sales[[#This Row],[Price_retail]]-Real_Sales[[#This Row],[Price_current]])/Real_Sales[[#This Row],[Price_retail]]</f>
        <v>0.3947583947583948</v>
      </c>
      <c r="W328" s="3" t="str" cm="1">
        <f t="array" ref="W32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8" s="2" t="str">
        <f>IF(Real_Sales[[#This Row],[Price_retail]]&gt;$AC$3,"Premium","Average")</f>
        <v>Average</v>
      </c>
      <c r="Y328" s="2" t="str">
        <f>IF(ISNUMBER(SEARCH("Basic",Real_Sales[[#This Row],[Product_name]])),"Yes","No")</f>
        <v>No</v>
      </c>
      <c r="Z328" s="2" cm="1">
        <f t="array" ref="Z328">_xlfn.IFS(Real_Sales[[#This Row],[Price_retail]]&lt;=15,1, Real_Sales[[#This Row],[Price_retail]]&lt;=30,2, Real_Sales[[#This Row],[Price_retail]]&lt;=50,3,Real_Sales[[#This Row],[Price_retail]]&gt;50,4)</f>
        <v>1</v>
      </c>
    </row>
    <row r="329" spans="1:26" x14ac:dyDescent="0.35">
      <c r="A329" s="2" t="s">
        <v>2105</v>
      </c>
      <c r="B329" s="2" t="s">
        <v>2106</v>
      </c>
      <c r="C329" s="2" t="s">
        <v>1747</v>
      </c>
      <c r="D329" s="2" t="s">
        <v>1161</v>
      </c>
      <c r="E329" s="2" t="s">
        <v>4</v>
      </c>
      <c r="F329" s="2" t="s">
        <v>17</v>
      </c>
      <c r="G329" s="2" t="s">
        <v>67</v>
      </c>
      <c r="H329" s="2" t="s">
        <v>28</v>
      </c>
      <c r="I329" s="2" t="s">
        <v>3393</v>
      </c>
      <c r="J329" s="3">
        <v>12.21</v>
      </c>
      <c r="K329" s="3">
        <v>8.2899999999999991</v>
      </c>
      <c r="L329" s="2" t="s">
        <v>8</v>
      </c>
      <c r="M329" s="2" t="s">
        <v>9</v>
      </c>
      <c r="N329" s="3">
        <v>7</v>
      </c>
      <c r="O329" s="2" t="s">
        <v>261</v>
      </c>
      <c r="P329" s="2" t="s">
        <v>44</v>
      </c>
      <c r="Q329" s="3"/>
      <c r="R329" s="3"/>
      <c r="S329" s="2" t="s">
        <v>21</v>
      </c>
      <c r="T329" s="4">
        <v>44955</v>
      </c>
      <c r="U329" s="2" t="s">
        <v>2107</v>
      </c>
      <c r="V329" s="6">
        <f>(Real_Sales[[#This Row],[Price_retail]]-Real_Sales[[#This Row],[Price_current]])/Real_Sales[[#This Row],[Price_retail]]</f>
        <v>0.32104832104832115</v>
      </c>
      <c r="W329" s="3" t="str" cm="1">
        <f t="array" ref="W32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29" s="2" t="str">
        <f>IF(Real_Sales[[#This Row],[Price_retail]]&gt;$AC$3,"Premium","Average")</f>
        <v>Average</v>
      </c>
      <c r="Y329" s="2" t="str">
        <f>IF(ISNUMBER(SEARCH("Basic",Real_Sales[[#This Row],[Product_name]])),"Yes","No")</f>
        <v>Yes</v>
      </c>
      <c r="Z329" s="2" cm="1">
        <f t="array" ref="Z329">_xlfn.IFS(Real_Sales[[#This Row],[Price_retail]]&lt;=15,1, Real_Sales[[#This Row],[Price_retail]]&lt;=30,2, Real_Sales[[#This Row],[Price_retail]]&lt;=50,3,Real_Sales[[#This Row],[Price_retail]]&gt;50,4)</f>
        <v>1</v>
      </c>
    </row>
    <row r="330" spans="1:26" x14ac:dyDescent="0.35">
      <c r="A330" s="2" t="s">
        <v>3008</v>
      </c>
      <c r="B330" s="2" t="s">
        <v>3009</v>
      </c>
      <c r="C330" s="2" t="s">
        <v>108</v>
      </c>
      <c r="D330" s="2" t="s">
        <v>939</v>
      </c>
      <c r="E330" s="2" t="s">
        <v>4</v>
      </c>
      <c r="F330" s="2" t="s">
        <v>5</v>
      </c>
      <c r="G330" s="2" t="s">
        <v>121</v>
      </c>
      <c r="H330" s="2"/>
      <c r="I330" s="2" t="s">
        <v>3393</v>
      </c>
      <c r="J330" s="3">
        <v>12.31</v>
      </c>
      <c r="K330" s="3">
        <v>12.31</v>
      </c>
      <c r="L330" s="2" t="s">
        <v>3391</v>
      </c>
      <c r="M330" s="2" t="s">
        <v>9</v>
      </c>
      <c r="N330" s="3">
        <v>475</v>
      </c>
      <c r="O330" s="2" t="s">
        <v>20</v>
      </c>
      <c r="P330" s="2" t="s">
        <v>283</v>
      </c>
      <c r="Q330" s="3"/>
      <c r="R330" s="3"/>
      <c r="S330" s="2" t="s">
        <v>21</v>
      </c>
      <c r="T330" s="4">
        <v>44955</v>
      </c>
      <c r="U330" s="2" t="s">
        <v>3010</v>
      </c>
      <c r="V330" s="6">
        <f>(Real_Sales[[#This Row],[Price_retail]]-Real_Sales[[#This Row],[Price_current]])/Real_Sales[[#This Row],[Price_retail]]</f>
        <v>0</v>
      </c>
      <c r="W330" s="3" t="str" cm="1">
        <f t="array" ref="W3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30" s="2" t="str">
        <f>IF(Real_Sales[[#This Row],[Price_retail]]&gt;$AC$3,"Premium","Average")</f>
        <v>Average</v>
      </c>
      <c r="Y330" s="2" t="str">
        <f>IF(ISNUMBER(SEARCH("Basic",Real_Sales[[#This Row],[Product_name]])),"Yes","No")</f>
        <v>No</v>
      </c>
      <c r="Z330" s="2" cm="1">
        <f t="array" ref="Z330">_xlfn.IFS(Real_Sales[[#This Row],[Price_retail]]&lt;=15,1, Real_Sales[[#This Row],[Price_retail]]&lt;=30,2, Real_Sales[[#This Row],[Price_retail]]&lt;=50,3,Real_Sales[[#This Row],[Price_retail]]&gt;50,4)</f>
        <v>1</v>
      </c>
    </row>
    <row r="331" spans="1:26" x14ac:dyDescent="0.35">
      <c r="A331" s="2" t="s">
        <v>1877</v>
      </c>
      <c r="B331" s="2" t="s">
        <v>1878</v>
      </c>
      <c r="C331" s="2" t="s">
        <v>80</v>
      </c>
      <c r="D331" s="2" t="s">
        <v>758</v>
      </c>
      <c r="E331" s="2" t="s">
        <v>4</v>
      </c>
      <c r="F331" s="2" t="s">
        <v>5</v>
      </c>
      <c r="G331" s="2" t="s">
        <v>6</v>
      </c>
      <c r="H331" s="2" t="s">
        <v>168</v>
      </c>
      <c r="I331" s="2" t="s">
        <v>3393</v>
      </c>
      <c r="J331" s="3">
        <v>12.32</v>
      </c>
      <c r="K331" s="3">
        <v>12.32</v>
      </c>
      <c r="L331" s="2" t="s">
        <v>3391</v>
      </c>
      <c r="M331" s="2" t="s">
        <v>9</v>
      </c>
      <c r="N331" s="3">
        <v>150</v>
      </c>
      <c r="O331" s="2" t="s">
        <v>91</v>
      </c>
      <c r="P331" s="2" t="s">
        <v>169</v>
      </c>
      <c r="Q331" s="3"/>
      <c r="R331" s="3"/>
      <c r="S331" s="2" t="s">
        <v>12</v>
      </c>
      <c r="T331" s="4">
        <v>44955</v>
      </c>
      <c r="U331" s="2" t="s">
        <v>1879</v>
      </c>
      <c r="V331" s="6">
        <f>(Real_Sales[[#This Row],[Price_retail]]-Real_Sales[[#This Row],[Price_current]])/Real_Sales[[#This Row],[Price_retail]]</f>
        <v>0</v>
      </c>
      <c r="W331" s="3" t="str" cm="1">
        <f t="array" ref="W33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31" s="2" t="str">
        <f>IF(Real_Sales[[#This Row],[Price_retail]]&gt;$AC$3,"Premium","Average")</f>
        <v>Average</v>
      </c>
      <c r="Y331" s="2" t="str">
        <f>IF(ISNUMBER(SEARCH("Basic",Real_Sales[[#This Row],[Product_name]])),"Yes","No")</f>
        <v>No</v>
      </c>
      <c r="Z331" s="2" cm="1">
        <f t="array" ref="Z331">_xlfn.IFS(Real_Sales[[#This Row],[Price_retail]]&lt;=15,1, Real_Sales[[#This Row],[Price_retail]]&lt;=30,2, Real_Sales[[#This Row],[Price_retail]]&lt;=50,3,Real_Sales[[#This Row],[Price_retail]]&gt;50,4)</f>
        <v>1</v>
      </c>
    </row>
    <row r="332" spans="1:26" x14ac:dyDescent="0.35">
      <c r="A332" s="2" t="s">
        <v>3218</v>
      </c>
      <c r="B332" s="2" t="s">
        <v>3219</v>
      </c>
      <c r="C332" s="2" t="s">
        <v>1314</v>
      </c>
      <c r="D332" s="2" t="s">
        <v>346</v>
      </c>
      <c r="E332" s="2" t="s">
        <v>4</v>
      </c>
      <c r="F332" s="2" t="s">
        <v>5</v>
      </c>
      <c r="G332" s="2" t="s">
        <v>6</v>
      </c>
      <c r="H332" s="2" t="s">
        <v>110</v>
      </c>
      <c r="I332" s="2" t="s">
        <v>3393</v>
      </c>
      <c r="J332" s="3">
        <v>12.36</v>
      </c>
      <c r="K332" s="3">
        <v>9.67</v>
      </c>
      <c r="L332" s="2" t="s">
        <v>8</v>
      </c>
      <c r="M332" s="2" t="s">
        <v>9</v>
      </c>
      <c r="N332" s="3">
        <v>858</v>
      </c>
      <c r="O332" s="2" t="s">
        <v>3392</v>
      </c>
      <c r="P332" s="2" t="s">
        <v>92</v>
      </c>
      <c r="Q332" s="3"/>
      <c r="R332" s="3"/>
      <c r="S332" s="2" t="s">
        <v>12</v>
      </c>
      <c r="T332" s="4">
        <v>44955</v>
      </c>
      <c r="U332" s="2" t="s">
        <v>3220</v>
      </c>
      <c r="V332" s="6">
        <f>(Real_Sales[[#This Row],[Price_retail]]-Real_Sales[[#This Row],[Price_current]])/Real_Sales[[#This Row],[Price_retail]]</f>
        <v>0.2176375404530744</v>
      </c>
      <c r="W332" s="3" t="str" cm="1">
        <f t="array" ref="W33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32" s="2" t="str">
        <f>IF(Real_Sales[[#This Row],[Price_retail]]&gt;$AC$3,"Premium","Average")</f>
        <v>Average</v>
      </c>
      <c r="Y332" s="2" t="str">
        <f>IF(ISNUMBER(SEARCH("Basic",Real_Sales[[#This Row],[Product_name]])),"Yes","No")</f>
        <v>No</v>
      </c>
      <c r="Z332" s="2" cm="1">
        <f t="array" ref="Z332">_xlfn.IFS(Real_Sales[[#This Row],[Price_retail]]&lt;=15,1, Real_Sales[[#This Row],[Price_retail]]&lt;=30,2, Real_Sales[[#This Row],[Price_retail]]&lt;=50,3,Real_Sales[[#This Row],[Price_retail]]&gt;50,4)</f>
        <v>1</v>
      </c>
    </row>
    <row r="333" spans="1:26" x14ac:dyDescent="0.35">
      <c r="A333" s="2" t="s">
        <v>1497</v>
      </c>
      <c r="B333" s="2" t="s">
        <v>1498</v>
      </c>
      <c r="C333" s="2" t="s">
        <v>3419</v>
      </c>
      <c r="D333" s="2" t="s">
        <v>1238</v>
      </c>
      <c r="E333" s="2" t="s">
        <v>4</v>
      </c>
      <c r="F333" s="2" t="s">
        <v>5</v>
      </c>
      <c r="G333" s="2" t="s">
        <v>6</v>
      </c>
      <c r="H333" s="2" t="s">
        <v>168</v>
      </c>
      <c r="I333" s="2" t="s">
        <v>3390</v>
      </c>
      <c r="J333" s="3">
        <v>12.37</v>
      </c>
      <c r="K333" s="3">
        <v>12.37</v>
      </c>
      <c r="L333" s="2" t="s">
        <v>3391</v>
      </c>
      <c r="M333" s="2" t="s">
        <v>9</v>
      </c>
      <c r="N333" s="3">
        <v>803</v>
      </c>
      <c r="O333" s="2" t="s">
        <v>43</v>
      </c>
      <c r="P333" s="2" t="s">
        <v>334</v>
      </c>
      <c r="Q333" s="3"/>
      <c r="R333" s="3"/>
      <c r="S333" s="2" t="s">
        <v>21</v>
      </c>
      <c r="T333" s="4">
        <v>44955</v>
      </c>
      <c r="U333" s="2" t="s">
        <v>1499</v>
      </c>
      <c r="V333" s="6">
        <f>(Real_Sales[[#This Row],[Price_retail]]-Real_Sales[[#This Row],[Price_current]])/Real_Sales[[#This Row],[Price_retail]]</f>
        <v>0</v>
      </c>
      <c r="W333" s="3" t="str" cm="1">
        <f t="array" ref="W3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33" s="2" t="str">
        <f>IF(Real_Sales[[#This Row],[Price_retail]]&gt;$AC$3,"Premium","Average")</f>
        <v>Average</v>
      </c>
      <c r="Y333" s="2" t="str">
        <f>IF(ISNUMBER(SEARCH("Basic",Real_Sales[[#This Row],[Product_name]])),"Yes","No")</f>
        <v>No</v>
      </c>
      <c r="Z333" s="2" cm="1">
        <f t="array" ref="Z333">_xlfn.IFS(Real_Sales[[#This Row],[Price_retail]]&lt;=15,1, Real_Sales[[#This Row],[Price_retail]]&lt;=30,2, Real_Sales[[#This Row],[Price_retail]]&lt;=50,3,Real_Sales[[#This Row],[Price_retail]]&gt;50,4)</f>
        <v>1</v>
      </c>
    </row>
    <row r="334" spans="1:26" x14ac:dyDescent="0.35">
      <c r="A334" s="2" t="s">
        <v>1171</v>
      </c>
      <c r="B334" s="2" t="s">
        <v>1172</v>
      </c>
      <c r="C334" s="2" t="s">
        <v>569</v>
      </c>
      <c r="D334" s="2" t="s">
        <v>1139</v>
      </c>
      <c r="E334" s="2" t="s">
        <v>4</v>
      </c>
      <c r="F334" s="2" t="s">
        <v>17</v>
      </c>
      <c r="G334" s="2" t="s">
        <v>27</v>
      </c>
      <c r="H334" s="2" t="s">
        <v>418</v>
      </c>
      <c r="I334" s="2" t="s">
        <v>3395</v>
      </c>
      <c r="J334" s="3">
        <v>12.39</v>
      </c>
      <c r="K334" s="3">
        <v>11.77</v>
      </c>
      <c r="L334" s="2" t="s">
        <v>8</v>
      </c>
      <c r="M334" s="2" t="s">
        <v>9</v>
      </c>
      <c r="N334" s="3">
        <v>647</v>
      </c>
      <c r="O334" s="2" t="s">
        <v>91</v>
      </c>
      <c r="P334" s="2" t="s">
        <v>215</v>
      </c>
      <c r="Q334" s="3"/>
      <c r="R334" s="3"/>
      <c r="S334" s="2" t="s">
        <v>21</v>
      </c>
      <c r="T334" s="4">
        <v>44955</v>
      </c>
      <c r="U334" s="2" t="s">
        <v>1173</v>
      </c>
      <c r="V334" s="6">
        <f>(Real_Sales[[#This Row],[Price_retail]]-Real_Sales[[#This Row],[Price_current]])/Real_Sales[[#This Row],[Price_retail]]</f>
        <v>5.0040355125100966E-2</v>
      </c>
      <c r="W334" s="3" t="str" cm="1">
        <f t="array" ref="W334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34" s="2" t="str">
        <f>IF(Real_Sales[[#This Row],[Price_retail]]&gt;$AC$3,"Premium","Average")</f>
        <v>Average</v>
      </c>
      <c r="Y334" s="2" t="str">
        <f>IF(ISNUMBER(SEARCH("Basic",Real_Sales[[#This Row],[Product_name]])),"Yes","No")</f>
        <v>No</v>
      </c>
      <c r="Z334" s="2" cm="1">
        <f t="array" ref="Z334">_xlfn.IFS(Real_Sales[[#This Row],[Price_retail]]&lt;=15,1, Real_Sales[[#This Row],[Price_retail]]&lt;=30,2, Real_Sales[[#This Row],[Price_retail]]&lt;=50,3,Real_Sales[[#This Row],[Price_retail]]&gt;50,4)</f>
        <v>1</v>
      </c>
    </row>
    <row r="335" spans="1:26" x14ac:dyDescent="0.35">
      <c r="A335" s="2" t="s">
        <v>100</v>
      </c>
      <c r="B335" s="2" t="s">
        <v>101</v>
      </c>
      <c r="C335" s="2" t="s">
        <v>102</v>
      </c>
      <c r="D335" s="2" t="s">
        <v>103</v>
      </c>
      <c r="E335" s="2" t="s">
        <v>4</v>
      </c>
      <c r="F335" s="2" t="s">
        <v>17</v>
      </c>
      <c r="G335" s="2" t="s">
        <v>50</v>
      </c>
      <c r="H335" s="2" t="s">
        <v>19</v>
      </c>
      <c r="I335" s="2" t="s">
        <v>3390</v>
      </c>
      <c r="J335" s="3">
        <v>12.39</v>
      </c>
      <c r="K335" s="3">
        <v>12.39</v>
      </c>
      <c r="L335" s="2" t="s">
        <v>3391</v>
      </c>
      <c r="M335" s="2" t="s">
        <v>9</v>
      </c>
      <c r="N335" s="3">
        <v>217</v>
      </c>
      <c r="O335" s="2" t="s">
        <v>104</v>
      </c>
      <c r="P335" s="2" t="s">
        <v>92</v>
      </c>
      <c r="Q335" s="3"/>
      <c r="R335" s="3"/>
      <c r="S335" s="2" t="s">
        <v>21</v>
      </c>
      <c r="T335" s="4">
        <v>44955</v>
      </c>
      <c r="U335" s="2" t="s">
        <v>105</v>
      </c>
      <c r="V335" s="6">
        <f>(Real_Sales[[#This Row],[Price_retail]]-Real_Sales[[#This Row],[Price_current]])/Real_Sales[[#This Row],[Price_retail]]</f>
        <v>0</v>
      </c>
      <c r="W335" s="3" t="str" cm="1">
        <f t="array" ref="W33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35" s="2" t="str">
        <f>IF(Real_Sales[[#This Row],[Price_retail]]&gt;$AC$3,"Premium","Average")</f>
        <v>Average</v>
      </c>
      <c r="Y335" s="2" t="str">
        <f>IF(ISNUMBER(SEARCH("Basic",Real_Sales[[#This Row],[Product_name]])),"Yes","No")</f>
        <v>No</v>
      </c>
      <c r="Z335" s="2" cm="1">
        <f t="array" ref="Z335">_xlfn.IFS(Real_Sales[[#This Row],[Price_retail]]&lt;=15,1, Real_Sales[[#This Row],[Price_retail]]&lt;=30,2, Real_Sales[[#This Row],[Price_retail]]&lt;=50,3,Real_Sales[[#This Row],[Price_retail]]&gt;50,4)</f>
        <v>1</v>
      </c>
    </row>
    <row r="336" spans="1:26" x14ac:dyDescent="0.35">
      <c r="A336" s="2" t="s">
        <v>155</v>
      </c>
      <c r="B336" s="2" t="s">
        <v>156</v>
      </c>
      <c r="C336" s="2" t="s">
        <v>157</v>
      </c>
      <c r="D336" s="2" t="s">
        <v>158</v>
      </c>
      <c r="E336" s="2" t="s">
        <v>4</v>
      </c>
      <c r="F336" s="2" t="s">
        <v>5</v>
      </c>
      <c r="G336" s="2" t="s">
        <v>121</v>
      </c>
      <c r="H336" s="2" t="s">
        <v>145</v>
      </c>
      <c r="I336" s="2" t="s">
        <v>3390</v>
      </c>
      <c r="J336" s="3">
        <v>12.43</v>
      </c>
      <c r="K336" s="3">
        <v>12.43</v>
      </c>
      <c r="L336" s="2" t="s">
        <v>3391</v>
      </c>
      <c r="M336" s="2" t="s">
        <v>9</v>
      </c>
      <c r="N336" s="3">
        <v>926</v>
      </c>
      <c r="O336" s="2" t="s">
        <v>3392</v>
      </c>
      <c r="P336" s="2" t="s">
        <v>92</v>
      </c>
      <c r="Q336" s="3"/>
      <c r="R336" s="3"/>
      <c r="S336" s="2" t="s">
        <v>21</v>
      </c>
      <c r="T336" s="4">
        <v>44955</v>
      </c>
      <c r="U336" s="2" t="s">
        <v>159</v>
      </c>
      <c r="V336" s="6">
        <f>(Real_Sales[[#This Row],[Price_retail]]-Real_Sales[[#This Row],[Price_current]])/Real_Sales[[#This Row],[Price_retail]]</f>
        <v>0</v>
      </c>
      <c r="W336" s="3" t="str" cm="1">
        <f t="array" ref="W3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36" s="2" t="str">
        <f>IF(Real_Sales[[#This Row],[Price_retail]]&gt;$AC$3,"Premium","Average")</f>
        <v>Average</v>
      </c>
      <c r="Y336" s="2" t="str">
        <f>IF(ISNUMBER(SEARCH("Basic",Real_Sales[[#This Row],[Product_name]])),"Yes","No")</f>
        <v>No</v>
      </c>
      <c r="Z336" s="2" cm="1">
        <f t="array" ref="Z336">_xlfn.IFS(Real_Sales[[#This Row],[Price_retail]]&lt;=15,1, Real_Sales[[#This Row],[Price_retail]]&lt;=30,2, Real_Sales[[#This Row],[Price_retail]]&lt;=50,3,Real_Sales[[#This Row],[Price_retail]]&gt;50,4)</f>
        <v>1</v>
      </c>
    </row>
    <row r="337" spans="1:26" x14ac:dyDescent="0.35">
      <c r="A337" s="2" t="s">
        <v>2713</v>
      </c>
      <c r="B337" s="2" t="s">
        <v>2714</v>
      </c>
      <c r="C337" s="2" t="s">
        <v>80</v>
      </c>
      <c r="D337" s="2" t="s">
        <v>608</v>
      </c>
      <c r="E337" s="2" t="s">
        <v>4</v>
      </c>
      <c r="F337" s="2" t="s">
        <v>17</v>
      </c>
      <c r="G337" s="2" t="s">
        <v>50</v>
      </c>
      <c r="H337" s="2" t="s">
        <v>51</v>
      </c>
      <c r="I337" s="2" t="s">
        <v>3393</v>
      </c>
      <c r="J337" s="3">
        <v>12.44</v>
      </c>
      <c r="K337" s="3">
        <v>9.2100000000000009</v>
      </c>
      <c r="L337" s="2" t="s">
        <v>8</v>
      </c>
      <c r="M337" s="2" t="s">
        <v>9</v>
      </c>
      <c r="N337" s="3">
        <v>806</v>
      </c>
      <c r="O337" s="2" t="s">
        <v>302</v>
      </c>
      <c r="P337" s="2" t="s">
        <v>3392</v>
      </c>
      <c r="Q337" s="3"/>
      <c r="R337" s="3"/>
      <c r="S337" s="2" t="s">
        <v>12</v>
      </c>
      <c r="T337" s="4">
        <v>44955</v>
      </c>
      <c r="U337" s="2" t="s">
        <v>2715</v>
      </c>
      <c r="V337" s="6">
        <f>(Real_Sales[[#This Row],[Price_retail]]-Real_Sales[[#This Row],[Price_current]])/Real_Sales[[#This Row],[Price_retail]]</f>
        <v>0.25964630225080376</v>
      </c>
      <c r="W337" s="3" t="str" cm="1">
        <f t="array" ref="W3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37" s="2" t="str">
        <f>IF(Real_Sales[[#This Row],[Price_retail]]&gt;$AC$3,"Premium","Average")</f>
        <v>Average</v>
      </c>
      <c r="Y337" s="2" t="str">
        <f>IF(ISNUMBER(SEARCH("Basic",Real_Sales[[#This Row],[Product_name]])),"Yes","No")</f>
        <v>No</v>
      </c>
      <c r="Z337" s="2" cm="1">
        <f t="array" ref="Z337">_xlfn.IFS(Real_Sales[[#This Row],[Price_retail]]&lt;=15,1, Real_Sales[[#This Row],[Price_retail]]&lt;=30,2, Real_Sales[[#This Row],[Price_retail]]&lt;=50,3,Real_Sales[[#This Row],[Price_retail]]&gt;50,4)</f>
        <v>1</v>
      </c>
    </row>
    <row r="338" spans="1:26" x14ac:dyDescent="0.35">
      <c r="A338" s="2" t="s">
        <v>598</v>
      </c>
      <c r="B338" s="2" t="s">
        <v>599</v>
      </c>
      <c r="C338" s="2" t="s">
        <v>3394</v>
      </c>
      <c r="D338" s="2" t="s">
        <v>600</v>
      </c>
      <c r="E338" s="2" t="s">
        <v>4</v>
      </c>
      <c r="F338" s="2" t="s">
        <v>17</v>
      </c>
      <c r="G338" s="2" t="s">
        <v>67</v>
      </c>
      <c r="H338" s="2" t="s">
        <v>134</v>
      </c>
      <c r="I338" s="2" t="s">
        <v>3390</v>
      </c>
      <c r="J338" s="3">
        <v>12.44</v>
      </c>
      <c r="K338" s="3">
        <v>12.44</v>
      </c>
      <c r="L338" s="2" t="s">
        <v>3391</v>
      </c>
      <c r="M338" s="2" t="s">
        <v>9</v>
      </c>
      <c r="N338" s="3">
        <v>585</v>
      </c>
      <c r="O338" s="2" t="s">
        <v>20</v>
      </c>
      <c r="P338" s="2" t="s">
        <v>283</v>
      </c>
      <c r="Q338" s="3"/>
      <c r="R338" s="3"/>
      <c r="S338" s="2" t="s">
        <v>12</v>
      </c>
      <c r="T338" s="4">
        <v>44955</v>
      </c>
      <c r="U338" s="2" t="s">
        <v>601</v>
      </c>
      <c r="V338" s="6">
        <f>(Real_Sales[[#This Row],[Price_retail]]-Real_Sales[[#This Row],[Price_current]])/Real_Sales[[#This Row],[Price_retail]]</f>
        <v>0</v>
      </c>
      <c r="W338" s="3" t="str" cm="1">
        <f t="array" ref="W33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38" s="2" t="str">
        <f>IF(Real_Sales[[#This Row],[Price_retail]]&gt;$AC$3,"Premium","Average")</f>
        <v>Average</v>
      </c>
      <c r="Y338" s="2" t="str">
        <f>IF(ISNUMBER(SEARCH("Basic",Real_Sales[[#This Row],[Product_name]])),"Yes","No")</f>
        <v>No</v>
      </c>
      <c r="Z338" s="2" cm="1">
        <f t="array" ref="Z338">_xlfn.IFS(Real_Sales[[#This Row],[Price_retail]]&lt;=15,1, Real_Sales[[#This Row],[Price_retail]]&lt;=30,2, Real_Sales[[#This Row],[Price_retail]]&lt;=50,3,Real_Sales[[#This Row],[Price_retail]]&gt;50,4)</f>
        <v>1</v>
      </c>
    </row>
    <row r="339" spans="1:26" x14ac:dyDescent="0.35">
      <c r="A339" s="2" t="s">
        <v>1214</v>
      </c>
      <c r="B339" s="2" t="s">
        <v>1215</v>
      </c>
      <c r="C339" s="2" t="s">
        <v>3394</v>
      </c>
      <c r="D339" s="2" t="s">
        <v>1206</v>
      </c>
      <c r="E339" s="2" t="s">
        <v>4</v>
      </c>
      <c r="F339" s="2" t="s">
        <v>17</v>
      </c>
      <c r="G339" s="2" t="s">
        <v>67</v>
      </c>
      <c r="H339" s="2" t="s">
        <v>418</v>
      </c>
      <c r="I339" s="2" t="s">
        <v>3393</v>
      </c>
      <c r="J339" s="3">
        <v>12.47</v>
      </c>
      <c r="K339" s="3">
        <v>6.37</v>
      </c>
      <c r="L339" s="2" t="s">
        <v>8</v>
      </c>
      <c r="M339" s="2" t="s">
        <v>9</v>
      </c>
      <c r="N339" s="3">
        <v>432</v>
      </c>
      <c r="O339" s="2" t="s">
        <v>302</v>
      </c>
      <c r="P339" s="2" t="s">
        <v>186</v>
      </c>
      <c r="Q339" s="3"/>
      <c r="R339" s="3"/>
      <c r="S339" s="2" t="s">
        <v>21</v>
      </c>
      <c r="T339" s="4">
        <v>44955</v>
      </c>
      <c r="U339" s="2" t="s">
        <v>1216</v>
      </c>
      <c r="V339" s="6">
        <f>(Real_Sales[[#This Row],[Price_retail]]-Real_Sales[[#This Row],[Price_current]])/Real_Sales[[#This Row],[Price_retail]]</f>
        <v>0.48917401764234164</v>
      </c>
      <c r="W339" s="3" t="str" cm="1">
        <f t="array" ref="W33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39" s="2" t="str">
        <f>IF(Real_Sales[[#This Row],[Price_retail]]&gt;$AC$3,"Premium","Average")</f>
        <v>Average</v>
      </c>
      <c r="Y339" s="2" t="str">
        <f>IF(ISNUMBER(SEARCH("Basic",Real_Sales[[#This Row],[Product_name]])),"Yes","No")</f>
        <v>No</v>
      </c>
      <c r="Z339" s="2" cm="1">
        <f t="array" ref="Z339">_xlfn.IFS(Real_Sales[[#This Row],[Price_retail]]&lt;=15,1, Real_Sales[[#This Row],[Price_retail]]&lt;=30,2, Real_Sales[[#This Row],[Price_retail]]&lt;=50,3,Real_Sales[[#This Row],[Price_retail]]&gt;50,4)</f>
        <v>1</v>
      </c>
    </row>
    <row r="340" spans="1:26" x14ac:dyDescent="0.35">
      <c r="A340" s="2" t="s">
        <v>2156</v>
      </c>
      <c r="B340" s="2" t="s">
        <v>2157</v>
      </c>
      <c r="C340" s="2" t="s">
        <v>1747</v>
      </c>
      <c r="D340" s="2" t="s">
        <v>392</v>
      </c>
      <c r="E340" s="2" t="s">
        <v>4</v>
      </c>
      <c r="F340" s="2" t="s">
        <v>17</v>
      </c>
      <c r="G340" s="2" t="s">
        <v>50</v>
      </c>
      <c r="H340" s="2" t="s">
        <v>19</v>
      </c>
      <c r="I340" s="2" t="s">
        <v>3390</v>
      </c>
      <c r="J340" s="3">
        <v>12.47</v>
      </c>
      <c r="K340" s="3">
        <v>12.47</v>
      </c>
      <c r="L340" s="2" t="s">
        <v>3391</v>
      </c>
      <c r="M340" s="2" t="s">
        <v>9</v>
      </c>
      <c r="N340" s="3">
        <v>258</v>
      </c>
      <c r="O340" s="2" t="s">
        <v>3392</v>
      </c>
      <c r="P340" s="2" t="s">
        <v>37</v>
      </c>
      <c r="Q340" s="3"/>
      <c r="R340" s="3"/>
      <c r="S340" s="2" t="s">
        <v>21</v>
      </c>
      <c r="T340" s="4">
        <v>44955</v>
      </c>
      <c r="U340" s="2" t="s">
        <v>2158</v>
      </c>
      <c r="V340" s="6">
        <f>(Real_Sales[[#This Row],[Price_retail]]-Real_Sales[[#This Row],[Price_current]])/Real_Sales[[#This Row],[Price_retail]]</f>
        <v>0</v>
      </c>
      <c r="W340" s="3" t="str" cm="1">
        <f t="array" ref="W34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0" s="2" t="str">
        <f>IF(Real_Sales[[#This Row],[Price_retail]]&gt;$AC$3,"Premium","Average")</f>
        <v>Average</v>
      </c>
      <c r="Y340" s="2" t="str">
        <f>IF(ISNUMBER(SEARCH("Basic",Real_Sales[[#This Row],[Product_name]])),"Yes","No")</f>
        <v>No</v>
      </c>
      <c r="Z340" s="2" cm="1">
        <f t="array" ref="Z340">_xlfn.IFS(Real_Sales[[#This Row],[Price_retail]]&lt;=15,1, Real_Sales[[#This Row],[Price_retail]]&lt;=30,2, Real_Sales[[#This Row],[Price_retail]]&lt;=50,3,Real_Sales[[#This Row],[Price_retail]]&gt;50,4)</f>
        <v>1</v>
      </c>
    </row>
    <row r="341" spans="1:26" x14ac:dyDescent="0.35">
      <c r="A341" s="2" t="s">
        <v>1255</v>
      </c>
      <c r="B341" s="2" t="s">
        <v>1256</v>
      </c>
      <c r="C341" s="2" t="s">
        <v>423</v>
      </c>
      <c r="D341" s="2" t="s">
        <v>581</v>
      </c>
      <c r="E341" s="2" t="s">
        <v>4</v>
      </c>
      <c r="F341" s="2" t="s">
        <v>17</v>
      </c>
      <c r="G341" s="2" t="s">
        <v>67</v>
      </c>
      <c r="H341" s="2" t="s">
        <v>7</v>
      </c>
      <c r="I341" s="2" t="s">
        <v>3395</v>
      </c>
      <c r="J341" s="3">
        <v>12.49</v>
      </c>
      <c r="K341" s="3">
        <v>7.74</v>
      </c>
      <c r="L341" s="2" t="s">
        <v>8</v>
      </c>
      <c r="M341" s="2" t="s">
        <v>9</v>
      </c>
      <c r="N341" s="3">
        <v>689</v>
      </c>
      <c r="O341" s="2" t="s">
        <v>69</v>
      </c>
      <c r="P341" s="2" t="s">
        <v>238</v>
      </c>
      <c r="Q341" s="3"/>
      <c r="R341" s="3"/>
      <c r="S341" s="2" t="s">
        <v>21</v>
      </c>
      <c r="T341" s="4">
        <v>44955</v>
      </c>
      <c r="U341" s="2" t="s">
        <v>1257</v>
      </c>
      <c r="V341" s="6">
        <f>(Real_Sales[[#This Row],[Price_retail]]-Real_Sales[[#This Row],[Price_current]])/Real_Sales[[#This Row],[Price_retail]]</f>
        <v>0.38030424339471575</v>
      </c>
      <c r="W341" s="3" t="str" cm="1">
        <f t="array" ref="W34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41" s="2" t="str">
        <f>IF(Real_Sales[[#This Row],[Price_retail]]&gt;$AC$3,"Premium","Average")</f>
        <v>Average</v>
      </c>
      <c r="Y341" s="2" t="str">
        <f>IF(ISNUMBER(SEARCH("Basic",Real_Sales[[#This Row],[Product_name]])),"Yes","No")</f>
        <v>No</v>
      </c>
      <c r="Z341" s="2" cm="1">
        <f t="array" ref="Z341">_xlfn.IFS(Real_Sales[[#This Row],[Price_retail]]&lt;=15,1, Real_Sales[[#This Row],[Price_retail]]&lt;=30,2, Real_Sales[[#This Row],[Price_retail]]&lt;=50,3,Real_Sales[[#This Row],[Price_retail]]&gt;50,4)</f>
        <v>1</v>
      </c>
    </row>
    <row r="342" spans="1:26" x14ac:dyDescent="0.35">
      <c r="A342" s="2" t="s">
        <v>3353</v>
      </c>
      <c r="B342" s="2" t="s">
        <v>3354</v>
      </c>
      <c r="C342" s="2" t="s">
        <v>88</v>
      </c>
      <c r="D342" s="2" t="s">
        <v>533</v>
      </c>
      <c r="E342" s="2" t="s">
        <v>4</v>
      </c>
      <c r="F342" s="2" t="s">
        <v>17</v>
      </c>
      <c r="G342" s="2" t="s">
        <v>67</v>
      </c>
      <c r="H342" s="2" t="s">
        <v>59</v>
      </c>
      <c r="I342" s="2" t="s">
        <v>3393</v>
      </c>
      <c r="J342" s="3">
        <v>12.51</v>
      </c>
      <c r="K342" s="3">
        <v>12.51</v>
      </c>
      <c r="L342" s="2" t="s">
        <v>3391</v>
      </c>
      <c r="M342" s="2" t="s">
        <v>9</v>
      </c>
      <c r="N342" s="3">
        <v>255</v>
      </c>
      <c r="O342" s="2" t="s">
        <v>43</v>
      </c>
      <c r="P342" s="2" t="s">
        <v>53</v>
      </c>
      <c r="Q342" s="3"/>
      <c r="R342" s="3"/>
      <c r="S342" s="2" t="s">
        <v>21</v>
      </c>
      <c r="T342" s="4">
        <v>44955</v>
      </c>
      <c r="U342" s="2" t="s">
        <v>3355</v>
      </c>
      <c r="V342" s="6">
        <f>(Real_Sales[[#This Row],[Price_retail]]-Real_Sales[[#This Row],[Price_current]])/Real_Sales[[#This Row],[Price_retail]]</f>
        <v>0</v>
      </c>
      <c r="W342" s="3" t="str" cm="1">
        <f t="array" ref="W34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2" s="2" t="str">
        <f>IF(Real_Sales[[#This Row],[Price_retail]]&gt;$AC$3,"Premium","Average")</f>
        <v>Average</v>
      </c>
      <c r="Y342" s="2" t="str">
        <f>IF(ISNUMBER(SEARCH("Basic",Real_Sales[[#This Row],[Product_name]])),"Yes","No")</f>
        <v>No</v>
      </c>
      <c r="Z342" s="2" cm="1">
        <f t="array" ref="Z342">_xlfn.IFS(Real_Sales[[#This Row],[Price_retail]]&lt;=15,1, Real_Sales[[#This Row],[Price_retail]]&lt;=30,2, Real_Sales[[#This Row],[Price_retail]]&lt;=50,3,Real_Sales[[#This Row],[Price_retail]]&gt;50,4)</f>
        <v>1</v>
      </c>
    </row>
    <row r="343" spans="1:26" x14ac:dyDescent="0.35">
      <c r="A343" s="2" t="s">
        <v>1525</v>
      </c>
      <c r="B343" s="2" t="s">
        <v>1526</v>
      </c>
      <c r="C343" s="2" t="s">
        <v>999</v>
      </c>
      <c r="D343" s="2" t="s">
        <v>621</v>
      </c>
      <c r="E343" s="2" t="s">
        <v>4</v>
      </c>
      <c r="F343" s="2" t="s">
        <v>17</v>
      </c>
      <c r="G343" s="2" t="s">
        <v>50</v>
      </c>
      <c r="H343" s="2" t="s">
        <v>68</v>
      </c>
      <c r="I343" s="2" t="s">
        <v>3395</v>
      </c>
      <c r="J343" s="3">
        <v>12.54</v>
      </c>
      <c r="K343" s="3">
        <v>12.54</v>
      </c>
      <c r="L343" s="2" t="s">
        <v>3391</v>
      </c>
      <c r="M343" s="2" t="s">
        <v>9</v>
      </c>
      <c r="N343" s="3">
        <v>917</v>
      </c>
      <c r="O343" s="2" t="s">
        <v>3392</v>
      </c>
      <c r="P343" s="2" t="s">
        <v>169</v>
      </c>
      <c r="Q343" s="3"/>
      <c r="R343" s="3"/>
      <c r="S343" s="2" t="s">
        <v>21</v>
      </c>
      <c r="T343" s="4">
        <v>44955</v>
      </c>
      <c r="U343" s="2" t="s">
        <v>1527</v>
      </c>
      <c r="V343" s="6">
        <f>(Real_Sales[[#This Row],[Price_retail]]-Real_Sales[[#This Row],[Price_current]])/Real_Sales[[#This Row],[Price_retail]]</f>
        <v>0</v>
      </c>
      <c r="W343" s="3" t="str" cm="1">
        <f t="array" ref="W34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3" s="2" t="str">
        <f>IF(Real_Sales[[#This Row],[Price_retail]]&gt;$AC$3,"Premium","Average")</f>
        <v>Average</v>
      </c>
      <c r="Y343" s="2" t="str">
        <f>IF(ISNUMBER(SEARCH("Basic",Real_Sales[[#This Row],[Product_name]])),"Yes","No")</f>
        <v>No</v>
      </c>
      <c r="Z343" s="2" cm="1">
        <f t="array" ref="Z343">_xlfn.IFS(Real_Sales[[#This Row],[Price_retail]]&lt;=15,1, Real_Sales[[#This Row],[Price_retail]]&lt;=30,2, Real_Sales[[#This Row],[Price_retail]]&lt;=50,3,Real_Sales[[#This Row],[Price_retail]]&gt;50,4)</f>
        <v>1</v>
      </c>
    </row>
    <row r="344" spans="1:26" x14ac:dyDescent="0.35">
      <c r="A344" s="2" t="s">
        <v>837</v>
      </c>
      <c r="B344" s="2" t="s">
        <v>838</v>
      </c>
      <c r="C344" s="2" t="s">
        <v>65</v>
      </c>
      <c r="D344" s="2" t="s">
        <v>319</v>
      </c>
      <c r="E344" s="2" t="s">
        <v>4</v>
      </c>
      <c r="F344" s="2" t="s">
        <v>5</v>
      </c>
      <c r="G344" s="2" t="s">
        <v>121</v>
      </c>
      <c r="H344" s="2" t="s">
        <v>90</v>
      </c>
      <c r="I344" s="2" t="s">
        <v>3393</v>
      </c>
      <c r="J344" s="3">
        <v>12.56</v>
      </c>
      <c r="K344" s="3">
        <v>12.56</v>
      </c>
      <c r="L344" s="2" t="s">
        <v>3391</v>
      </c>
      <c r="M344" s="2" t="s">
        <v>9</v>
      </c>
      <c r="N344" s="3">
        <v>604</v>
      </c>
      <c r="O344" s="2" t="s">
        <v>3392</v>
      </c>
      <c r="P344" s="2" t="s">
        <v>30</v>
      </c>
      <c r="Q344" s="3"/>
      <c r="R344" s="3"/>
      <c r="S344" s="2" t="s">
        <v>21</v>
      </c>
      <c r="T344" s="4">
        <v>44955</v>
      </c>
      <c r="U344" s="2" t="s">
        <v>839</v>
      </c>
      <c r="V344" s="6">
        <f>(Real_Sales[[#This Row],[Price_retail]]-Real_Sales[[#This Row],[Price_current]])/Real_Sales[[#This Row],[Price_retail]]</f>
        <v>0</v>
      </c>
      <c r="W344" s="3" t="str" cm="1">
        <f t="array" ref="W3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4" s="2" t="str">
        <f>IF(Real_Sales[[#This Row],[Price_retail]]&gt;$AC$3,"Premium","Average")</f>
        <v>Average</v>
      </c>
      <c r="Y344" s="2" t="str">
        <f>IF(ISNUMBER(SEARCH("Basic",Real_Sales[[#This Row],[Product_name]])),"Yes","No")</f>
        <v>No</v>
      </c>
      <c r="Z344" s="2" cm="1">
        <f t="array" ref="Z344">_xlfn.IFS(Real_Sales[[#This Row],[Price_retail]]&lt;=15,1, Real_Sales[[#This Row],[Price_retail]]&lt;=30,2, Real_Sales[[#This Row],[Price_retail]]&lt;=50,3,Real_Sales[[#This Row],[Price_retail]]&gt;50,4)</f>
        <v>1</v>
      </c>
    </row>
    <row r="345" spans="1:26" x14ac:dyDescent="0.35">
      <c r="A345" s="2" t="s">
        <v>1560</v>
      </c>
      <c r="B345" s="2" t="s">
        <v>1561</v>
      </c>
      <c r="C345" s="2" t="s">
        <v>3433</v>
      </c>
      <c r="D345" s="2" t="s">
        <v>138</v>
      </c>
      <c r="E345" s="2" t="s">
        <v>4</v>
      </c>
      <c r="F345" s="2" t="s">
        <v>5</v>
      </c>
      <c r="G345" s="2" t="s">
        <v>121</v>
      </c>
      <c r="H345" s="2" t="s">
        <v>139</v>
      </c>
      <c r="I345" s="2" t="s">
        <v>3393</v>
      </c>
      <c r="J345" s="3">
        <v>12.57</v>
      </c>
      <c r="K345" s="3">
        <v>12.57</v>
      </c>
      <c r="L345" s="2" t="s">
        <v>3391</v>
      </c>
      <c r="M345" s="2" t="s">
        <v>9</v>
      </c>
      <c r="N345" s="3">
        <v>822</v>
      </c>
      <c r="O345" s="2" t="s">
        <v>69</v>
      </c>
      <c r="P345" s="2" t="s">
        <v>192</v>
      </c>
      <c r="Q345" s="3"/>
      <c r="R345" s="3"/>
      <c r="S345" s="2" t="s">
        <v>21</v>
      </c>
      <c r="T345" s="4">
        <v>44955</v>
      </c>
      <c r="U345" s="2" t="s">
        <v>1562</v>
      </c>
      <c r="V345" s="6">
        <f>(Real_Sales[[#This Row],[Price_retail]]-Real_Sales[[#This Row],[Price_current]])/Real_Sales[[#This Row],[Price_retail]]</f>
        <v>0</v>
      </c>
      <c r="W345" s="3" t="str" cm="1">
        <f t="array" ref="W34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5" s="2" t="str">
        <f>IF(Real_Sales[[#This Row],[Price_retail]]&gt;$AC$3,"Premium","Average")</f>
        <v>Average</v>
      </c>
      <c r="Y345" s="2" t="str">
        <f>IF(ISNUMBER(SEARCH("Basic",Real_Sales[[#This Row],[Product_name]])),"Yes","No")</f>
        <v>Yes</v>
      </c>
      <c r="Z345" s="2" cm="1">
        <f t="array" ref="Z345">_xlfn.IFS(Real_Sales[[#This Row],[Price_retail]]&lt;=15,1, Real_Sales[[#This Row],[Price_retail]]&lt;=30,2, Real_Sales[[#This Row],[Price_retail]]&lt;=50,3,Real_Sales[[#This Row],[Price_retail]]&gt;50,4)</f>
        <v>1</v>
      </c>
    </row>
    <row r="346" spans="1:26" x14ac:dyDescent="0.35">
      <c r="A346" s="2" t="s">
        <v>1493</v>
      </c>
      <c r="B346" s="2" t="s">
        <v>1494</v>
      </c>
      <c r="C346" s="2" t="s">
        <v>412</v>
      </c>
      <c r="D346" s="2" t="s">
        <v>1495</v>
      </c>
      <c r="E346" s="2" t="s">
        <v>4</v>
      </c>
      <c r="F346" s="2" t="s">
        <v>5</v>
      </c>
      <c r="G346" s="2" t="s">
        <v>82</v>
      </c>
      <c r="H346" s="2" t="s">
        <v>35</v>
      </c>
      <c r="I346" s="2" t="s">
        <v>3390</v>
      </c>
      <c r="J346" s="3">
        <v>12.59</v>
      </c>
      <c r="K346" s="3">
        <v>12.59</v>
      </c>
      <c r="L346" s="2" t="s">
        <v>3391</v>
      </c>
      <c r="M346" s="2" t="s">
        <v>9</v>
      </c>
      <c r="N346" s="3">
        <v>201</v>
      </c>
      <c r="O346" s="2" t="s">
        <v>261</v>
      </c>
      <c r="P346" s="2" t="s">
        <v>92</v>
      </c>
      <c r="Q346" s="3"/>
      <c r="R346" s="3"/>
      <c r="S346" s="2" t="s">
        <v>21</v>
      </c>
      <c r="T346" s="4">
        <v>44955</v>
      </c>
      <c r="U346" s="2" t="s">
        <v>1496</v>
      </c>
      <c r="V346" s="6">
        <f>(Real_Sales[[#This Row],[Price_retail]]-Real_Sales[[#This Row],[Price_current]])/Real_Sales[[#This Row],[Price_retail]]</f>
        <v>0</v>
      </c>
      <c r="W346" s="3" t="str" cm="1">
        <f t="array" ref="W3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6" s="2" t="str">
        <f>IF(Real_Sales[[#This Row],[Price_retail]]&gt;$AC$3,"Premium","Average")</f>
        <v>Average</v>
      </c>
      <c r="Y346" s="2" t="str">
        <f>IF(ISNUMBER(SEARCH("Basic",Real_Sales[[#This Row],[Product_name]])),"Yes","No")</f>
        <v>No</v>
      </c>
      <c r="Z346" s="2" cm="1">
        <f t="array" ref="Z346">_xlfn.IFS(Real_Sales[[#This Row],[Price_retail]]&lt;=15,1, Real_Sales[[#This Row],[Price_retail]]&lt;=30,2, Real_Sales[[#This Row],[Price_retail]]&lt;=50,3,Real_Sales[[#This Row],[Price_retail]]&gt;50,4)</f>
        <v>1</v>
      </c>
    </row>
    <row r="347" spans="1:26" x14ac:dyDescent="0.35">
      <c r="A347" s="2" t="s">
        <v>2283</v>
      </c>
      <c r="B347" s="2" t="s">
        <v>2284</v>
      </c>
      <c r="C347" s="2" t="s">
        <v>41</v>
      </c>
      <c r="D347" s="2" t="s">
        <v>494</v>
      </c>
      <c r="E347" s="2" t="s">
        <v>4</v>
      </c>
      <c r="F347" s="2" t="s">
        <v>17</v>
      </c>
      <c r="G347" s="2" t="s">
        <v>67</v>
      </c>
      <c r="H347" s="2" t="s">
        <v>83</v>
      </c>
      <c r="I347" s="2" t="s">
        <v>3393</v>
      </c>
      <c r="J347" s="3">
        <v>12.63</v>
      </c>
      <c r="K347" s="3">
        <v>12.63</v>
      </c>
      <c r="L347" s="2" t="s">
        <v>3391</v>
      </c>
      <c r="M347" s="2" t="s">
        <v>9</v>
      </c>
      <c r="N347" s="3">
        <v>941</v>
      </c>
      <c r="O347" s="2" t="s">
        <v>20</v>
      </c>
      <c r="P347" s="2" t="s">
        <v>53</v>
      </c>
      <c r="Q347" s="3"/>
      <c r="R347" s="3"/>
      <c r="S347" s="2" t="s">
        <v>21</v>
      </c>
      <c r="T347" s="4">
        <v>44955</v>
      </c>
      <c r="U347" s="2" t="s">
        <v>2285</v>
      </c>
      <c r="V347" s="6">
        <f>(Real_Sales[[#This Row],[Price_retail]]-Real_Sales[[#This Row],[Price_current]])/Real_Sales[[#This Row],[Price_retail]]</f>
        <v>0</v>
      </c>
      <c r="W347" s="3" t="str" cm="1">
        <f t="array" ref="W34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47" s="2" t="str">
        <f>IF(Real_Sales[[#This Row],[Price_retail]]&gt;$AC$3,"Premium","Average")</f>
        <v>Average</v>
      </c>
      <c r="Y347" s="2" t="str">
        <f>IF(ISNUMBER(SEARCH("Basic",Real_Sales[[#This Row],[Product_name]])),"Yes","No")</f>
        <v>Yes</v>
      </c>
      <c r="Z347" s="2" cm="1">
        <f t="array" ref="Z347">_xlfn.IFS(Real_Sales[[#This Row],[Price_retail]]&lt;=15,1, Real_Sales[[#This Row],[Price_retail]]&lt;=30,2, Real_Sales[[#This Row],[Price_retail]]&lt;=50,3,Real_Sales[[#This Row],[Price_retail]]&gt;50,4)</f>
        <v>1</v>
      </c>
    </row>
    <row r="348" spans="1:26" x14ac:dyDescent="0.35">
      <c r="A348" s="2" t="s">
        <v>2289</v>
      </c>
      <c r="B348" s="2" t="s">
        <v>2290</v>
      </c>
      <c r="C348" s="2" t="s">
        <v>3394</v>
      </c>
      <c r="D348" s="2" t="s">
        <v>1574</v>
      </c>
      <c r="E348" s="2" t="s">
        <v>4</v>
      </c>
      <c r="F348" s="2" t="s">
        <v>17</v>
      </c>
      <c r="G348" s="2" t="s">
        <v>50</v>
      </c>
      <c r="H348" s="2" t="s">
        <v>237</v>
      </c>
      <c r="I348" s="2" t="s">
        <v>3393</v>
      </c>
      <c r="J348" s="3">
        <v>12.66</v>
      </c>
      <c r="K348" s="3">
        <v>9.65</v>
      </c>
      <c r="L348" s="2" t="s">
        <v>8</v>
      </c>
      <c r="M348" s="2" t="s">
        <v>9</v>
      </c>
      <c r="N348" s="3">
        <v>412</v>
      </c>
      <c r="O348" s="2" t="s">
        <v>359</v>
      </c>
      <c r="P348" s="2" t="s">
        <v>44</v>
      </c>
      <c r="Q348" s="3"/>
      <c r="R348" s="3"/>
      <c r="S348" s="2" t="s">
        <v>12</v>
      </c>
      <c r="T348" s="4">
        <v>44955</v>
      </c>
      <c r="U348" s="2" t="s">
        <v>2291</v>
      </c>
      <c r="V348" s="6">
        <f>(Real_Sales[[#This Row],[Price_retail]]-Real_Sales[[#This Row],[Price_current]])/Real_Sales[[#This Row],[Price_retail]]</f>
        <v>0.23775671406003157</v>
      </c>
      <c r="W348" s="3" t="str" cm="1">
        <f t="array" ref="W34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48" s="2" t="str">
        <f>IF(Real_Sales[[#This Row],[Price_retail]]&gt;$AC$3,"Premium","Average")</f>
        <v>Average</v>
      </c>
      <c r="Y348" s="2" t="str">
        <f>IF(ISNUMBER(SEARCH("Basic",Real_Sales[[#This Row],[Product_name]])),"Yes","No")</f>
        <v>No</v>
      </c>
      <c r="Z348" s="2" cm="1">
        <f t="array" ref="Z348">_xlfn.IFS(Real_Sales[[#This Row],[Price_retail]]&lt;=15,1, Real_Sales[[#This Row],[Price_retail]]&lt;=30,2, Real_Sales[[#This Row],[Price_retail]]&lt;=50,3,Real_Sales[[#This Row],[Price_retail]]&gt;50,4)</f>
        <v>1</v>
      </c>
    </row>
    <row r="349" spans="1:26" x14ac:dyDescent="0.35">
      <c r="A349" s="2" t="s">
        <v>344</v>
      </c>
      <c r="B349" s="2" t="s">
        <v>345</v>
      </c>
      <c r="C349" s="2" t="s">
        <v>242</v>
      </c>
      <c r="D349" s="2" t="s">
        <v>346</v>
      </c>
      <c r="E349" s="2" t="s">
        <v>4</v>
      </c>
      <c r="F349" s="2" t="s">
        <v>5</v>
      </c>
      <c r="G349" s="2" t="s">
        <v>82</v>
      </c>
      <c r="H349" s="2"/>
      <c r="I349" s="2" t="s">
        <v>3393</v>
      </c>
      <c r="J349" s="3">
        <v>12.68</v>
      </c>
      <c r="K349" s="3">
        <v>10.81</v>
      </c>
      <c r="L349" s="2" t="s">
        <v>8</v>
      </c>
      <c r="M349" s="2" t="s">
        <v>9</v>
      </c>
      <c r="N349" s="3">
        <v>332</v>
      </c>
      <c r="O349" s="2" t="s">
        <v>347</v>
      </c>
      <c r="P349" s="2" t="s">
        <v>37</v>
      </c>
      <c r="Q349" s="3"/>
      <c r="R349" s="3"/>
      <c r="S349" s="2" t="s">
        <v>21</v>
      </c>
      <c r="T349" s="4">
        <v>44955</v>
      </c>
      <c r="U349" s="2" t="s">
        <v>348</v>
      </c>
      <c r="V349" s="6">
        <f>(Real_Sales[[#This Row],[Price_retail]]-Real_Sales[[#This Row],[Price_current]])/Real_Sales[[#This Row],[Price_retail]]</f>
        <v>0.14747634069400625</v>
      </c>
      <c r="W349" s="3" t="str" cm="1">
        <f t="array" ref="W34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49" s="2" t="str">
        <f>IF(Real_Sales[[#This Row],[Price_retail]]&gt;$AC$3,"Premium","Average")</f>
        <v>Average</v>
      </c>
      <c r="Y349" s="2" t="str">
        <f>IF(ISNUMBER(SEARCH("Basic",Real_Sales[[#This Row],[Product_name]])),"Yes","No")</f>
        <v>No</v>
      </c>
      <c r="Z349" s="2" cm="1">
        <f t="array" ref="Z349">_xlfn.IFS(Real_Sales[[#This Row],[Price_retail]]&lt;=15,1, Real_Sales[[#This Row],[Price_retail]]&lt;=30,2, Real_Sales[[#This Row],[Price_retail]]&lt;=50,3,Real_Sales[[#This Row],[Price_retail]]&gt;50,4)</f>
        <v>1</v>
      </c>
    </row>
    <row r="350" spans="1:26" x14ac:dyDescent="0.35">
      <c r="A350" s="2" t="s">
        <v>2362</v>
      </c>
      <c r="B350" s="2" t="s">
        <v>2363</v>
      </c>
      <c r="C350" s="2" t="s">
        <v>3394</v>
      </c>
      <c r="D350" s="2" t="s">
        <v>1206</v>
      </c>
      <c r="E350" s="2" t="s">
        <v>4</v>
      </c>
      <c r="F350" s="2" t="s">
        <v>17</v>
      </c>
      <c r="G350" s="2" t="s">
        <v>67</v>
      </c>
      <c r="H350" s="2" t="s">
        <v>418</v>
      </c>
      <c r="I350" s="2" t="s">
        <v>3390</v>
      </c>
      <c r="J350" s="3">
        <v>12.69</v>
      </c>
      <c r="K350" s="3">
        <v>9.9700000000000006</v>
      </c>
      <c r="L350" s="2" t="s">
        <v>8</v>
      </c>
      <c r="M350" s="2" t="s">
        <v>9</v>
      </c>
      <c r="N350" s="3">
        <v>759</v>
      </c>
      <c r="O350" s="2" t="s">
        <v>140</v>
      </c>
      <c r="P350" s="2" t="s">
        <v>76</v>
      </c>
      <c r="Q350" s="3"/>
      <c r="R350" s="3"/>
      <c r="S350" s="2" t="s">
        <v>21</v>
      </c>
      <c r="T350" s="4">
        <v>44955</v>
      </c>
      <c r="U350" s="2" t="s">
        <v>2364</v>
      </c>
      <c r="V350" s="6">
        <f>(Real_Sales[[#This Row],[Price_retail]]-Real_Sales[[#This Row],[Price_current]])/Real_Sales[[#This Row],[Price_retail]]</f>
        <v>0.21434200157604405</v>
      </c>
      <c r="W350" s="3" t="str" cm="1">
        <f t="array" ref="W35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0" s="2" t="str">
        <f>IF(Real_Sales[[#This Row],[Price_retail]]&gt;$AC$3,"Premium","Average")</f>
        <v>Average</v>
      </c>
      <c r="Y350" s="2" t="str">
        <f>IF(ISNUMBER(SEARCH("Basic",Real_Sales[[#This Row],[Product_name]])),"Yes","No")</f>
        <v>No</v>
      </c>
      <c r="Z350" s="2" cm="1">
        <f t="array" ref="Z350">_xlfn.IFS(Real_Sales[[#This Row],[Price_retail]]&lt;=15,1, Real_Sales[[#This Row],[Price_retail]]&lt;=30,2, Real_Sales[[#This Row],[Price_retail]]&lt;=50,3,Real_Sales[[#This Row],[Price_retail]]&gt;50,4)</f>
        <v>1</v>
      </c>
    </row>
    <row r="351" spans="1:26" x14ac:dyDescent="0.35">
      <c r="A351" s="2" t="s">
        <v>3323</v>
      </c>
      <c r="B351" s="2" t="s">
        <v>3324</v>
      </c>
      <c r="C351" s="2" t="s">
        <v>616</v>
      </c>
      <c r="D351" s="2" t="s">
        <v>120</v>
      </c>
      <c r="E351" s="2" t="s">
        <v>4</v>
      </c>
      <c r="F351" s="2" t="s">
        <v>5</v>
      </c>
      <c r="G351" s="2" t="s">
        <v>121</v>
      </c>
      <c r="H351" s="2" t="s">
        <v>35</v>
      </c>
      <c r="I351" s="2" t="s">
        <v>3390</v>
      </c>
      <c r="J351" s="3">
        <v>12.7</v>
      </c>
      <c r="K351" s="3">
        <v>12.7</v>
      </c>
      <c r="L351" s="2" t="s">
        <v>3391</v>
      </c>
      <c r="M351" s="2" t="s">
        <v>9</v>
      </c>
      <c r="N351" s="3">
        <v>944</v>
      </c>
      <c r="O351" s="2" t="s">
        <v>3392</v>
      </c>
      <c r="P351" s="2" t="s">
        <v>328</v>
      </c>
      <c r="Q351" s="3"/>
      <c r="R351" s="3"/>
      <c r="S351" s="2" t="s">
        <v>21</v>
      </c>
      <c r="T351" s="4">
        <v>44955</v>
      </c>
      <c r="U351" s="2" t="s">
        <v>3325</v>
      </c>
      <c r="V351" s="6">
        <f>(Real_Sales[[#This Row],[Price_retail]]-Real_Sales[[#This Row],[Price_current]])/Real_Sales[[#This Row],[Price_retail]]</f>
        <v>0</v>
      </c>
      <c r="W351" s="3" t="str" cm="1">
        <f t="array" ref="W35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51" s="2" t="str">
        <f>IF(Real_Sales[[#This Row],[Price_retail]]&gt;$AC$3,"Premium","Average")</f>
        <v>Average</v>
      </c>
      <c r="Y351" s="2" t="str">
        <f>IF(ISNUMBER(SEARCH("Basic",Real_Sales[[#This Row],[Product_name]])),"Yes","No")</f>
        <v>No</v>
      </c>
      <c r="Z351" s="2" cm="1">
        <f t="array" ref="Z351">_xlfn.IFS(Real_Sales[[#This Row],[Price_retail]]&lt;=15,1, Real_Sales[[#This Row],[Price_retail]]&lt;=30,2, Real_Sales[[#This Row],[Price_retail]]&lt;=50,3,Real_Sales[[#This Row],[Price_retail]]&gt;50,4)</f>
        <v>1</v>
      </c>
    </row>
    <row r="352" spans="1:26" x14ac:dyDescent="0.35">
      <c r="A352" s="2" t="s">
        <v>3344</v>
      </c>
      <c r="B352" s="2" t="s">
        <v>3345</v>
      </c>
      <c r="C352" s="2" t="s">
        <v>2915</v>
      </c>
      <c r="D352" s="2" t="s">
        <v>617</v>
      </c>
      <c r="E352" s="2" t="s">
        <v>4</v>
      </c>
      <c r="F352" s="2" t="s">
        <v>5</v>
      </c>
      <c r="G352" s="2" t="s">
        <v>6</v>
      </c>
      <c r="H352" s="2" t="s">
        <v>83</v>
      </c>
      <c r="I352" s="2" t="s">
        <v>3393</v>
      </c>
      <c r="J352" s="3">
        <v>12.71</v>
      </c>
      <c r="K352" s="3">
        <v>7.82</v>
      </c>
      <c r="L352" s="2" t="s">
        <v>8</v>
      </c>
      <c r="M352" s="2" t="s">
        <v>9</v>
      </c>
      <c r="N352" s="3">
        <v>728</v>
      </c>
      <c r="O352" s="2" t="s">
        <v>104</v>
      </c>
      <c r="P352" s="2" t="s">
        <v>128</v>
      </c>
      <c r="Q352" s="3"/>
      <c r="R352" s="3"/>
      <c r="S352" s="2" t="s">
        <v>12</v>
      </c>
      <c r="T352" s="4">
        <v>44955</v>
      </c>
      <c r="U352" s="2" t="s">
        <v>3346</v>
      </c>
      <c r="V352" s="6">
        <f>(Real_Sales[[#This Row],[Price_retail]]-Real_Sales[[#This Row],[Price_current]])/Real_Sales[[#This Row],[Price_retail]]</f>
        <v>0.38473642800944141</v>
      </c>
      <c r="W352" s="3" t="str" cm="1">
        <f t="array" ref="W35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2" s="2" t="str">
        <f>IF(Real_Sales[[#This Row],[Price_retail]]&gt;$AC$3,"Premium","Average")</f>
        <v>Average</v>
      </c>
      <c r="Y352" s="2" t="str">
        <f>IF(ISNUMBER(SEARCH("Basic",Real_Sales[[#This Row],[Product_name]])),"Yes","No")</f>
        <v>No</v>
      </c>
      <c r="Z352" s="2" cm="1">
        <f t="array" ref="Z352">_xlfn.IFS(Real_Sales[[#This Row],[Price_retail]]&lt;=15,1, Real_Sales[[#This Row],[Price_retail]]&lt;=30,2, Real_Sales[[#This Row],[Price_retail]]&lt;=50,3,Real_Sales[[#This Row],[Price_retail]]&gt;50,4)</f>
        <v>1</v>
      </c>
    </row>
    <row r="353" spans="1:26" x14ac:dyDescent="0.35">
      <c r="A353" s="2" t="s">
        <v>3296</v>
      </c>
      <c r="B353" s="2" t="s">
        <v>3297</v>
      </c>
      <c r="C353" s="2" t="s">
        <v>108</v>
      </c>
      <c r="D353" s="2" t="s">
        <v>640</v>
      </c>
      <c r="E353" s="2" t="s">
        <v>4</v>
      </c>
      <c r="F353" s="2" t="s">
        <v>17</v>
      </c>
      <c r="G353" s="2" t="s">
        <v>67</v>
      </c>
      <c r="H353" s="2"/>
      <c r="I353" s="2" t="s">
        <v>3393</v>
      </c>
      <c r="J353" s="3">
        <v>12.71</v>
      </c>
      <c r="K353" s="3">
        <v>8.26</v>
      </c>
      <c r="L353" s="2" t="s">
        <v>8</v>
      </c>
      <c r="M353" s="2" t="s">
        <v>9</v>
      </c>
      <c r="N353" s="3">
        <v>653</v>
      </c>
      <c r="O353" s="2" t="s">
        <v>91</v>
      </c>
      <c r="P353" s="2" t="s">
        <v>44</v>
      </c>
      <c r="Q353" s="3"/>
      <c r="R353" s="3"/>
      <c r="S353" s="2" t="s">
        <v>21</v>
      </c>
      <c r="T353" s="4">
        <v>44955</v>
      </c>
      <c r="U353" s="2" t="s">
        <v>3298</v>
      </c>
      <c r="V353" s="6">
        <f>(Real_Sales[[#This Row],[Price_retail]]-Real_Sales[[#This Row],[Price_current]])/Real_Sales[[#This Row],[Price_retail]]</f>
        <v>0.35011801730920539</v>
      </c>
      <c r="W353" s="3" t="str" cm="1">
        <f t="array" ref="W35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3" s="2" t="str">
        <f>IF(Real_Sales[[#This Row],[Price_retail]]&gt;$AC$3,"Premium","Average")</f>
        <v>Average</v>
      </c>
      <c r="Y353" s="2" t="str">
        <f>IF(ISNUMBER(SEARCH("Basic",Real_Sales[[#This Row],[Product_name]])),"Yes","No")</f>
        <v>No</v>
      </c>
      <c r="Z353" s="2" cm="1">
        <f t="array" ref="Z353">_xlfn.IFS(Real_Sales[[#This Row],[Price_retail]]&lt;=15,1, Real_Sales[[#This Row],[Price_retail]]&lt;=30,2, Real_Sales[[#This Row],[Price_retail]]&lt;=50,3,Real_Sales[[#This Row],[Price_retail]]&gt;50,4)</f>
        <v>1</v>
      </c>
    </row>
    <row r="354" spans="1:26" x14ac:dyDescent="0.35">
      <c r="A354" s="2" t="s">
        <v>3347</v>
      </c>
      <c r="B354" s="2" t="s">
        <v>3348</v>
      </c>
      <c r="C354" s="2" t="s">
        <v>114</v>
      </c>
      <c r="D354" s="2" t="s">
        <v>253</v>
      </c>
      <c r="E354" s="2" t="s">
        <v>4</v>
      </c>
      <c r="F354" s="2" t="s">
        <v>5</v>
      </c>
      <c r="G354" s="2" t="s">
        <v>6</v>
      </c>
      <c r="H354" s="2" t="s">
        <v>35</v>
      </c>
      <c r="I354" s="2" t="s">
        <v>3390</v>
      </c>
      <c r="J354" s="3">
        <v>12.71</v>
      </c>
      <c r="K354" s="3">
        <v>8.74</v>
      </c>
      <c r="L354" s="2" t="s">
        <v>8</v>
      </c>
      <c r="M354" s="2" t="s">
        <v>9</v>
      </c>
      <c r="N354" s="3">
        <v>981</v>
      </c>
      <c r="O354" s="2" t="s">
        <v>3392</v>
      </c>
      <c r="P354" s="2" t="s">
        <v>1629</v>
      </c>
      <c r="Q354" s="3"/>
      <c r="R354" s="3"/>
      <c r="S354" s="2" t="s">
        <v>21</v>
      </c>
      <c r="T354" s="4">
        <v>44955</v>
      </c>
      <c r="U354" s="2" t="s">
        <v>3349</v>
      </c>
      <c r="V354" s="6">
        <f>(Real_Sales[[#This Row],[Price_retail]]-Real_Sales[[#This Row],[Price_current]])/Real_Sales[[#This Row],[Price_retail]]</f>
        <v>0.31235247836349334</v>
      </c>
      <c r="W354" s="3" t="str" cm="1">
        <f t="array" ref="W35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4" s="2" t="str">
        <f>IF(Real_Sales[[#This Row],[Price_retail]]&gt;$AC$3,"Premium","Average")</f>
        <v>Average</v>
      </c>
      <c r="Y354" s="2" t="str">
        <f>IF(ISNUMBER(SEARCH("Basic",Real_Sales[[#This Row],[Product_name]])),"Yes","No")</f>
        <v>No</v>
      </c>
      <c r="Z354" s="2" cm="1">
        <f t="array" ref="Z354">_xlfn.IFS(Real_Sales[[#This Row],[Price_retail]]&lt;=15,1, Real_Sales[[#This Row],[Price_retail]]&lt;=30,2, Real_Sales[[#This Row],[Price_retail]]&lt;=50,3,Real_Sales[[#This Row],[Price_retail]]&gt;50,4)</f>
        <v>1</v>
      </c>
    </row>
    <row r="355" spans="1:26" x14ac:dyDescent="0.35">
      <c r="A355" s="2" t="s">
        <v>2168</v>
      </c>
      <c r="B355" s="2" t="s">
        <v>2169</v>
      </c>
      <c r="C355" s="2" t="s">
        <v>41</v>
      </c>
      <c r="D355" s="2" t="s">
        <v>1324</v>
      </c>
      <c r="E355" s="2" t="s">
        <v>4</v>
      </c>
      <c r="F355" s="2" t="s">
        <v>17</v>
      </c>
      <c r="G355" s="2" t="s">
        <v>50</v>
      </c>
      <c r="H355" s="2" t="s">
        <v>19</v>
      </c>
      <c r="I355" s="2" t="s">
        <v>3390</v>
      </c>
      <c r="J355" s="3">
        <v>12.74</v>
      </c>
      <c r="K355" s="3">
        <v>12.74</v>
      </c>
      <c r="L355" s="2" t="s">
        <v>248</v>
      </c>
      <c r="M355" s="2" t="s">
        <v>9</v>
      </c>
      <c r="N355" s="3">
        <v>800</v>
      </c>
      <c r="O355" s="2" t="s">
        <v>60</v>
      </c>
      <c r="P355" s="2" t="s">
        <v>186</v>
      </c>
      <c r="Q355" s="3"/>
      <c r="R355" s="3"/>
      <c r="S355" s="2" t="s">
        <v>21</v>
      </c>
      <c r="T355" s="4">
        <v>44955</v>
      </c>
      <c r="U355" s="2" t="s">
        <v>2170</v>
      </c>
      <c r="V355" s="6">
        <f>(Real_Sales[[#This Row],[Price_retail]]-Real_Sales[[#This Row],[Price_current]])/Real_Sales[[#This Row],[Price_retail]]</f>
        <v>0</v>
      </c>
      <c r="W355" s="3" t="str" cm="1">
        <f t="array" ref="W35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55" s="2" t="str">
        <f>IF(Real_Sales[[#This Row],[Price_retail]]&gt;$AC$3,"Premium","Average")</f>
        <v>Average</v>
      </c>
      <c r="Y355" s="2" t="str">
        <f>IF(ISNUMBER(SEARCH("Basic",Real_Sales[[#This Row],[Product_name]])),"Yes","No")</f>
        <v>Yes</v>
      </c>
      <c r="Z355" s="2" cm="1">
        <f t="array" ref="Z355">_xlfn.IFS(Real_Sales[[#This Row],[Price_retail]]&lt;=15,1, Real_Sales[[#This Row],[Price_retail]]&lt;=30,2, Real_Sales[[#This Row],[Price_retail]]&lt;=50,3,Real_Sales[[#This Row],[Price_retail]]&gt;50,4)</f>
        <v>1</v>
      </c>
    </row>
    <row r="356" spans="1:26" x14ac:dyDescent="0.35">
      <c r="A356" s="2" t="s">
        <v>973</v>
      </c>
      <c r="B356" s="2" t="s">
        <v>974</v>
      </c>
      <c r="C356" s="2" t="s">
        <v>2915</v>
      </c>
      <c r="D356" s="2" t="s">
        <v>633</v>
      </c>
      <c r="E356" s="2" t="s">
        <v>4</v>
      </c>
      <c r="F356" s="2" t="s">
        <v>5</v>
      </c>
      <c r="G356" s="2" t="s">
        <v>82</v>
      </c>
      <c r="H356" s="2" t="s">
        <v>90</v>
      </c>
      <c r="I356" s="2" t="s">
        <v>3393</v>
      </c>
      <c r="J356" s="3">
        <v>12.76</v>
      </c>
      <c r="K356" s="3">
        <v>8.23</v>
      </c>
      <c r="L356" s="2" t="s">
        <v>8</v>
      </c>
      <c r="M356" s="2" t="s">
        <v>9</v>
      </c>
      <c r="N356" s="3">
        <v>899</v>
      </c>
      <c r="O356" s="2" t="s">
        <v>29</v>
      </c>
      <c r="P356" s="2" t="s">
        <v>92</v>
      </c>
      <c r="Q356" s="3"/>
      <c r="R356" s="3"/>
      <c r="S356" s="2" t="s">
        <v>21</v>
      </c>
      <c r="T356" s="4">
        <v>44955</v>
      </c>
      <c r="U356" s="2" t="s">
        <v>975</v>
      </c>
      <c r="V356" s="6">
        <f>(Real_Sales[[#This Row],[Price_retail]]-Real_Sales[[#This Row],[Price_current]])/Real_Sales[[#This Row],[Price_retail]]</f>
        <v>0.35501567398119116</v>
      </c>
      <c r="W356" s="3" t="str" cm="1">
        <f t="array" ref="W35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6" s="2" t="str">
        <f>IF(Real_Sales[[#This Row],[Price_retail]]&gt;$AC$3,"Premium","Average")</f>
        <v>Average</v>
      </c>
      <c r="Y356" s="2" t="str">
        <f>IF(ISNUMBER(SEARCH("Basic",Real_Sales[[#This Row],[Product_name]])),"Yes","No")</f>
        <v>No</v>
      </c>
      <c r="Z356" s="2" cm="1">
        <f t="array" ref="Z356">_xlfn.IFS(Real_Sales[[#This Row],[Price_retail]]&lt;=15,1, Real_Sales[[#This Row],[Price_retail]]&lt;=30,2, Real_Sales[[#This Row],[Price_retail]]&lt;=50,3,Real_Sales[[#This Row],[Price_retail]]&gt;50,4)</f>
        <v>1</v>
      </c>
    </row>
    <row r="357" spans="1:26" x14ac:dyDescent="0.35">
      <c r="A357" s="2" t="s">
        <v>2474</v>
      </c>
      <c r="B357" s="2" t="s">
        <v>2475</v>
      </c>
      <c r="C357" s="2" t="s">
        <v>1973</v>
      </c>
      <c r="D357" s="2" t="s">
        <v>1247</v>
      </c>
      <c r="E357" s="2" t="s">
        <v>4</v>
      </c>
      <c r="F357" s="2" t="s">
        <v>5</v>
      </c>
      <c r="G357" s="2" t="s">
        <v>6</v>
      </c>
      <c r="H357" s="2" t="s">
        <v>237</v>
      </c>
      <c r="I357" s="2" t="s">
        <v>3395</v>
      </c>
      <c r="J357" s="3">
        <v>12.76</v>
      </c>
      <c r="K357" s="3">
        <v>9.84</v>
      </c>
      <c r="L357" s="2" t="s">
        <v>8</v>
      </c>
      <c r="M357" s="2" t="s">
        <v>9</v>
      </c>
      <c r="N357" s="3">
        <v>765</v>
      </c>
      <c r="O357" s="2" t="s">
        <v>3392</v>
      </c>
      <c r="P357" s="2" t="s">
        <v>70</v>
      </c>
      <c r="Q357" s="3"/>
      <c r="R357" s="3"/>
      <c r="S357" s="2" t="s">
        <v>21</v>
      </c>
      <c r="T357" s="4">
        <v>44955</v>
      </c>
      <c r="U357" s="2" t="s">
        <v>2476</v>
      </c>
      <c r="V357" s="6">
        <f>(Real_Sales[[#This Row],[Price_retail]]-Real_Sales[[#This Row],[Price_current]])/Real_Sales[[#This Row],[Price_retail]]</f>
        <v>0.22884012539184953</v>
      </c>
      <c r="W357" s="3" t="str" cm="1">
        <f t="array" ref="W35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7" s="2" t="str">
        <f>IF(Real_Sales[[#This Row],[Price_retail]]&gt;$AC$3,"Premium","Average")</f>
        <v>Average</v>
      </c>
      <c r="Y357" s="2" t="str">
        <f>IF(ISNUMBER(SEARCH("Basic",Real_Sales[[#This Row],[Product_name]])),"Yes","No")</f>
        <v>No</v>
      </c>
      <c r="Z357" s="2" cm="1">
        <f t="array" ref="Z357">_xlfn.IFS(Real_Sales[[#This Row],[Price_retail]]&lt;=15,1, Real_Sales[[#This Row],[Price_retail]]&lt;=30,2, Real_Sales[[#This Row],[Price_retail]]&lt;=50,3,Real_Sales[[#This Row],[Price_retail]]&gt;50,4)</f>
        <v>1</v>
      </c>
    </row>
    <row r="358" spans="1:26" x14ac:dyDescent="0.35">
      <c r="A358" s="2" t="s">
        <v>2559</v>
      </c>
      <c r="B358" s="2" t="s">
        <v>2560</v>
      </c>
      <c r="C358" s="2" t="s">
        <v>2915</v>
      </c>
      <c r="D358" s="2" t="s">
        <v>905</v>
      </c>
      <c r="E358" s="2" t="s">
        <v>4</v>
      </c>
      <c r="F358" s="2" t="s">
        <v>5</v>
      </c>
      <c r="G358" s="2" t="s">
        <v>6</v>
      </c>
      <c r="H358" s="2" t="s">
        <v>28</v>
      </c>
      <c r="I358" s="2" t="s">
        <v>3393</v>
      </c>
      <c r="J358" s="3">
        <v>12.8</v>
      </c>
      <c r="K358" s="3">
        <v>8.6199999999999992</v>
      </c>
      <c r="L358" s="2" t="s">
        <v>8</v>
      </c>
      <c r="M358" s="2" t="s">
        <v>9</v>
      </c>
      <c r="N358" s="3">
        <v>674</v>
      </c>
      <c r="O358" s="2" t="s">
        <v>29</v>
      </c>
      <c r="P358" s="2" t="s">
        <v>44</v>
      </c>
      <c r="Q358" s="3"/>
      <c r="R358" s="3"/>
      <c r="S358" s="2" t="s">
        <v>21</v>
      </c>
      <c r="T358" s="4">
        <v>44955</v>
      </c>
      <c r="U358" s="2" t="s">
        <v>2561</v>
      </c>
      <c r="V358" s="6">
        <f>(Real_Sales[[#This Row],[Price_retail]]-Real_Sales[[#This Row],[Price_current]])/Real_Sales[[#This Row],[Price_retail]]</f>
        <v>0.32656250000000009</v>
      </c>
      <c r="W358" s="3" t="str" cm="1">
        <f t="array" ref="W35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58" s="2" t="str">
        <f>IF(Real_Sales[[#This Row],[Price_retail]]&gt;$AC$3,"Premium","Average")</f>
        <v>Average</v>
      </c>
      <c r="Y358" s="2" t="str">
        <f>IF(ISNUMBER(SEARCH("Basic",Real_Sales[[#This Row],[Product_name]])),"Yes","No")</f>
        <v>No</v>
      </c>
      <c r="Z358" s="2" cm="1">
        <f t="array" ref="Z358">_xlfn.IFS(Real_Sales[[#This Row],[Price_retail]]&lt;=15,1, Real_Sales[[#This Row],[Price_retail]]&lt;=30,2, Real_Sales[[#This Row],[Price_retail]]&lt;=50,3,Real_Sales[[#This Row],[Price_retail]]&gt;50,4)</f>
        <v>1</v>
      </c>
    </row>
    <row r="359" spans="1:26" x14ac:dyDescent="0.35">
      <c r="A359" s="2" t="s">
        <v>1583</v>
      </c>
      <c r="B359" s="2" t="s">
        <v>1584</v>
      </c>
      <c r="C359" s="2" t="s">
        <v>616</v>
      </c>
      <c r="D359" s="2" t="s">
        <v>474</v>
      </c>
      <c r="E359" s="2" t="s">
        <v>4</v>
      </c>
      <c r="F359" s="2" t="s">
        <v>17</v>
      </c>
      <c r="G359" s="2" t="s">
        <v>18</v>
      </c>
      <c r="H359" s="2" t="s">
        <v>83</v>
      </c>
      <c r="I359" s="2" t="s">
        <v>3393</v>
      </c>
      <c r="J359" s="3">
        <v>12.8</v>
      </c>
      <c r="K359" s="3">
        <v>12.8</v>
      </c>
      <c r="L359" s="2" t="s">
        <v>3391</v>
      </c>
      <c r="M359" s="2" t="s">
        <v>9</v>
      </c>
      <c r="N359" s="3">
        <v>239</v>
      </c>
      <c r="O359" s="2" t="s">
        <v>359</v>
      </c>
      <c r="P359" s="2" t="s">
        <v>53</v>
      </c>
      <c r="Q359" s="3"/>
      <c r="R359" s="3"/>
      <c r="S359" s="2" t="s">
        <v>21</v>
      </c>
      <c r="T359" s="4">
        <v>44955</v>
      </c>
      <c r="U359" s="2" t="s">
        <v>1585</v>
      </c>
      <c r="V359" s="6">
        <f>(Real_Sales[[#This Row],[Price_retail]]-Real_Sales[[#This Row],[Price_current]])/Real_Sales[[#This Row],[Price_retail]]</f>
        <v>0</v>
      </c>
      <c r="W359" s="3" t="str" cm="1">
        <f t="array" ref="W35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59" s="2" t="str">
        <f>IF(Real_Sales[[#This Row],[Price_retail]]&gt;$AC$3,"Premium","Average")</f>
        <v>Average</v>
      </c>
      <c r="Y359" s="2" t="str">
        <f>IF(ISNUMBER(SEARCH("Basic",Real_Sales[[#This Row],[Product_name]])),"Yes","No")</f>
        <v>No</v>
      </c>
      <c r="Z359" s="2" cm="1">
        <f t="array" ref="Z359">_xlfn.IFS(Real_Sales[[#This Row],[Price_retail]]&lt;=15,1, Real_Sales[[#This Row],[Price_retail]]&lt;=30,2, Real_Sales[[#This Row],[Price_retail]]&lt;=50,3,Real_Sales[[#This Row],[Price_retail]]&gt;50,4)</f>
        <v>1</v>
      </c>
    </row>
    <row r="360" spans="1:26" x14ac:dyDescent="0.35">
      <c r="A360" s="2" t="s">
        <v>2102</v>
      </c>
      <c r="B360" s="2" t="s">
        <v>2103</v>
      </c>
      <c r="C360" s="2" t="s">
        <v>484</v>
      </c>
      <c r="D360" s="2" t="s">
        <v>577</v>
      </c>
      <c r="E360" s="2" t="s">
        <v>4</v>
      </c>
      <c r="F360" s="2" t="s">
        <v>5</v>
      </c>
      <c r="G360" s="2" t="s">
        <v>6</v>
      </c>
      <c r="H360" s="2" t="s">
        <v>168</v>
      </c>
      <c r="I360" s="2" t="s">
        <v>3390</v>
      </c>
      <c r="J360" s="3">
        <v>12.82</v>
      </c>
      <c r="K360" s="3">
        <v>10.38</v>
      </c>
      <c r="L360" s="2" t="s">
        <v>8</v>
      </c>
      <c r="M360" s="2" t="s">
        <v>9</v>
      </c>
      <c r="N360" s="3">
        <v>137</v>
      </c>
      <c r="O360" s="2" t="s">
        <v>267</v>
      </c>
      <c r="P360" s="2" t="s">
        <v>3392</v>
      </c>
      <c r="Q360" s="3"/>
      <c r="R360" s="3"/>
      <c r="S360" s="2" t="s">
        <v>21</v>
      </c>
      <c r="T360" s="4">
        <v>44955</v>
      </c>
      <c r="U360" s="2" t="s">
        <v>2104</v>
      </c>
      <c r="V360" s="6">
        <f>(Real_Sales[[#This Row],[Price_retail]]-Real_Sales[[#This Row],[Price_current]])/Real_Sales[[#This Row],[Price_retail]]</f>
        <v>0.19032761310452415</v>
      </c>
      <c r="W360" s="3" t="str" cm="1">
        <f t="array" ref="W360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60" s="2" t="str">
        <f>IF(Real_Sales[[#This Row],[Price_retail]]&gt;$AC$3,"Premium","Average")</f>
        <v>Average</v>
      </c>
      <c r="Y360" s="2" t="str">
        <f>IF(ISNUMBER(SEARCH("Basic",Real_Sales[[#This Row],[Product_name]])),"Yes","No")</f>
        <v>No</v>
      </c>
      <c r="Z360" s="2" cm="1">
        <f t="array" ref="Z360">_xlfn.IFS(Real_Sales[[#This Row],[Price_retail]]&lt;=15,1, Real_Sales[[#This Row],[Price_retail]]&lt;=30,2, Real_Sales[[#This Row],[Price_retail]]&lt;=50,3,Real_Sales[[#This Row],[Price_retail]]&gt;50,4)</f>
        <v>1</v>
      </c>
    </row>
    <row r="361" spans="1:26" x14ac:dyDescent="0.35">
      <c r="A361" s="2" t="s">
        <v>1844</v>
      </c>
      <c r="B361" s="2" t="s">
        <v>1845</v>
      </c>
      <c r="C361" s="2" t="s">
        <v>3423</v>
      </c>
      <c r="D361" s="2" t="s">
        <v>490</v>
      </c>
      <c r="E361" s="2" t="s">
        <v>4</v>
      </c>
      <c r="F361" s="2" t="s">
        <v>17</v>
      </c>
      <c r="G361" s="2" t="s">
        <v>67</v>
      </c>
      <c r="H361" s="2" t="s">
        <v>185</v>
      </c>
      <c r="I361" s="2" t="s">
        <v>3393</v>
      </c>
      <c r="J361" s="3">
        <v>12.83</v>
      </c>
      <c r="K361" s="3">
        <v>12.83</v>
      </c>
      <c r="L361" s="2" t="s">
        <v>3391</v>
      </c>
      <c r="M361" s="2" t="s">
        <v>9</v>
      </c>
      <c r="N361" s="3">
        <v>808</v>
      </c>
      <c r="O361" s="2" t="s">
        <v>69</v>
      </c>
      <c r="P361" s="2" t="s">
        <v>3392</v>
      </c>
      <c r="Q361" s="3"/>
      <c r="R361" s="3"/>
      <c r="S361" s="2" t="s">
        <v>21</v>
      </c>
      <c r="T361" s="4">
        <v>44955</v>
      </c>
      <c r="U361" s="2" t="s">
        <v>1846</v>
      </c>
      <c r="V361" s="6">
        <f>(Real_Sales[[#This Row],[Price_retail]]-Real_Sales[[#This Row],[Price_current]])/Real_Sales[[#This Row],[Price_retail]]</f>
        <v>0</v>
      </c>
      <c r="W361" s="3" t="str" cm="1">
        <f t="array" ref="W36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1" s="2" t="str">
        <f>IF(Real_Sales[[#This Row],[Price_retail]]&gt;$AC$3,"Premium","Average")</f>
        <v>Average</v>
      </c>
      <c r="Y361" s="2" t="str">
        <f>IF(ISNUMBER(SEARCH("Basic",Real_Sales[[#This Row],[Product_name]])),"Yes","No")</f>
        <v>No</v>
      </c>
      <c r="Z361" s="2" cm="1">
        <f t="array" ref="Z361">_xlfn.IFS(Real_Sales[[#This Row],[Price_retail]]&lt;=15,1, Real_Sales[[#This Row],[Price_retail]]&lt;=30,2, Real_Sales[[#This Row],[Price_retail]]&lt;=50,3,Real_Sales[[#This Row],[Price_retail]]&gt;50,4)</f>
        <v>1</v>
      </c>
    </row>
    <row r="362" spans="1:26" x14ac:dyDescent="0.35">
      <c r="A362" s="2" t="s">
        <v>2535</v>
      </c>
      <c r="B362" s="2" t="s">
        <v>2536</v>
      </c>
      <c r="C362" s="2" t="s">
        <v>1549</v>
      </c>
      <c r="D362" s="2" t="s">
        <v>729</v>
      </c>
      <c r="E362" s="2" t="s">
        <v>4</v>
      </c>
      <c r="F362" s="2" t="s">
        <v>17</v>
      </c>
      <c r="G362" s="2" t="s">
        <v>18</v>
      </c>
      <c r="H362" s="2" t="s">
        <v>168</v>
      </c>
      <c r="I362" s="2" t="s">
        <v>3395</v>
      </c>
      <c r="J362" s="3">
        <v>12.83</v>
      </c>
      <c r="K362" s="3">
        <v>12.83</v>
      </c>
      <c r="L362" s="2" t="s">
        <v>3391</v>
      </c>
      <c r="M362" s="2" t="s">
        <v>9</v>
      </c>
      <c r="N362" s="3">
        <v>873</v>
      </c>
      <c r="O362" s="2" t="s">
        <v>359</v>
      </c>
      <c r="P362" s="2" t="s">
        <v>30</v>
      </c>
      <c r="Q362" s="3"/>
      <c r="R362" s="3"/>
      <c r="S362" s="2" t="s">
        <v>21</v>
      </c>
      <c r="T362" s="4">
        <v>44955</v>
      </c>
      <c r="U362" s="2" t="s">
        <v>2537</v>
      </c>
      <c r="V362" s="6">
        <f>(Real_Sales[[#This Row],[Price_retail]]-Real_Sales[[#This Row],[Price_current]])/Real_Sales[[#This Row],[Price_retail]]</f>
        <v>0</v>
      </c>
      <c r="W362" s="3" t="str" cm="1">
        <f t="array" ref="W3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2" s="2" t="str">
        <f>IF(Real_Sales[[#This Row],[Price_retail]]&gt;$AC$3,"Premium","Average")</f>
        <v>Average</v>
      </c>
      <c r="Y362" s="2" t="str">
        <f>IF(ISNUMBER(SEARCH("Basic",Real_Sales[[#This Row],[Product_name]])),"Yes","No")</f>
        <v>No</v>
      </c>
      <c r="Z362" s="2" cm="1">
        <f t="array" ref="Z362">_xlfn.IFS(Real_Sales[[#This Row],[Price_retail]]&lt;=15,1, Real_Sales[[#This Row],[Price_retail]]&lt;=30,2, Real_Sales[[#This Row],[Price_retail]]&lt;=50,3,Real_Sales[[#This Row],[Price_retail]]&gt;50,4)</f>
        <v>1</v>
      </c>
    </row>
    <row r="363" spans="1:26" x14ac:dyDescent="0.35">
      <c r="A363" s="2" t="s">
        <v>385</v>
      </c>
      <c r="B363" s="2" t="s">
        <v>386</v>
      </c>
      <c r="C363" s="2" t="s">
        <v>387</v>
      </c>
      <c r="D363" s="2" t="s">
        <v>388</v>
      </c>
      <c r="E363" s="2" t="s">
        <v>4</v>
      </c>
      <c r="F363" s="2" t="s">
        <v>17</v>
      </c>
      <c r="G363" s="2" t="s">
        <v>18</v>
      </c>
      <c r="H363" s="2" t="s">
        <v>168</v>
      </c>
      <c r="I363" s="2" t="s">
        <v>3393</v>
      </c>
      <c r="J363" s="3">
        <v>12.84</v>
      </c>
      <c r="K363" s="3">
        <v>9.32</v>
      </c>
      <c r="L363" s="2" t="s">
        <v>8</v>
      </c>
      <c r="M363" s="2" t="s">
        <v>9</v>
      </c>
      <c r="N363" s="3">
        <v>516</v>
      </c>
      <c r="O363" s="2" t="s">
        <v>3392</v>
      </c>
      <c r="P363" s="2" t="s">
        <v>92</v>
      </c>
      <c r="Q363" s="3"/>
      <c r="R363" s="3"/>
      <c r="S363" s="2" t="s">
        <v>12</v>
      </c>
      <c r="T363" s="4">
        <v>44955</v>
      </c>
      <c r="U363" s="2" t="s">
        <v>389</v>
      </c>
      <c r="V363" s="6">
        <f>(Real_Sales[[#This Row],[Price_retail]]-Real_Sales[[#This Row],[Price_current]])/Real_Sales[[#This Row],[Price_retail]]</f>
        <v>0.27414330218068533</v>
      </c>
      <c r="W363" s="3" t="str" cm="1">
        <f t="array" ref="W36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63" s="2" t="str">
        <f>IF(Real_Sales[[#This Row],[Price_retail]]&gt;$AC$3,"Premium","Average")</f>
        <v>Average</v>
      </c>
      <c r="Y363" s="2" t="str">
        <f>IF(ISNUMBER(SEARCH("Basic",Real_Sales[[#This Row],[Product_name]])),"Yes","No")</f>
        <v>No</v>
      </c>
      <c r="Z363" s="2" cm="1">
        <f t="array" ref="Z363">_xlfn.IFS(Real_Sales[[#This Row],[Price_retail]]&lt;=15,1, Real_Sales[[#This Row],[Price_retail]]&lt;=30,2, Real_Sales[[#This Row],[Price_retail]]&lt;=50,3,Real_Sales[[#This Row],[Price_retail]]&gt;50,4)</f>
        <v>1</v>
      </c>
    </row>
    <row r="364" spans="1:26" x14ac:dyDescent="0.35">
      <c r="A364" s="2" t="s">
        <v>921</v>
      </c>
      <c r="B364" s="2" t="s">
        <v>922</v>
      </c>
      <c r="C364" s="2" t="s">
        <v>65</v>
      </c>
      <c r="D364" s="2" t="s">
        <v>511</v>
      </c>
      <c r="E364" s="2" t="s">
        <v>4</v>
      </c>
      <c r="F364" s="2" t="s">
        <v>5</v>
      </c>
      <c r="G364" s="2" t="s">
        <v>6</v>
      </c>
      <c r="H364" s="2" t="s">
        <v>7</v>
      </c>
      <c r="I364" s="2" t="s">
        <v>3395</v>
      </c>
      <c r="J364" s="3">
        <v>12.87</v>
      </c>
      <c r="K364" s="3">
        <v>12.87</v>
      </c>
      <c r="L364" s="2" t="s">
        <v>3391</v>
      </c>
      <c r="M364" s="2" t="s">
        <v>9</v>
      </c>
      <c r="N364" s="3">
        <v>2</v>
      </c>
      <c r="O364" s="2" t="s">
        <v>3392</v>
      </c>
      <c r="P364" s="2" t="s">
        <v>53</v>
      </c>
      <c r="Q364" s="3"/>
      <c r="R364" s="3"/>
      <c r="S364" s="2" t="s">
        <v>21</v>
      </c>
      <c r="T364" s="4">
        <v>44955</v>
      </c>
      <c r="U364" s="2" t="s">
        <v>923</v>
      </c>
      <c r="V364" s="6">
        <f>(Real_Sales[[#This Row],[Price_retail]]-Real_Sales[[#This Row],[Price_current]])/Real_Sales[[#This Row],[Price_retail]]</f>
        <v>0</v>
      </c>
      <c r="W364" s="3" t="str" cm="1">
        <f t="array" ref="W36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4" s="2" t="str">
        <f>IF(Real_Sales[[#This Row],[Price_retail]]&gt;$AC$3,"Premium","Average")</f>
        <v>Average</v>
      </c>
      <c r="Y364" s="2" t="str">
        <f>IF(ISNUMBER(SEARCH("Basic",Real_Sales[[#This Row],[Product_name]])),"Yes","No")</f>
        <v>No</v>
      </c>
      <c r="Z364" s="2" cm="1">
        <f t="array" ref="Z364">_xlfn.IFS(Real_Sales[[#This Row],[Price_retail]]&lt;=15,1, Real_Sales[[#This Row],[Price_retail]]&lt;=30,2, Real_Sales[[#This Row],[Price_retail]]&lt;=50,3,Real_Sales[[#This Row],[Price_retail]]&gt;50,4)</f>
        <v>1</v>
      </c>
    </row>
    <row r="365" spans="1:26" x14ac:dyDescent="0.35">
      <c r="A365" s="2" t="s">
        <v>1174</v>
      </c>
      <c r="B365" s="2" t="s">
        <v>1175</v>
      </c>
      <c r="C365" s="2" t="s">
        <v>484</v>
      </c>
      <c r="D365" s="2" t="s">
        <v>1176</v>
      </c>
      <c r="E365" s="2" t="s">
        <v>4</v>
      </c>
      <c r="F365" s="2" t="s">
        <v>17</v>
      </c>
      <c r="G365" s="2" t="s">
        <v>27</v>
      </c>
      <c r="H365" s="2" t="s">
        <v>83</v>
      </c>
      <c r="I365" s="2" t="s">
        <v>3390</v>
      </c>
      <c r="J365" s="3">
        <v>12.88</v>
      </c>
      <c r="K365" s="3">
        <v>12.88</v>
      </c>
      <c r="L365" s="2" t="s">
        <v>3391</v>
      </c>
      <c r="M365" s="2" t="s">
        <v>9</v>
      </c>
      <c r="N365" s="3">
        <v>980</v>
      </c>
      <c r="O365" s="2" t="s">
        <v>91</v>
      </c>
      <c r="P365" s="2" t="s">
        <v>92</v>
      </c>
      <c r="Q365" s="3"/>
      <c r="R365" s="3"/>
      <c r="S365" s="2" t="s">
        <v>21</v>
      </c>
      <c r="T365" s="4">
        <v>44955</v>
      </c>
      <c r="U365" s="2" t="s">
        <v>1177</v>
      </c>
      <c r="V365" s="6">
        <f>(Real_Sales[[#This Row],[Price_retail]]-Real_Sales[[#This Row],[Price_current]])/Real_Sales[[#This Row],[Price_retail]]</f>
        <v>0</v>
      </c>
      <c r="W365" s="3" t="str" cm="1">
        <f t="array" ref="W36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5" s="2" t="str">
        <f>IF(Real_Sales[[#This Row],[Price_retail]]&gt;$AC$3,"Premium","Average")</f>
        <v>Average</v>
      </c>
      <c r="Y365" s="2" t="str">
        <f>IF(ISNUMBER(SEARCH("Basic",Real_Sales[[#This Row],[Product_name]])),"Yes","No")</f>
        <v>No</v>
      </c>
      <c r="Z365" s="2" cm="1">
        <f t="array" ref="Z365">_xlfn.IFS(Real_Sales[[#This Row],[Price_retail]]&lt;=15,1, Real_Sales[[#This Row],[Price_retail]]&lt;=30,2, Real_Sales[[#This Row],[Price_retail]]&lt;=50,3,Real_Sales[[#This Row],[Price_retail]]&gt;50,4)</f>
        <v>1</v>
      </c>
    </row>
    <row r="366" spans="1:26" x14ac:dyDescent="0.35">
      <c r="A366" s="2" t="s">
        <v>256</v>
      </c>
      <c r="B366" s="2" t="s">
        <v>257</v>
      </c>
      <c r="C366" s="2" t="s">
        <v>65</v>
      </c>
      <c r="D366" s="2" t="s">
        <v>3399</v>
      </c>
      <c r="E366" s="2" t="s">
        <v>4</v>
      </c>
      <c r="F366" s="2" t="s">
        <v>5</v>
      </c>
      <c r="G366" s="2" t="s">
        <v>82</v>
      </c>
      <c r="H366" s="2" t="s">
        <v>90</v>
      </c>
      <c r="I366" s="2" t="s">
        <v>3395</v>
      </c>
      <c r="J366" s="3">
        <v>12.9</v>
      </c>
      <c r="K366" s="3">
        <v>12.9</v>
      </c>
      <c r="L366" s="2" t="s">
        <v>3391</v>
      </c>
      <c r="M366" s="2" t="s">
        <v>9</v>
      </c>
      <c r="N366" s="3">
        <v>772</v>
      </c>
      <c r="O366" s="2" t="s">
        <v>3392</v>
      </c>
      <c r="P366" s="2" t="s">
        <v>30</v>
      </c>
      <c r="Q366" s="3"/>
      <c r="R366" s="3"/>
      <c r="S366" s="2" t="s">
        <v>21</v>
      </c>
      <c r="T366" s="4">
        <v>44955</v>
      </c>
      <c r="U366" s="2" t="s">
        <v>258</v>
      </c>
      <c r="V366" s="6">
        <f>(Real_Sales[[#This Row],[Price_retail]]-Real_Sales[[#This Row],[Price_current]])/Real_Sales[[#This Row],[Price_retail]]</f>
        <v>0</v>
      </c>
      <c r="W366" s="3" t="str" cm="1">
        <f t="array" ref="W36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6" s="2" t="str">
        <f>IF(Real_Sales[[#This Row],[Price_retail]]&gt;$AC$3,"Premium","Average")</f>
        <v>Average</v>
      </c>
      <c r="Y366" s="2" t="str">
        <f>IF(ISNUMBER(SEARCH("Basic",Real_Sales[[#This Row],[Product_name]])),"Yes","No")</f>
        <v>Yes</v>
      </c>
      <c r="Z366" s="2" cm="1">
        <f t="array" ref="Z366">_xlfn.IFS(Real_Sales[[#This Row],[Price_retail]]&lt;=15,1, Real_Sales[[#This Row],[Price_retail]]&lt;=30,2, Real_Sales[[#This Row],[Price_retail]]&lt;=50,3,Real_Sales[[#This Row],[Price_retail]]&gt;50,4)</f>
        <v>1</v>
      </c>
    </row>
    <row r="367" spans="1:26" x14ac:dyDescent="0.35">
      <c r="A367" s="2" t="s">
        <v>2868</v>
      </c>
      <c r="B367" s="2" t="s">
        <v>2869</v>
      </c>
      <c r="C367" s="2" t="s">
        <v>469</v>
      </c>
      <c r="D367" s="2" t="s">
        <v>686</v>
      </c>
      <c r="E367" s="2" t="s">
        <v>4</v>
      </c>
      <c r="F367" s="2" t="s">
        <v>5</v>
      </c>
      <c r="G367" s="2" t="s">
        <v>82</v>
      </c>
      <c r="H367" s="2" t="s">
        <v>7</v>
      </c>
      <c r="I367" s="2" t="s">
        <v>3390</v>
      </c>
      <c r="J367" s="3">
        <v>12.93</v>
      </c>
      <c r="K367" s="3">
        <v>12.93</v>
      </c>
      <c r="L367" s="2" t="s">
        <v>3391</v>
      </c>
      <c r="M367" s="2" t="s">
        <v>9</v>
      </c>
      <c r="N367" s="3">
        <v>815</v>
      </c>
      <c r="O367" s="2" t="s">
        <v>287</v>
      </c>
      <c r="P367" s="2" t="s">
        <v>44</v>
      </c>
      <c r="Q367" s="3"/>
      <c r="R367" s="3"/>
      <c r="S367" s="2" t="s">
        <v>21</v>
      </c>
      <c r="T367" s="4">
        <v>44955</v>
      </c>
      <c r="U367" s="2" t="s">
        <v>2870</v>
      </c>
      <c r="V367" s="6">
        <f>(Real_Sales[[#This Row],[Price_retail]]-Real_Sales[[#This Row],[Price_current]])/Real_Sales[[#This Row],[Price_retail]]</f>
        <v>0</v>
      </c>
      <c r="W367" s="3" t="str" cm="1">
        <f t="array" ref="W36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7" s="2" t="str">
        <f>IF(Real_Sales[[#This Row],[Price_retail]]&gt;$AC$3,"Premium","Average")</f>
        <v>Average</v>
      </c>
      <c r="Y367" s="2" t="str">
        <f>IF(ISNUMBER(SEARCH("Basic",Real_Sales[[#This Row],[Product_name]])),"Yes","No")</f>
        <v>No</v>
      </c>
      <c r="Z367" s="2" cm="1">
        <f t="array" ref="Z367">_xlfn.IFS(Real_Sales[[#This Row],[Price_retail]]&lt;=15,1, Real_Sales[[#This Row],[Price_retail]]&lt;=30,2, Real_Sales[[#This Row],[Price_retail]]&lt;=50,3,Real_Sales[[#This Row],[Price_retail]]&gt;50,4)</f>
        <v>1</v>
      </c>
    </row>
    <row r="368" spans="1:26" x14ac:dyDescent="0.35">
      <c r="A368" s="2" t="s">
        <v>2746</v>
      </c>
      <c r="B368" s="2" t="s">
        <v>2747</v>
      </c>
      <c r="C368" s="2" t="s">
        <v>1355</v>
      </c>
      <c r="D368" s="2" t="s">
        <v>959</v>
      </c>
      <c r="E368" s="2" t="s">
        <v>4</v>
      </c>
      <c r="F368" s="2" t="s">
        <v>17</v>
      </c>
      <c r="G368" s="2" t="s">
        <v>50</v>
      </c>
      <c r="H368" s="2" t="s">
        <v>418</v>
      </c>
      <c r="I368" s="2" t="s">
        <v>3393</v>
      </c>
      <c r="J368" s="3">
        <v>12.98</v>
      </c>
      <c r="K368" s="3">
        <v>12.98</v>
      </c>
      <c r="L368" s="2" t="s">
        <v>3391</v>
      </c>
      <c r="M368" s="2" t="s">
        <v>9</v>
      </c>
      <c r="N368" s="3">
        <v>480</v>
      </c>
      <c r="O368" s="2" t="s">
        <v>60</v>
      </c>
      <c r="P368" s="2" t="s">
        <v>128</v>
      </c>
      <c r="Q368" s="3"/>
      <c r="R368" s="3"/>
      <c r="S368" s="2" t="s">
        <v>12</v>
      </c>
      <c r="T368" s="4">
        <v>44955</v>
      </c>
      <c r="U368" s="2" t="s">
        <v>2748</v>
      </c>
      <c r="V368" s="6">
        <f>(Real_Sales[[#This Row],[Price_retail]]-Real_Sales[[#This Row],[Price_current]])/Real_Sales[[#This Row],[Price_retail]]</f>
        <v>0</v>
      </c>
      <c r="W368" s="3" t="str" cm="1">
        <f t="array" ref="W3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68" s="2" t="str">
        <f>IF(Real_Sales[[#This Row],[Price_retail]]&gt;$AC$3,"Premium","Average")</f>
        <v>Average</v>
      </c>
      <c r="Y368" s="2" t="str">
        <f>IF(ISNUMBER(SEARCH("Basic",Real_Sales[[#This Row],[Product_name]])),"Yes","No")</f>
        <v>No</v>
      </c>
      <c r="Z368" s="2" cm="1">
        <f t="array" ref="Z368">_xlfn.IFS(Real_Sales[[#This Row],[Price_retail]]&lt;=15,1, Real_Sales[[#This Row],[Price_retail]]&lt;=30,2, Real_Sales[[#This Row],[Price_retail]]&lt;=50,3,Real_Sales[[#This Row],[Price_retail]]&gt;50,4)</f>
        <v>1</v>
      </c>
    </row>
    <row r="369" spans="1:26" x14ac:dyDescent="0.35">
      <c r="A369" s="2" t="s">
        <v>588</v>
      </c>
      <c r="B369" s="2" t="s">
        <v>589</v>
      </c>
      <c r="C369" s="2" t="s">
        <v>3394</v>
      </c>
      <c r="D369" s="2" t="s">
        <v>590</v>
      </c>
      <c r="E369" s="2" t="s">
        <v>4</v>
      </c>
      <c r="F369" s="2" t="s">
        <v>5</v>
      </c>
      <c r="G369" s="2" t="s">
        <v>121</v>
      </c>
      <c r="H369" s="2" t="s">
        <v>90</v>
      </c>
      <c r="I369" s="2" t="s">
        <v>3390</v>
      </c>
      <c r="J369" s="3">
        <v>13.03</v>
      </c>
      <c r="K369" s="3">
        <v>8.5399999999999991</v>
      </c>
      <c r="L369" s="2" t="s">
        <v>8</v>
      </c>
      <c r="M369" s="2" t="s">
        <v>9</v>
      </c>
      <c r="N369" s="3">
        <v>371</v>
      </c>
      <c r="O369" s="2" t="s">
        <v>267</v>
      </c>
      <c r="P369" s="2" t="s">
        <v>76</v>
      </c>
      <c r="Q369" s="3"/>
      <c r="R369" s="3"/>
      <c r="S369" s="2" t="s">
        <v>12</v>
      </c>
      <c r="T369" s="4">
        <v>44955</v>
      </c>
      <c r="U369" s="2" t="s">
        <v>591</v>
      </c>
      <c r="V369" s="6">
        <f>(Real_Sales[[#This Row],[Price_retail]]-Real_Sales[[#This Row],[Price_current]])/Real_Sales[[#This Row],[Price_retail]]</f>
        <v>0.34458940905602459</v>
      </c>
      <c r="W369" s="3" t="str" cm="1">
        <f t="array" ref="W36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69" s="2" t="str">
        <f>IF(Real_Sales[[#This Row],[Price_retail]]&gt;$AC$3,"Premium","Average")</f>
        <v>Average</v>
      </c>
      <c r="Y369" s="2" t="str">
        <f>IF(ISNUMBER(SEARCH("Basic",Real_Sales[[#This Row],[Product_name]])),"Yes","No")</f>
        <v>Yes</v>
      </c>
      <c r="Z369" s="2" cm="1">
        <f t="array" ref="Z369">_xlfn.IFS(Real_Sales[[#This Row],[Price_retail]]&lt;=15,1, Real_Sales[[#This Row],[Price_retail]]&lt;=30,2, Real_Sales[[#This Row],[Price_retail]]&lt;=50,3,Real_Sales[[#This Row],[Price_retail]]&gt;50,4)</f>
        <v>1</v>
      </c>
    </row>
    <row r="370" spans="1:26" x14ac:dyDescent="0.35">
      <c r="A370" s="2" t="s">
        <v>1055</v>
      </c>
      <c r="B370" s="2" t="s">
        <v>1056</v>
      </c>
      <c r="C370" s="2" t="s">
        <v>3433</v>
      </c>
      <c r="D370" s="2" t="s">
        <v>3415</v>
      </c>
      <c r="E370" s="2" t="s">
        <v>4</v>
      </c>
      <c r="F370" s="2" t="s">
        <v>17</v>
      </c>
      <c r="G370" s="2" t="s">
        <v>67</v>
      </c>
      <c r="H370" s="2" t="s">
        <v>333</v>
      </c>
      <c r="I370" s="2" t="s">
        <v>3393</v>
      </c>
      <c r="J370" s="3">
        <v>13.09</v>
      </c>
      <c r="K370" s="3">
        <v>8.56</v>
      </c>
      <c r="L370" s="2" t="s">
        <v>8</v>
      </c>
      <c r="M370" s="2" t="s">
        <v>9</v>
      </c>
      <c r="N370" s="3">
        <v>157</v>
      </c>
      <c r="O370" s="2" t="s">
        <v>104</v>
      </c>
      <c r="P370" s="2" t="s">
        <v>84</v>
      </c>
      <c r="Q370" s="3"/>
      <c r="R370" s="3"/>
      <c r="S370" s="2" t="s">
        <v>21</v>
      </c>
      <c r="T370" s="4">
        <v>44955</v>
      </c>
      <c r="U370" s="2" t="s">
        <v>1057</v>
      </c>
      <c r="V370" s="6">
        <f>(Real_Sales[[#This Row],[Price_retail]]-Real_Sales[[#This Row],[Price_current]])/Real_Sales[[#This Row],[Price_retail]]</f>
        <v>0.34606569900687545</v>
      </c>
      <c r="W370" s="3" t="str" cm="1">
        <f t="array" ref="W37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0" s="2" t="str">
        <f>IF(Real_Sales[[#This Row],[Price_retail]]&gt;$AC$3,"Premium","Average")</f>
        <v>Average</v>
      </c>
      <c r="Y370" s="2" t="str">
        <f>IF(ISNUMBER(SEARCH("Basic",Real_Sales[[#This Row],[Product_name]])),"Yes","No")</f>
        <v>No</v>
      </c>
      <c r="Z370" s="2" cm="1">
        <f t="array" ref="Z370">_xlfn.IFS(Real_Sales[[#This Row],[Price_retail]]&lt;=15,1, Real_Sales[[#This Row],[Price_retail]]&lt;=30,2, Real_Sales[[#This Row],[Price_retail]]&lt;=50,3,Real_Sales[[#This Row],[Price_retail]]&gt;50,4)</f>
        <v>1</v>
      </c>
    </row>
    <row r="371" spans="1:26" x14ac:dyDescent="0.35">
      <c r="A371" s="2" t="s">
        <v>147</v>
      </c>
      <c r="B371" s="2" t="s">
        <v>148</v>
      </c>
      <c r="C371" s="2" t="s">
        <v>126</v>
      </c>
      <c r="D371" s="2" t="s">
        <v>149</v>
      </c>
      <c r="E371" s="2" t="s">
        <v>4</v>
      </c>
      <c r="F371" s="2" t="s">
        <v>5</v>
      </c>
      <c r="G371" s="2" t="s">
        <v>6</v>
      </c>
      <c r="H371" s="2" t="s">
        <v>28</v>
      </c>
      <c r="I371" s="2" t="s">
        <v>3395</v>
      </c>
      <c r="J371" s="3">
        <v>13.09</v>
      </c>
      <c r="K371" s="3">
        <v>13.09</v>
      </c>
      <c r="L371" s="2" t="s">
        <v>3391</v>
      </c>
      <c r="M371" s="2" t="s">
        <v>9</v>
      </c>
      <c r="N371" s="3">
        <v>142</v>
      </c>
      <c r="O371" s="2" t="s">
        <v>3392</v>
      </c>
      <c r="P371" s="2" t="s">
        <v>84</v>
      </c>
      <c r="Q371" s="3"/>
      <c r="R371" s="3"/>
      <c r="S371" s="2" t="s">
        <v>12</v>
      </c>
      <c r="T371" s="4">
        <v>44955</v>
      </c>
      <c r="U371" s="2" t="s">
        <v>150</v>
      </c>
      <c r="V371" s="6">
        <f>(Real_Sales[[#This Row],[Price_retail]]-Real_Sales[[#This Row],[Price_current]])/Real_Sales[[#This Row],[Price_retail]]</f>
        <v>0</v>
      </c>
      <c r="W371" s="3" t="str" cm="1">
        <f t="array" ref="W3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71" s="2" t="str">
        <f>IF(Real_Sales[[#This Row],[Price_retail]]&gt;$AC$3,"Premium","Average")</f>
        <v>Average</v>
      </c>
      <c r="Y371" s="2" t="str">
        <f>IF(ISNUMBER(SEARCH("Basic",Real_Sales[[#This Row],[Product_name]])),"Yes","No")</f>
        <v>Yes</v>
      </c>
      <c r="Z371" s="2" cm="1">
        <f t="array" ref="Z371">_xlfn.IFS(Real_Sales[[#This Row],[Price_retail]]&lt;=15,1, Real_Sales[[#This Row],[Price_retail]]&lt;=30,2, Real_Sales[[#This Row],[Price_retail]]&lt;=50,3,Real_Sales[[#This Row],[Price_retail]]&gt;50,4)</f>
        <v>1</v>
      </c>
    </row>
    <row r="372" spans="1:26" x14ac:dyDescent="0.35">
      <c r="A372" s="2" t="s">
        <v>3158</v>
      </c>
      <c r="B372" s="2" t="s">
        <v>3159</v>
      </c>
      <c r="C372" s="2" t="s">
        <v>3423</v>
      </c>
      <c r="D372" s="2" t="s">
        <v>2312</v>
      </c>
      <c r="E372" s="2" t="s">
        <v>4</v>
      </c>
      <c r="F372" s="2" t="s">
        <v>5</v>
      </c>
      <c r="G372" s="2" t="s">
        <v>82</v>
      </c>
      <c r="H372" s="2" t="s">
        <v>145</v>
      </c>
      <c r="I372" s="2" t="s">
        <v>3395</v>
      </c>
      <c r="J372" s="3">
        <v>13.1</v>
      </c>
      <c r="K372" s="3">
        <v>9.83</v>
      </c>
      <c r="L372" s="2" t="s">
        <v>8</v>
      </c>
      <c r="M372" s="2" t="s">
        <v>9</v>
      </c>
      <c r="N372" s="3">
        <v>315</v>
      </c>
      <c r="O372" s="2" t="s">
        <v>29</v>
      </c>
      <c r="P372" s="2" t="s">
        <v>238</v>
      </c>
      <c r="Q372" s="3"/>
      <c r="R372" s="3"/>
      <c r="S372" s="2" t="s">
        <v>21</v>
      </c>
      <c r="T372" s="4">
        <v>44955</v>
      </c>
      <c r="U372" s="2" t="s">
        <v>3160</v>
      </c>
      <c r="V372" s="6">
        <f>(Real_Sales[[#This Row],[Price_retail]]-Real_Sales[[#This Row],[Price_current]])/Real_Sales[[#This Row],[Price_retail]]</f>
        <v>0.24961832061068701</v>
      </c>
      <c r="W372" s="3" t="str" cm="1">
        <f t="array" ref="W37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2" s="2" t="str">
        <f>IF(Real_Sales[[#This Row],[Price_retail]]&gt;$AC$3,"Premium","Average")</f>
        <v>Average</v>
      </c>
      <c r="Y372" s="2" t="str">
        <f>IF(ISNUMBER(SEARCH("Basic",Real_Sales[[#This Row],[Product_name]])),"Yes","No")</f>
        <v>No</v>
      </c>
      <c r="Z372" s="2" cm="1">
        <f t="array" ref="Z372">_xlfn.IFS(Real_Sales[[#This Row],[Price_retail]]&lt;=15,1, Real_Sales[[#This Row],[Price_retail]]&lt;=30,2, Real_Sales[[#This Row],[Price_retail]]&lt;=50,3,Real_Sales[[#This Row],[Price_retail]]&gt;50,4)</f>
        <v>1</v>
      </c>
    </row>
    <row r="373" spans="1:26" x14ac:dyDescent="0.35">
      <c r="A373" s="2" t="s">
        <v>1436</v>
      </c>
      <c r="B373" s="2" t="s">
        <v>1437</v>
      </c>
      <c r="C373" s="2" t="s">
        <v>96</v>
      </c>
      <c r="D373" s="2" t="s">
        <v>1015</v>
      </c>
      <c r="E373" s="2" t="s">
        <v>4</v>
      </c>
      <c r="F373" s="2" t="s">
        <v>5</v>
      </c>
      <c r="G373" s="2" t="s">
        <v>6</v>
      </c>
      <c r="H373" s="2" t="s">
        <v>7</v>
      </c>
      <c r="I373" s="2" t="s">
        <v>3393</v>
      </c>
      <c r="J373" s="3">
        <v>13.11</v>
      </c>
      <c r="K373" s="3">
        <v>7.18</v>
      </c>
      <c r="L373" s="2" t="s">
        <v>8</v>
      </c>
      <c r="M373" s="2" t="s">
        <v>9</v>
      </c>
      <c r="N373" s="3">
        <v>732</v>
      </c>
      <c r="O373" s="2" t="s">
        <v>359</v>
      </c>
      <c r="P373" s="2" t="s">
        <v>163</v>
      </c>
      <c r="Q373" s="3"/>
      <c r="R373" s="3"/>
      <c r="S373" s="2" t="s">
        <v>21</v>
      </c>
      <c r="T373" s="4">
        <v>44955</v>
      </c>
      <c r="U373" s="2" t="s">
        <v>1438</v>
      </c>
      <c r="V373" s="6">
        <f>(Real_Sales[[#This Row],[Price_retail]]-Real_Sales[[#This Row],[Price_current]])/Real_Sales[[#This Row],[Price_retail]]</f>
        <v>0.45232646834477497</v>
      </c>
      <c r="W373" s="3" t="str" cm="1">
        <f t="array" ref="W37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3" s="2" t="str">
        <f>IF(Real_Sales[[#This Row],[Price_retail]]&gt;$AC$3,"Premium","Average")</f>
        <v>Average</v>
      </c>
      <c r="Y373" s="2" t="str">
        <f>IF(ISNUMBER(SEARCH("Basic",Real_Sales[[#This Row],[Product_name]])),"Yes","No")</f>
        <v>Yes</v>
      </c>
      <c r="Z373" s="2" cm="1">
        <f t="array" ref="Z373">_xlfn.IFS(Real_Sales[[#This Row],[Price_retail]]&lt;=15,1, Real_Sales[[#This Row],[Price_retail]]&lt;=30,2, Real_Sales[[#This Row],[Price_retail]]&lt;=50,3,Real_Sales[[#This Row],[Price_retail]]&gt;50,4)</f>
        <v>1</v>
      </c>
    </row>
    <row r="374" spans="1:26" x14ac:dyDescent="0.35">
      <c r="A374" s="2" t="s">
        <v>2526</v>
      </c>
      <c r="B374" s="2" t="s">
        <v>2527</v>
      </c>
      <c r="C374" s="2" t="s">
        <v>746</v>
      </c>
      <c r="D374" s="2" t="s">
        <v>814</v>
      </c>
      <c r="E374" s="2" t="s">
        <v>4</v>
      </c>
      <c r="F374" s="2" t="s">
        <v>5</v>
      </c>
      <c r="G374" s="2" t="s">
        <v>82</v>
      </c>
      <c r="H374" s="2" t="s">
        <v>418</v>
      </c>
      <c r="I374" s="2" t="s">
        <v>3390</v>
      </c>
      <c r="J374" s="3">
        <v>13.11</v>
      </c>
      <c r="K374" s="3">
        <v>13.11</v>
      </c>
      <c r="L374" s="2" t="s">
        <v>3391</v>
      </c>
      <c r="M374" s="2" t="s">
        <v>9</v>
      </c>
      <c r="N374" s="3">
        <v>525</v>
      </c>
      <c r="O374" s="2" t="s">
        <v>3392</v>
      </c>
      <c r="P374" s="2" t="s">
        <v>419</v>
      </c>
      <c r="Q374" s="3"/>
      <c r="R374" s="3"/>
      <c r="S374" s="2" t="s">
        <v>21</v>
      </c>
      <c r="T374" s="4">
        <v>44955</v>
      </c>
      <c r="U374" s="2" t="s">
        <v>2528</v>
      </c>
      <c r="V374" s="6">
        <f>(Real_Sales[[#This Row],[Price_retail]]-Real_Sales[[#This Row],[Price_current]])/Real_Sales[[#This Row],[Price_retail]]</f>
        <v>0</v>
      </c>
      <c r="W374" s="3" t="str" cm="1">
        <f t="array" ref="W3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74" s="2" t="str">
        <f>IF(Real_Sales[[#This Row],[Price_retail]]&gt;$AC$3,"Premium","Average")</f>
        <v>Average</v>
      </c>
      <c r="Y374" s="2" t="str">
        <f>IF(ISNUMBER(SEARCH("Basic",Real_Sales[[#This Row],[Product_name]])),"Yes","No")</f>
        <v>No</v>
      </c>
      <c r="Z374" s="2" cm="1">
        <f t="array" ref="Z374">_xlfn.IFS(Real_Sales[[#This Row],[Price_retail]]&lt;=15,1, Real_Sales[[#This Row],[Price_retail]]&lt;=30,2, Real_Sales[[#This Row],[Price_retail]]&lt;=50,3,Real_Sales[[#This Row],[Price_retail]]&gt;50,4)</f>
        <v>1</v>
      </c>
    </row>
    <row r="375" spans="1:26" x14ac:dyDescent="0.35">
      <c r="A375" s="2" t="s">
        <v>1589</v>
      </c>
      <c r="B375" s="2" t="s">
        <v>1590</v>
      </c>
      <c r="C375" s="2" t="s">
        <v>2915</v>
      </c>
      <c r="D375" s="2" t="s">
        <v>581</v>
      </c>
      <c r="E375" s="2" t="s">
        <v>4</v>
      </c>
      <c r="F375" s="2" t="s">
        <v>17</v>
      </c>
      <c r="G375" s="2" t="s">
        <v>67</v>
      </c>
      <c r="H375" s="2" t="s">
        <v>7</v>
      </c>
      <c r="I375" s="2" t="s">
        <v>3390</v>
      </c>
      <c r="J375" s="3">
        <v>13.12</v>
      </c>
      <c r="K375" s="3">
        <v>8.07</v>
      </c>
      <c r="L375" s="2" t="s">
        <v>8</v>
      </c>
      <c r="M375" s="2" t="s">
        <v>9</v>
      </c>
      <c r="N375" s="3">
        <v>868</v>
      </c>
      <c r="O375" s="2" t="s">
        <v>91</v>
      </c>
      <c r="P375" s="2" t="s">
        <v>3392</v>
      </c>
      <c r="Q375" s="3"/>
      <c r="R375" s="3"/>
      <c r="S375" s="2" t="s">
        <v>21</v>
      </c>
      <c r="T375" s="4">
        <v>44955</v>
      </c>
      <c r="U375" s="2" t="s">
        <v>1591</v>
      </c>
      <c r="V375" s="6">
        <f>(Real_Sales[[#This Row],[Price_retail]]-Real_Sales[[#This Row],[Price_current]])/Real_Sales[[#This Row],[Price_retail]]</f>
        <v>0.38490853658536578</v>
      </c>
      <c r="W375" s="3" t="str" cm="1">
        <f t="array" ref="W37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5" s="2" t="str">
        <f>IF(Real_Sales[[#This Row],[Price_retail]]&gt;$AC$3,"Premium","Average")</f>
        <v>Average</v>
      </c>
      <c r="Y375" s="2" t="str">
        <f>IF(ISNUMBER(SEARCH("Basic",Real_Sales[[#This Row],[Product_name]])),"Yes","No")</f>
        <v>No</v>
      </c>
      <c r="Z375" s="2" cm="1">
        <f t="array" ref="Z375">_xlfn.IFS(Real_Sales[[#This Row],[Price_retail]]&lt;=15,1, Real_Sales[[#This Row],[Price_retail]]&lt;=30,2, Real_Sales[[#This Row],[Price_retail]]&lt;=50,3,Real_Sales[[#This Row],[Price_retail]]&gt;50,4)</f>
        <v>1</v>
      </c>
    </row>
    <row r="376" spans="1:26" x14ac:dyDescent="0.35">
      <c r="A376" s="2" t="s">
        <v>2877</v>
      </c>
      <c r="B376" s="2" t="s">
        <v>2878</v>
      </c>
      <c r="C376" s="2" t="s">
        <v>963</v>
      </c>
      <c r="D376" s="2" t="s">
        <v>465</v>
      </c>
      <c r="E376" s="2" t="s">
        <v>4</v>
      </c>
      <c r="F376" s="2" t="s">
        <v>17</v>
      </c>
      <c r="G376" s="2" t="s">
        <v>50</v>
      </c>
      <c r="H376" s="2" t="s">
        <v>139</v>
      </c>
      <c r="I376" s="2" t="s">
        <v>3393</v>
      </c>
      <c r="J376" s="3">
        <v>13.13</v>
      </c>
      <c r="K376" s="3">
        <v>9.49</v>
      </c>
      <c r="L376" s="2" t="s">
        <v>8</v>
      </c>
      <c r="M376" s="2" t="s">
        <v>9</v>
      </c>
      <c r="N376" s="3">
        <v>384</v>
      </c>
      <c r="O376" s="2" t="s">
        <v>60</v>
      </c>
      <c r="P376" s="2" t="s">
        <v>76</v>
      </c>
      <c r="Q376" s="3"/>
      <c r="R376" s="3"/>
      <c r="S376" s="2" t="s">
        <v>21</v>
      </c>
      <c r="T376" s="4">
        <v>44955</v>
      </c>
      <c r="U376" s="2" t="s">
        <v>2879</v>
      </c>
      <c r="V376" s="6">
        <f>(Real_Sales[[#This Row],[Price_retail]]-Real_Sales[[#This Row],[Price_current]])/Real_Sales[[#This Row],[Price_retail]]</f>
        <v>0.27722772277227725</v>
      </c>
      <c r="W376" s="3" t="str" cm="1">
        <f t="array" ref="W37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6" s="2" t="str">
        <f>IF(Real_Sales[[#This Row],[Price_retail]]&gt;$AC$3,"Premium","Average")</f>
        <v>Average</v>
      </c>
      <c r="Y376" s="2" t="str">
        <f>IF(ISNUMBER(SEARCH("Basic",Real_Sales[[#This Row],[Product_name]])),"Yes","No")</f>
        <v>Yes</v>
      </c>
      <c r="Z376" s="2" cm="1">
        <f t="array" ref="Z376">_xlfn.IFS(Real_Sales[[#This Row],[Price_retail]]&lt;=15,1, Real_Sales[[#This Row],[Price_retail]]&lt;=30,2, Real_Sales[[#This Row],[Price_retail]]&lt;=50,3,Real_Sales[[#This Row],[Price_retail]]&gt;50,4)</f>
        <v>1</v>
      </c>
    </row>
    <row r="377" spans="1:26" x14ac:dyDescent="0.35">
      <c r="A377" s="2" t="s">
        <v>2734</v>
      </c>
      <c r="B377" s="2" t="s">
        <v>2735</v>
      </c>
      <c r="C377" s="2" t="s">
        <v>132</v>
      </c>
      <c r="D377" s="2" t="s">
        <v>392</v>
      </c>
      <c r="E377" s="2" t="s">
        <v>4</v>
      </c>
      <c r="F377" s="2" t="s">
        <v>17</v>
      </c>
      <c r="G377" s="2" t="s">
        <v>27</v>
      </c>
      <c r="H377" s="2" t="s">
        <v>19</v>
      </c>
      <c r="I377" s="2" t="s">
        <v>3390</v>
      </c>
      <c r="J377" s="3">
        <v>13.14</v>
      </c>
      <c r="K377" s="3">
        <v>8.56</v>
      </c>
      <c r="L377" s="2" t="s">
        <v>8</v>
      </c>
      <c r="M377" s="2" t="s">
        <v>9</v>
      </c>
      <c r="N377" s="3">
        <v>785</v>
      </c>
      <c r="O377" s="2" t="s">
        <v>75</v>
      </c>
      <c r="P377" s="2" t="s">
        <v>215</v>
      </c>
      <c r="Q377" s="3"/>
      <c r="R377" s="3"/>
      <c r="S377" s="2" t="s">
        <v>12</v>
      </c>
      <c r="T377" s="4">
        <v>44955</v>
      </c>
      <c r="U377" s="2" t="s">
        <v>2736</v>
      </c>
      <c r="V377" s="6">
        <f>(Real_Sales[[#This Row],[Price_retail]]-Real_Sales[[#This Row],[Price_current]])/Real_Sales[[#This Row],[Price_retail]]</f>
        <v>0.34855403348554032</v>
      </c>
      <c r="W377" s="3" t="str" cm="1">
        <f t="array" ref="W37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7" s="2" t="str">
        <f>IF(Real_Sales[[#This Row],[Price_retail]]&gt;$AC$3,"Premium","Average")</f>
        <v>Average</v>
      </c>
      <c r="Y377" s="2" t="str">
        <f>IF(ISNUMBER(SEARCH("Basic",Real_Sales[[#This Row],[Product_name]])),"Yes","No")</f>
        <v>No</v>
      </c>
      <c r="Z377" s="2" cm="1">
        <f t="array" ref="Z377">_xlfn.IFS(Real_Sales[[#This Row],[Price_retail]]&lt;=15,1, Real_Sales[[#This Row],[Price_retail]]&lt;=30,2, Real_Sales[[#This Row],[Price_retail]]&lt;=50,3,Real_Sales[[#This Row],[Price_retail]]&gt;50,4)</f>
        <v>1</v>
      </c>
    </row>
    <row r="378" spans="1:26" x14ac:dyDescent="0.35">
      <c r="A378" s="2" t="s">
        <v>2347</v>
      </c>
      <c r="B378" s="2" t="s">
        <v>2348</v>
      </c>
      <c r="C378" s="2" t="s">
        <v>901</v>
      </c>
      <c r="D378" s="2" t="s">
        <v>1602</v>
      </c>
      <c r="E378" s="2" t="s">
        <v>4</v>
      </c>
      <c r="F378" s="2" t="s">
        <v>5</v>
      </c>
      <c r="G378" s="2" t="s">
        <v>121</v>
      </c>
      <c r="H378" s="2" t="s">
        <v>418</v>
      </c>
      <c r="I378" s="2" t="s">
        <v>3393</v>
      </c>
      <c r="J378" s="3">
        <v>13.21</v>
      </c>
      <c r="K378" s="3">
        <v>7.73</v>
      </c>
      <c r="L378" s="2" t="s">
        <v>8</v>
      </c>
      <c r="M378" s="2" t="s">
        <v>9</v>
      </c>
      <c r="N378" s="3">
        <v>526</v>
      </c>
      <c r="O378" s="2" t="s">
        <v>302</v>
      </c>
      <c r="P378" s="2" t="s">
        <v>76</v>
      </c>
      <c r="Q378" s="3"/>
      <c r="R378" s="3"/>
      <c r="S378" s="2" t="s">
        <v>21</v>
      </c>
      <c r="T378" s="4">
        <v>44955</v>
      </c>
      <c r="U378" s="2" t="s">
        <v>2349</v>
      </c>
      <c r="V378" s="6">
        <f>(Real_Sales[[#This Row],[Price_retail]]-Real_Sales[[#This Row],[Price_current]])/Real_Sales[[#This Row],[Price_retail]]</f>
        <v>0.41483724451173354</v>
      </c>
      <c r="W378" s="3" t="str" cm="1">
        <f t="array" ref="W37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78" s="2" t="str">
        <f>IF(Real_Sales[[#This Row],[Price_retail]]&gt;$AC$3,"Premium","Average")</f>
        <v>Average</v>
      </c>
      <c r="Y378" s="2" t="str">
        <f>IF(ISNUMBER(SEARCH("Basic",Real_Sales[[#This Row],[Product_name]])),"Yes","No")</f>
        <v>No</v>
      </c>
      <c r="Z378" s="2" cm="1">
        <f t="array" ref="Z378">_xlfn.IFS(Real_Sales[[#This Row],[Price_retail]]&lt;=15,1, Real_Sales[[#This Row],[Price_retail]]&lt;=30,2, Real_Sales[[#This Row],[Price_retail]]&lt;=50,3,Real_Sales[[#This Row],[Price_retail]]&gt;50,4)</f>
        <v>1</v>
      </c>
    </row>
    <row r="379" spans="1:26" x14ac:dyDescent="0.35">
      <c r="A379" s="2" t="s">
        <v>285</v>
      </c>
      <c r="B379" s="2" t="s">
        <v>286</v>
      </c>
      <c r="C379" s="2" t="s">
        <v>242</v>
      </c>
      <c r="D379" s="2" t="s">
        <v>127</v>
      </c>
      <c r="E379" s="2" t="s">
        <v>4</v>
      </c>
      <c r="F379" s="2" t="s">
        <v>5</v>
      </c>
      <c r="G379" s="2" t="s">
        <v>82</v>
      </c>
      <c r="H379" s="2" t="s">
        <v>110</v>
      </c>
      <c r="I379" s="2" t="s">
        <v>3390</v>
      </c>
      <c r="J379" s="3">
        <v>13.21</v>
      </c>
      <c r="K379" s="3">
        <v>13.21</v>
      </c>
      <c r="L379" s="2" t="s">
        <v>3391</v>
      </c>
      <c r="M379" s="2" t="s">
        <v>9</v>
      </c>
      <c r="N379" s="3">
        <v>238</v>
      </c>
      <c r="O379" s="2" t="s">
        <v>287</v>
      </c>
      <c r="P379" s="2" t="s">
        <v>288</v>
      </c>
      <c r="Q379" s="3"/>
      <c r="R379" s="3"/>
      <c r="S379" s="2" t="s">
        <v>21</v>
      </c>
      <c r="T379" s="4">
        <v>44955</v>
      </c>
      <c r="U379" s="2" t="s">
        <v>289</v>
      </c>
      <c r="V379" s="6">
        <f>(Real_Sales[[#This Row],[Price_retail]]-Real_Sales[[#This Row],[Price_current]])/Real_Sales[[#This Row],[Price_retail]]</f>
        <v>0</v>
      </c>
      <c r="W379" s="3" t="str" cm="1">
        <f t="array" ref="W3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79" s="2" t="str">
        <f>IF(Real_Sales[[#This Row],[Price_retail]]&gt;$AC$3,"Premium","Average")</f>
        <v>Average</v>
      </c>
      <c r="Y379" s="2" t="str">
        <f>IF(ISNUMBER(SEARCH("Basic",Real_Sales[[#This Row],[Product_name]])),"Yes","No")</f>
        <v>No</v>
      </c>
      <c r="Z379" s="2" cm="1">
        <f t="array" ref="Z379">_xlfn.IFS(Real_Sales[[#This Row],[Price_retail]]&lt;=15,1, Real_Sales[[#This Row],[Price_retail]]&lt;=30,2, Real_Sales[[#This Row],[Price_retail]]&lt;=50,3,Real_Sales[[#This Row],[Price_retail]]&gt;50,4)</f>
        <v>1</v>
      </c>
    </row>
    <row r="380" spans="1:26" x14ac:dyDescent="0.35">
      <c r="A380" s="2" t="s">
        <v>2749</v>
      </c>
      <c r="B380" s="2" t="s">
        <v>2750</v>
      </c>
      <c r="C380" s="2" t="s">
        <v>616</v>
      </c>
      <c r="D380" s="2" t="s">
        <v>711</v>
      </c>
      <c r="E380" s="2" t="s">
        <v>4</v>
      </c>
      <c r="F380" s="2" t="s">
        <v>17</v>
      </c>
      <c r="G380" s="2" t="s">
        <v>50</v>
      </c>
      <c r="H380" s="2" t="s">
        <v>83</v>
      </c>
      <c r="I380" s="2" t="s">
        <v>3393</v>
      </c>
      <c r="J380" s="3">
        <v>13.22</v>
      </c>
      <c r="K380" s="3">
        <v>9.35</v>
      </c>
      <c r="L380" s="2" t="s">
        <v>8</v>
      </c>
      <c r="M380" s="2" t="s">
        <v>9</v>
      </c>
      <c r="N380" s="3">
        <v>915</v>
      </c>
      <c r="O380" s="2" t="s">
        <v>191</v>
      </c>
      <c r="P380" s="2" t="s">
        <v>238</v>
      </c>
      <c r="Q380" s="3"/>
      <c r="R380" s="3"/>
      <c r="S380" s="2" t="s">
        <v>12</v>
      </c>
      <c r="T380" s="4">
        <v>44955</v>
      </c>
      <c r="U380" s="2" t="s">
        <v>2751</v>
      </c>
      <c r="V380" s="6">
        <f>(Real_Sales[[#This Row],[Price_retail]]-Real_Sales[[#This Row],[Price_current]])/Real_Sales[[#This Row],[Price_retail]]</f>
        <v>0.29273827534039343</v>
      </c>
      <c r="W380" s="3" t="str" cm="1">
        <f t="array" ref="W38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80" s="2" t="str">
        <f>IF(Real_Sales[[#This Row],[Price_retail]]&gt;$AC$3,"Premium","Average")</f>
        <v>Average</v>
      </c>
      <c r="Y380" s="2" t="str">
        <f>IF(ISNUMBER(SEARCH("Basic",Real_Sales[[#This Row],[Product_name]])),"Yes","No")</f>
        <v>No</v>
      </c>
      <c r="Z380" s="2" cm="1">
        <f t="array" ref="Z380">_xlfn.IFS(Real_Sales[[#This Row],[Price_retail]]&lt;=15,1, Real_Sales[[#This Row],[Price_retail]]&lt;=30,2, Real_Sales[[#This Row],[Price_retail]]&lt;=50,3,Real_Sales[[#This Row],[Price_retail]]&gt;50,4)</f>
        <v>1</v>
      </c>
    </row>
    <row r="381" spans="1:26" x14ac:dyDescent="0.35">
      <c r="A381" s="2" t="s">
        <v>1626</v>
      </c>
      <c r="B381" s="2" t="s">
        <v>1627</v>
      </c>
      <c r="C381" s="2" t="s">
        <v>1628</v>
      </c>
      <c r="D381" s="2" t="s">
        <v>225</v>
      </c>
      <c r="E381" s="2" t="s">
        <v>4</v>
      </c>
      <c r="F381" s="2" t="s">
        <v>17</v>
      </c>
      <c r="G381" s="2" t="s">
        <v>67</v>
      </c>
      <c r="H381" s="2" t="s">
        <v>110</v>
      </c>
      <c r="I381" s="2" t="s">
        <v>3390</v>
      </c>
      <c r="J381" s="3">
        <v>13.24</v>
      </c>
      <c r="K381" s="3">
        <v>13.24</v>
      </c>
      <c r="L381" s="2" t="s">
        <v>3391</v>
      </c>
      <c r="M381" s="2" t="s">
        <v>9</v>
      </c>
      <c r="N381" s="3">
        <v>641</v>
      </c>
      <c r="O381" s="2" t="s">
        <v>29</v>
      </c>
      <c r="P381" s="2" t="s">
        <v>1629</v>
      </c>
      <c r="Q381" s="3"/>
      <c r="R381" s="3"/>
      <c r="S381" s="2" t="s">
        <v>21</v>
      </c>
      <c r="T381" s="4">
        <v>44955</v>
      </c>
      <c r="U381" s="2" t="s">
        <v>1630</v>
      </c>
      <c r="V381" s="6">
        <f>(Real_Sales[[#This Row],[Price_retail]]-Real_Sales[[#This Row],[Price_current]])/Real_Sales[[#This Row],[Price_retail]]</f>
        <v>0</v>
      </c>
      <c r="W381" s="3" t="str" cm="1">
        <f t="array" ref="W38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81" s="2" t="str">
        <f>IF(Real_Sales[[#This Row],[Price_retail]]&gt;$AC$3,"Premium","Average")</f>
        <v>Average</v>
      </c>
      <c r="Y381" s="2" t="str">
        <f>IF(ISNUMBER(SEARCH("Basic",Real_Sales[[#This Row],[Product_name]])),"Yes","No")</f>
        <v>No</v>
      </c>
      <c r="Z381" s="2" cm="1">
        <f t="array" ref="Z381">_xlfn.IFS(Real_Sales[[#This Row],[Price_retail]]&lt;=15,1, Real_Sales[[#This Row],[Price_retail]]&lt;=30,2, Real_Sales[[#This Row],[Price_retail]]&lt;=50,3,Real_Sales[[#This Row],[Price_retail]]&gt;50,4)</f>
        <v>1</v>
      </c>
    </row>
    <row r="382" spans="1:26" x14ac:dyDescent="0.35">
      <c r="A382" s="2" t="s">
        <v>3338</v>
      </c>
      <c r="B382" s="2" t="s">
        <v>3339</v>
      </c>
      <c r="C382" s="2" t="s">
        <v>484</v>
      </c>
      <c r="D382" s="2" t="s">
        <v>557</v>
      </c>
      <c r="E382" s="2" t="s">
        <v>4</v>
      </c>
      <c r="F382" s="2" t="s">
        <v>5</v>
      </c>
      <c r="G382" s="2" t="s">
        <v>6</v>
      </c>
      <c r="H382" s="2" t="s">
        <v>28</v>
      </c>
      <c r="I382" s="2" t="s">
        <v>3393</v>
      </c>
      <c r="J382" s="3">
        <v>13.24</v>
      </c>
      <c r="K382" s="3">
        <v>13.24</v>
      </c>
      <c r="L382" s="2" t="s">
        <v>3391</v>
      </c>
      <c r="M382" s="2" t="s">
        <v>9</v>
      </c>
      <c r="N382" s="3">
        <v>764</v>
      </c>
      <c r="O382" s="2" t="s">
        <v>43</v>
      </c>
      <c r="P382" s="2" t="s">
        <v>44</v>
      </c>
      <c r="Q382" s="3"/>
      <c r="R382" s="3"/>
      <c r="S382" s="2" t="s">
        <v>21</v>
      </c>
      <c r="T382" s="4">
        <v>44955</v>
      </c>
      <c r="U382" s="2" t="s">
        <v>3340</v>
      </c>
      <c r="V382" s="6">
        <f>(Real_Sales[[#This Row],[Price_retail]]-Real_Sales[[#This Row],[Price_current]])/Real_Sales[[#This Row],[Price_retail]]</f>
        <v>0</v>
      </c>
      <c r="W382" s="3" t="str" cm="1">
        <f t="array" ref="W3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82" s="2" t="str">
        <f>IF(Real_Sales[[#This Row],[Price_retail]]&gt;$AC$3,"Premium","Average")</f>
        <v>Average</v>
      </c>
      <c r="Y382" s="2" t="str">
        <f>IF(ISNUMBER(SEARCH("Basic",Real_Sales[[#This Row],[Product_name]])),"Yes","No")</f>
        <v>No</v>
      </c>
      <c r="Z382" s="2" cm="1">
        <f t="array" ref="Z382">_xlfn.IFS(Real_Sales[[#This Row],[Price_retail]]&lt;=15,1, Real_Sales[[#This Row],[Price_retail]]&lt;=30,2, Real_Sales[[#This Row],[Price_retail]]&lt;=50,3,Real_Sales[[#This Row],[Price_retail]]&gt;50,4)</f>
        <v>1</v>
      </c>
    </row>
    <row r="383" spans="1:26" x14ac:dyDescent="0.35">
      <c r="A383" s="2" t="s">
        <v>3242</v>
      </c>
      <c r="B383" s="2" t="s">
        <v>3243</v>
      </c>
      <c r="C383" s="2" t="s">
        <v>108</v>
      </c>
      <c r="D383" s="2" t="s">
        <v>327</v>
      </c>
      <c r="E383" s="2" t="s">
        <v>4</v>
      </c>
      <c r="F383" s="2" t="s">
        <v>5</v>
      </c>
      <c r="G383" s="2" t="s">
        <v>82</v>
      </c>
      <c r="H383" s="2" t="s">
        <v>110</v>
      </c>
      <c r="I383" s="2" t="s">
        <v>3393</v>
      </c>
      <c r="J383" s="3">
        <v>13.25</v>
      </c>
      <c r="K383" s="3">
        <v>9.1199999999999992</v>
      </c>
      <c r="L383" s="2" t="s">
        <v>8</v>
      </c>
      <c r="M383" s="2" t="s">
        <v>9</v>
      </c>
      <c r="N383" s="3">
        <v>404</v>
      </c>
      <c r="O383" s="2" t="s">
        <v>91</v>
      </c>
      <c r="P383" s="2" t="s">
        <v>61</v>
      </c>
      <c r="Q383" s="3"/>
      <c r="R383" s="3"/>
      <c r="S383" s="2" t="s">
        <v>21</v>
      </c>
      <c r="T383" s="4">
        <v>44955</v>
      </c>
      <c r="U383" s="2" t="s">
        <v>3244</v>
      </c>
      <c r="V383" s="6">
        <f>(Real_Sales[[#This Row],[Price_retail]]-Real_Sales[[#This Row],[Price_current]])/Real_Sales[[#This Row],[Price_retail]]</f>
        <v>0.31169811320754726</v>
      </c>
      <c r="W383" s="3" t="str" cm="1">
        <f t="array" ref="W38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83" s="2" t="str">
        <f>IF(Real_Sales[[#This Row],[Price_retail]]&gt;$AC$3,"Premium","Average")</f>
        <v>Average</v>
      </c>
      <c r="Y383" s="2" t="str">
        <f>IF(ISNUMBER(SEARCH("Basic",Real_Sales[[#This Row],[Product_name]])),"Yes","No")</f>
        <v>No</v>
      </c>
      <c r="Z383" s="2" cm="1">
        <f t="array" ref="Z383">_xlfn.IFS(Real_Sales[[#This Row],[Price_retail]]&lt;=15,1, Real_Sales[[#This Row],[Price_retail]]&lt;=30,2, Real_Sales[[#This Row],[Price_retail]]&lt;=50,3,Real_Sales[[#This Row],[Price_retail]]&gt;50,4)</f>
        <v>1</v>
      </c>
    </row>
    <row r="384" spans="1:26" x14ac:dyDescent="0.35">
      <c r="A384" s="2" t="s">
        <v>3035</v>
      </c>
      <c r="B384" s="2" t="s">
        <v>3036</v>
      </c>
      <c r="C384" s="2" t="s">
        <v>65</v>
      </c>
      <c r="D384" s="2" t="s">
        <v>173</v>
      </c>
      <c r="E384" s="2" t="s">
        <v>4</v>
      </c>
      <c r="F384" s="2" t="s">
        <v>17</v>
      </c>
      <c r="G384" s="2" t="s">
        <v>27</v>
      </c>
      <c r="H384" s="2" t="s">
        <v>7</v>
      </c>
      <c r="I384" s="2" t="s">
        <v>3393</v>
      </c>
      <c r="J384" s="3">
        <v>13.25</v>
      </c>
      <c r="K384" s="3">
        <v>13.25</v>
      </c>
      <c r="L384" s="2" t="s">
        <v>3391</v>
      </c>
      <c r="M384" s="2" t="s">
        <v>9</v>
      </c>
      <c r="N384" s="3">
        <v>221</v>
      </c>
      <c r="O384" s="2" t="s">
        <v>10</v>
      </c>
      <c r="P384" s="2" t="s">
        <v>177</v>
      </c>
      <c r="Q384" s="3"/>
      <c r="R384" s="3"/>
      <c r="S384" s="2" t="s">
        <v>21</v>
      </c>
      <c r="T384" s="4">
        <v>44955</v>
      </c>
      <c r="U384" s="2" t="s">
        <v>3037</v>
      </c>
      <c r="V384" s="6">
        <f>(Real_Sales[[#This Row],[Price_retail]]-Real_Sales[[#This Row],[Price_current]])/Real_Sales[[#This Row],[Price_retail]]</f>
        <v>0</v>
      </c>
      <c r="W384" s="3" t="str" cm="1">
        <f t="array" ref="W3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84" s="2" t="str">
        <f>IF(Real_Sales[[#This Row],[Price_retail]]&gt;$AC$3,"Premium","Average")</f>
        <v>Average</v>
      </c>
      <c r="Y384" s="2" t="str">
        <f>IF(ISNUMBER(SEARCH("Basic",Real_Sales[[#This Row],[Product_name]])),"Yes","No")</f>
        <v>No</v>
      </c>
      <c r="Z384" s="2" cm="1">
        <f t="array" ref="Z384">_xlfn.IFS(Real_Sales[[#This Row],[Price_retail]]&lt;=15,1, Real_Sales[[#This Row],[Price_retail]]&lt;=30,2, Real_Sales[[#This Row],[Price_retail]]&lt;=50,3,Real_Sales[[#This Row],[Price_retail]]&gt;50,4)</f>
        <v>1</v>
      </c>
    </row>
    <row r="385" spans="1:26" x14ac:dyDescent="0.35">
      <c r="A385" s="2" t="s">
        <v>523</v>
      </c>
      <c r="B385" s="2" t="s">
        <v>524</v>
      </c>
      <c r="C385" s="2" t="s">
        <v>525</v>
      </c>
      <c r="D385" s="2" t="s">
        <v>526</v>
      </c>
      <c r="E385" s="2" t="s">
        <v>4</v>
      </c>
      <c r="F385" s="2" t="s">
        <v>5</v>
      </c>
      <c r="G385" s="2" t="s">
        <v>121</v>
      </c>
      <c r="H385" s="2" t="s">
        <v>59</v>
      </c>
      <c r="I385" s="2" t="s">
        <v>3393</v>
      </c>
      <c r="J385" s="3">
        <v>13.27</v>
      </c>
      <c r="K385" s="3">
        <v>11.33</v>
      </c>
      <c r="L385" s="2" t="s">
        <v>8</v>
      </c>
      <c r="M385" s="2" t="s">
        <v>9</v>
      </c>
      <c r="N385" s="3">
        <v>697</v>
      </c>
      <c r="O385" s="2" t="s">
        <v>36</v>
      </c>
      <c r="P385" s="2" t="s">
        <v>70</v>
      </c>
      <c r="Q385" s="3"/>
      <c r="R385" s="3"/>
      <c r="S385" s="2" t="s">
        <v>12</v>
      </c>
      <c r="T385" s="4">
        <v>44955</v>
      </c>
      <c r="U385" s="2" t="s">
        <v>527</v>
      </c>
      <c r="V385" s="6">
        <f>(Real_Sales[[#This Row],[Price_retail]]-Real_Sales[[#This Row],[Price_current]])/Real_Sales[[#This Row],[Price_retail]]</f>
        <v>0.14619442351168044</v>
      </c>
      <c r="W385" s="3" t="str" cm="1">
        <f t="array" ref="W38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85" s="2" t="str">
        <f>IF(Real_Sales[[#This Row],[Price_retail]]&gt;$AC$3,"Premium","Average")</f>
        <v>Average</v>
      </c>
      <c r="Y385" s="2" t="str">
        <f>IF(ISNUMBER(SEARCH("Basic",Real_Sales[[#This Row],[Product_name]])),"Yes","No")</f>
        <v>No</v>
      </c>
      <c r="Z385" s="2" cm="1">
        <f t="array" ref="Z385">_xlfn.IFS(Real_Sales[[#This Row],[Price_retail]]&lt;=15,1, Real_Sales[[#This Row],[Price_retail]]&lt;=30,2, Real_Sales[[#This Row],[Price_retail]]&lt;=50,3,Real_Sales[[#This Row],[Price_retail]]&gt;50,4)</f>
        <v>1</v>
      </c>
    </row>
    <row r="386" spans="1:26" x14ac:dyDescent="0.35">
      <c r="A386" s="2" t="s">
        <v>1367</v>
      </c>
      <c r="B386" s="2" t="s">
        <v>1368</v>
      </c>
      <c r="C386" s="2" t="s">
        <v>1314</v>
      </c>
      <c r="D386" s="2" t="s">
        <v>577</v>
      </c>
      <c r="E386" s="2" t="s">
        <v>4</v>
      </c>
      <c r="F386" s="2" t="s">
        <v>5</v>
      </c>
      <c r="G386" s="2" t="s">
        <v>82</v>
      </c>
      <c r="H386" s="2" t="s">
        <v>168</v>
      </c>
      <c r="I386" s="2" t="s">
        <v>3393</v>
      </c>
      <c r="J386" s="3">
        <v>13.27</v>
      </c>
      <c r="K386" s="3">
        <v>12.53</v>
      </c>
      <c r="L386" s="2" t="s">
        <v>8</v>
      </c>
      <c r="M386" s="2" t="s">
        <v>9</v>
      </c>
      <c r="N386" s="3">
        <v>900</v>
      </c>
      <c r="O386" s="2" t="s">
        <v>359</v>
      </c>
      <c r="P386" s="2" t="s">
        <v>221</v>
      </c>
      <c r="Q386" s="3"/>
      <c r="R386" s="3"/>
      <c r="S386" s="2" t="s">
        <v>12</v>
      </c>
      <c r="T386" s="4">
        <v>44955</v>
      </c>
      <c r="U386" s="2" t="s">
        <v>1369</v>
      </c>
      <c r="V386" s="6">
        <f>(Real_Sales[[#This Row],[Price_retail]]-Real_Sales[[#This Row],[Price_current]])/Real_Sales[[#This Row],[Price_retail]]</f>
        <v>5.5764883195177112E-2</v>
      </c>
      <c r="W386" s="3" t="str" cm="1">
        <f t="array" ref="W38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86" s="2" t="str">
        <f>IF(Real_Sales[[#This Row],[Price_retail]]&gt;$AC$3,"Premium","Average")</f>
        <v>Average</v>
      </c>
      <c r="Y386" s="2" t="str">
        <f>IF(ISNUMBER(SEARCH("Basic",Real_Sales[[#This Row],[Product_name]])),"Yes","No")</f>
        <v>No</v>
      </c>
      <c r="Z386" s="2" cm="1">
        <f t="array" ref="Z386">_xlfn.IFS(Real_Sales[[#This Row],[Price_retail]]&lt;=15,1, Real_Sales[[#This Row],[Price_retail]]&lt;=30,2, Real_Sales[[#This Row],[Price_retail]]&lt;=50,3,Real_Sales[[#This Row],[Price_retail]]&gt;50,4)</f>
        <v>1</v>
      </c>
    </row>
    <row r="387" spans="1:26" x14ac:dyDescent="0.35">
      <c r="A387" s="2" t="s">
        <v>361</v>
      </c>
      <c r="B387" s="2" t="s">
        <v>362</v>
      </c>
      <c r="C387" s="2" t="s">
        <v>3396</v>
      </c>
      <c r="D387" s="2" t="s">
        <v>363</v>
      </c>
      <c r="E387" s="2" t="s">
        <v>4</v>
      </c>
      <c r="F387" s="2" t="s">
        <v>17</v>
      </c>
      <c r="G387" s="2" t="s">
        <v>18</v>
      </c>
      <c r="H387" s="2" t="s">
        <v>59</v>
      </c>
      <c r="I387" s="2" t="s">
        <v>3390</v>
      </c>
      <c r="J387" s="3">
        <v>13.41</v>
      </c>
      <c r="K387" s="3">
        <v>6.23</v>
      </c>
      <c r="L387" s="2" t="s">
        <v>8</v>
      </c>
      <c r="M387" s="2" t="s">
        <v>9</v>
      </c>
      <c r="N387" s="3">
        <v>818</v>
      </c>
      <c r="O387" s="2" t="s">
        <v>10</v>
      </c>
      <c r="P387" s="2" t="s">
        <v>53</v>
      </c>
      <c r="Q387" s="3"/>
      <c r="R387" s="3"/>
      <c r="S387" s="2" t="s">
        <v>21</v>
      </c>
      <c r="T387" s="4">
        <v>44955</v>
      </c>
      <c r="U387" s="2" t="s">
        <v>364</v>
      </c>
      <c r="V387" s="6">
        <f>(Real_Sales[[#This Row],[Price_retail]]-Real_Sales[[#This Row],[Price_current]])/Real_Sales[[#This Row],[Price_retail]]</f>
        <v>0.53542132736763604</v>
      </c>
      <c r="W387" s="3" t="str" cm="1">
        <f t="array" ref="W387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387" s="2" t="str">
        <f>IF(Real_Sales[[#This Row],[Price_retail]]&gt;$AC$3,"Premium","Average")</f>
        <v>Average</v>
      </c>
      <c r="Y387" s="2" t="str">
        <f>IF(ISNUMBER(SEARCH("Basic",Real_Sales[[#This Row],[Product_name]])),"Yes","No")</f>
        <v>No</v>
      </c>
      <c r="Z387" s="2" cm="1">
        <f t="array" ref="Z387">_xlfn.IFS(Real_Sales[[#This Row],[Price_retail]]&lt;=15,1, Real_Sales[[#This Row],[Price_retail]]&lt;=30,2, Real_Sales[[#This Row],[Price_retail]]&lt;=50,3,Real_Sales[[#This Row],[Price_retail]]&gt;50,4)</f>
        <v>1</v>
      </c>
    </row>
    <row r="388" spans="1:26" x14ac:dyDescent="0.35">
      <c r="A388" s="2" t="s">
        <v>234</v>
      </c>
      <c r="B388" s="2" t="s">
        <v>235</v>
      </c>
      <c r="C388" s="2" t="s">
        <v>1743</v>
      </c>
      <c r="D388" s="2" t="s">
        <v>236</v>
      </c>
      <c r="E388" s="2" t="s">
        <v>4</v>
      </c>
      <c r="F388" s="2" t="s">
        <v>17</v>
      </c>
      <c r="G388" s="2" t="s">
        <v>27</v>
      </c>
      <c r="H388" s="2" t="s">
        <v>237</v>
      </c>
      <c r="I388" s="2" t="s">
        <v>3393</v>
      </c>
      <c r="J388" s="3">
        <v>13.41</v>
      </c>
      <c r="K388" s="3">
        <v>8.08</v>
      </c>
      <c r="L388" s="2" t="s">
        <v>8</v>
      </c>
      <c r="M388" s="2" t="s">
        <v>9</v>
      </c>
      <c r="N388" s="3">
        <v>360</v>
      </c>
      <c r="O388" s="2" t="s">
        <v>3392</v>
      </c>
      <c r="P388" s="2" t="s">
        <v>238</v>
      </c>
      <c r="Q388" s="3"/>
      <c r="R388" s="3"/>
      <c r="S388" s="2" t="s">
        <v>12</v>
      </c>
      <c r="T388" s="4">
        <v>44955</v>
      </c>
      <c r="U388" s="2" t="s">
        <v>239</v>
      </c>
      <c r="V388" s="6">
        <f>(Real_Sales[[#This Row],[Price_retail]]-Real_Sales[[#This Row],[Price_current]])/Real_Sales[[#This Row],[Price_retail]]</f>
        <v>0.39746457867263235</v>
      </c>
      <c r="W388" s="3" t="str" cm="1">
        <f t="array" ref="W38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88" s="2" t="str">
        <f>IF(Real_Sales[[#This Row],[Price_retail]]&gt;$AC$3,"Premium","Average")</f>
        <v>Average</v>
      </c>
      <c r="Y388" s="2" t="str">
        <f>IF(ISNUMBER(SEARCH("Basic",Real_Sales[[#This Row],[Product_name]])),"Yes","No")</f>
        <v>No</v>
      </c>
      <c r="Z388" s="2" cm="1">
        <f t="array" ref="Z388">_xlfn.IFS(Real_Sales[[#This Row],[Price_retail]]&lt;=15,1, Real_Sales[[#This Row],[Price_retail]]&lt;=30,2, Real_Sales[[#This Row],[Price_retail]]&lt;=50,3,Real_Sales[[#This Row],[Price_retail]]&gt;50,4)</f>
        <v>1</v>
      </c>
    </row>
    <row r="389" spans="1:26" x14ac:dyDescent="0.35">
      <c r="A389" s="2" t="s">
        <v>2388</v>
      </c>
      <c r="B389" s="2" t="s">
        <v>2389</v>
      </c>
      <c r="C389" s="2" t="s">
        <v>3394</v>
      </c>
      <c r="D389" s="2" t="s">
        <v>1106</v>
      </c>
      <c r="E389" s="2" t="s">
        <v>4</v>
      </c>
      <c r="F389" s="2" t="s">
        <v>5</v>
      </c>
      <c r="G389" s="2" t="s">
        <v>82</v>
      </c>
      <c r="H389" s="2" t="s">
        <v>19</v>
      </c>
      <c r="I389" s="2" t="s">
        <v>3395</v>
      </c>
      <c r="J389" s="3">
        <v>13.44</v>
      </c>
      <c r="K389" s="3">
        <v>8.23</v>
      </c>
      <c r="L389" s="2" t="s">
        <v>8</v>
      </c>
      <c r="M389" s="2" t="s">
        <v>9</v>
      </c>
      <c r="N389" s="3">
        <v>50</v>
      </c>
      <c r="O389" s="2" t="s">
        <v>347</v>
      </c>
      <c r="P389" s="2" t="s">
        <v>2390</v>
      </c>
      <c r="Q389" s="3"/>
      <c r="R389" s="3"/>
      <c r="S389" s="2" t="s">
        <v>12</v>
      </c>
      <c r="T389" s="4">
        <v>44955</v>
      </c>
      <c r="U389" s="2" t="s">
        <v>2391</v>
      </c>
      <c r="V389" s="6">
        <f>(Real_Sales[[#This Row],[Price_retail]]-Real_Sales[[#This Row],[Price_current]])/Real_Sales[[#This Row],[Price_retail]]</f>
        <v>0.38764880952380948</v>
      </c>
      <c r="W389" s="3" t="str" cm="1">
        <f t="array" ref="W38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89" s="2" t="str">
        <f>IF(Real_Sales[[#This Row],[Price_retail]]&gt;$AC$3,"Premium","Average")</f>
        <v>Average</v>
      </c>
      <c r="Y389" s="2" t="str">
        <f>IF(ISNUMBER(SEARCH("Basic",Real_Sales[[#This Row],[Product_name]])),"Yes","No")</f>
        <v>No</v>
      </c>
      <c r="Z389" s="2" cm="1">
        <f t="array" ref="Z389">_xlfn.IFS(Real_Sales[[#This Row],[Price_retail]]&lt;=15,1, Real_Sales[[#This Row],[Price_retail]]&lt;=30,2, Real_Sales[[#This Row],[Price_retail]]&lt;=50,3,Real_Sales[[#This Row],[Price_retail]]&gt;50,4)</f>
        <v>1</v>
      </c>
    </row>
    <row r="390" spans="1:26" x14ac:dyDescent="0.35">
      <c r="A390" s="2" t="s">
        <v>1229</v>
      </c>
      <c r="B390" s="2" t="s">
        <v>1230</v>
      </c>
      <c r="C390" s="2" t="s">
        <v>690</v>
      </c>
      <c r="D390" s="2" t="s">
        <v>470</v>
      </c>
      <c r="E390" s="2" t="s">
        <v>4</v>
      </c>
      <c r="F390" s="2" t="s">
        <v>17</v>
      </c>
      <c r="G390" s="2" t="s">
        <v>67</v>
      </c>
      <c r="H390" s="2" t="s">
        <v>185</v>
      </c>
      <c r="I390" s="2" t="s">
        <v>3395</v>
      </c>
      <c r="J390" s="3">
        <v>13.45</v>
      </c>
      <c r="K390" s="3">
        <v>13.45</v>
      </c>
      <c r="L390" s="2" t="s">
        <v>3391</v>
      </c>
      <c r="M390" s="2" t="s">
        <v>9</v>
      </c>
      <c r="N390" s="3">
        <v>655</v>
      </c>
      <c r="O390" s="2" t="s">
        <v>267</v>
      </c>
      <c r="P390" s="2" t="s">
        <v>44</v>
      </c>
      <c r="Q390" s="3"/>
      <c r="R390" s="3"/>
      <c r="S390" s="2" t="s">
        <v>21</v>
      </c>
      <c r="T390" s="4">
        <v>44955</v>
      </c>
      <c r="U390" s="2" t="s">
        <v>1231</v>
      </c>
      <c r="V390" s="6">
        <f>(Real_Sales[[#This Row],[Price_retail]]-Real_Sales[[#This Row],[Price_current]])/Real_Sales[[#This Row],[Price_retail]]</f>
        <v>0</v>
      </c>
      <c r="W390" s="3" t="str" cm="1">
        <f t="array" ref="W39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90" s="2" t="str">
        <f>IF(Real_Sales[[#This Row],[Price_retail]]&gt;$AC$3,"Premium","Average")</f>
        <v>Average</v>
      </c>
      <c r="Y390" s="2" t="str">
        <f>IF(ISNUMBER(SEARCH("Basic",Real_Sales[[#This Row],[Product_name]])),"Yes","No")</f>
        <v>No</v>
      </c>
      <c r="Z390" s="2" cm="1">
        <f t="array" ref="Z390">_xlfn.IFS(Real_Sales[[#This Row],[Price_retail]]&lt;=15,1, Real_Sales[[#This Row],[Price_retail]]&lt;=30,2, Real_Sales[[#This Row],[Price_retail]]&lt;=50,3,Real_Sales[[#This Row],[Price_retail]]&gt;50,4)</f>
        <v>1</v>
      </c>
    </row>
    <row r="391" spans="1:26" x14ac:dyDescent="0.35">
      <c r="A391" s="2" t="s">
        <v>1678</v>
      </c>
      <c r="B391" s="2" t="s">
        <v>1679</v>
      </c>
      <c r="C391" s="2" t="s">
        <v>65</v>
      </c>
      <c r="D391" s="2" t="s">
        <v>1680</v>
      </c>
      <c r="E391" s="2" t="s">
        <v>4</v>
      </c>
      <c r="F391" s="2" t="s">
        <v>5</v>
      </c>
      <c r="G391" s="2" t="s">
        <v>121</v>
      </c>
      <c r="H391" s="2" t="s">
        <v>51</v>
      </c>
      <c r="I391" s="2" t="s">
        <v>3395</v>
      </c>
      <c r="J391" s="3">
        <v>13.48</v>
      </c>
      <c r="K391" s="3">
        <v>12.15</v>
      </c>
      <c r="L391" s="2" t="s">
        <v>8</v>
      </c>
      <c r="M391" s="2" t="s">
        <v>9</v>
      </c>
      <c r="N391" s="3">
        <v>55</v>
      </c>
      <c r="O391" s="2" t="s">
        <v>29</v>
      </c>
      <c r="P391" s="2" t="s">
        <v>3392</v>
      </c>
      <c r="Q391" s="3"/>
      <c r="R391" s="3"/>
      <c r="S391" s="2" t="s">
        <v>21</v>
      </c>
      <c r="T391" s="4">
        <v>44955</v>
      </c>
      <c r="U391" s="2" t="s">
        <v>1681</v>
      </c>
      <c r="V391" s="6">
        <f>(Real_Sales[[#This Row],[Price_retail]]-Real_Sales[[#This Row],[Price_current]])/Real_Sales[[#This Row],[Price_retail]]</f>
        <v>9.866468842729971E-2</v>
      </c>
      <c r="W391" s="3" t="str" cm="1">
        <f t="array" ref="W391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391" s="2" t="str">
        <f>IF(Real_Sales[[#This Row],[Price_retail]]&gt;$AC$3,"Premium","Average")</f>
        <v>Average</v>
      </c>
      <c r="Y391" s="2" t="str">
        <f>IF(ISNUMBER(SEARCH("Basic",Real_Sales[[#This Row],[Product_name]])),"Yes","No")</f>
        <v>No</v>
      </c>
      <c r="Z391" s="2" cm="1">
        <f t="array" ref="Z391">_xlfn.IFS(Real_Sales[[#This Row],[Price_retail]]&lt;=15,1, Real_Sales[[#This Row],[Price_retail]]&lt;=30,2, Real_Sales[[#This Row],[Price_retail]]&lt;=50,3,Real_Sales[[#This Row],[Price_retail]]&gt;50,4)</f>
        <v>1</v>
      </c>
    </row>
    <row r="392" spans="1:26" x14ac:dyDescent="0.35">
      <c r="A392" s="2" t="s">
        <v>3077</v>
      </c>
      <c r="B392" s="2" t="s">
        <v>3078</v>
      </c>
      <c r="C392" s="2" t="s">
        <v>65</v>
      </c>
      <c r="D392" s="2" t="s">
        <v>327</v>
      </c>
      <c r="E392" s="2" t="s">
        <v>4</v>
      </c>
      <c r="F392" s="2" t="s">
        <v>5</v>
      </c>
      <c r="G392" s="2" t="s">
        <v>82</v>
      </c>
      <c r="H392" s="2" t="s">
        <v>110</v>
      </c>
      <c r="I392" s="2" t="s">
        <v>3395</v>
      </c>
      <c r="J392" s="3">
        <v>13.5</v>
      </c>
      <c r="K392" s="3">
        <v>13.5</v>
      </c>
      <c r="L392" s="2" t="s">
        <v>3391</v>
      </c>
      <c r="M392" s="2" t="s">
        <v>9</v>
      </c>
      <c r="N392" s="3">
        <v>961</v>
      </c>
      <c r="O392" s="2" t="s">
        <v>43</v>
      </c>
      <c r="P392" s="2" t="s">
        <v>553</v>
      </c>
      <c r="Q392" s="3"/>
      <c r="R392" s="3"/>
      <c r="S392" s="2" t="s">
        <v>21</v>
      </c>
      <c r="T392" s="4">
        <v>44955</v>
      </c>
      <c r="U392" s="2" t="s">
        <v>3079</v>
      </c>
      <c r="V392" s="6">
        <f>(Real_Sales[[#This Row],[Price_retail]]-Real_Sales[[#This Row],[Price_current]])/Real_Sales[[#This Row],[Price_retail]]</f>
        <v>0</v>
      </c>
      <c r="W392" s="3" t="str" cm="1">
        <f t="array" ref="W3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92" s="2" t="str">
        <f>IF(Real_Sales[[#This Row],[Price_retail]]&gt;$AC$3,"Premium","Average")</f>
        <v>Average</v>
      </c>
      <c r="Y392" s="2" t="str">
        <f>IF(ISNUMBER(SEARCH("Basic",Real_Sales[[#This Row],[Product_name]])),"Yes","No")</f>
        <v>No</v>
      </c>
      <c r="Z392" s="2" cm="1">
        <f t="array" ref="Z392">_xlfn.IFS(Real_Sales[[#This Row],[Price_retail]]&lt;=15,1, Real_Sales[[#This Row],[Price_retail]]&lt;=30,2, Real_Sales[[#This Row],[Price_retail]]&lt;=50,3,Real_Sales[[#This Row],[Price_retail]]&gt;50,4)</f>
        <v>1</v>
      </c>
    </row>
    <row r="393" spans="1:26" x14ac:dyDescent="0.35">
      <c r="A393" s="2" t="s">
        <v>1563</v>
      </c>
      <c r="B393" s="2" t="s">
        <v>1564</v>
      </c>
      <c r="C393" s="2" t="s">
        <v>3394</v>
      </c>
      <c r="D393" s="2" t="s">
        <v>16</v>
      </c>
      <c r="E393" s="2" t="s">
        <v>4</v>
      </c>
      <c r="F393" s="2" t="s">
        <v>17</v>
      </c>
      <c r="G393" s="2" t="s">
        <v>67</v>
      </c>
      <c r="H393" s="2"/>
      <c r="I393" s="2" t="s">
        <v>3393</v>
      </c>
      <c r="J393" s="3">
        <v>13.54</v>
      </c>
      <c r="K393" s="3">
        <v>10.78</v>
      </c>
      <c r="L393" s="2" t="s">
        <v>8</v>
      </c>
      <c r="M393" s="2" t="s">
        <v>9</v>
      </c>
      <c r="N393" s="3">
        <v>372</v>
      </c>
      <c r="O393" s="2" t="s">
        <v>69</v>
      </c>
      <c r="P393" s="2" t="s">
        <v>76</v>
      </c>
      <c r="Q393" s="3"/>
      <c r="R393" s="3"/>
      <c r="S393" s="2" t="s">
        <v>21</v>
      </c>
      <c r="T393" s="4">
        <v>44955</v>
      </c>
      <c r="U393" s="2" t="s">
        <v>1565</v>
      </c>
      <c r="V393" s="6">
        <f>(Real_Sales[[#This Row],[Price_retail]]-Real_Sales[[#This Row],[Price_current]])/Real_Sales[[#This Row],[Price_retail]]</f>
        <v>0.20384047267355981</v>
      </c>
      <c r="W393" s="3" t="str" cm="1">
        <f t="array" ref="W39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93" s="2" t="str">
        <f>IF(Real_Sales[[#This Row],[Price_retail]]&gt;$AC$3,"Premium","Average")</f>
        <v>Average</v>
      </c>
      <c r="Y393" s="2" t="str">
        <f>IF(ISNUMBER(SEARCH("Basic",Real_Sales[[#This Row],[Product_name]])),"Yes","No")</f>
        <v>No</v>
      </c>
      <c r="Z393" s="2" cm="1">
        <f t="array" ref="Z393">_xlfn.IFS(Real_Sales[[#This Row],[Price_retail]]&lt;=15,1, Real_Sales[[#This Row],[Price_retail]]&lt;=30,2, Real_Sales[[#This Row],[Price_retail]]&lt;=50,3,Real_Sales[[#This Row],[Price_retail]]&gt;50,4)</f>
        <v>1</v>
      </c>
    </row>
    <row r="394" spans="1:26" x14ac:dyDescent="0.35">
      <c r="A394" s="2" t="s">
        <v>3026</v>
      </c>
      <c r="B394" s="2" t="s">
        <v>3027</v>
      </c>
      <c r="C394" s="2" t="s">
        <v>1180</v>
      </c>
      <c r="D394" s="2" t="s">
        <v>842</v>
      </c>
      <c r="E394" s="2" t="s">
        <v>4</v>
      </c>
      <c r="F394" s="2" t="s">
        <v>5</v>
      </c>
      <c r="G394" s="2" t="s">
        <v>121</v>
      </c>
      <c r="H394" s="2" t="s">
        <v>7</v>
      </c>
      <c r="I394" s="2" t="s">
        <v>3393</v>
      </c>
      <c r="J394" s="3">
        <v>13.55</v>
      </c>
      <c r="K394" s="3">
        <v>13.55</v>
      </c>
      <c r="L394" s="2" t="s">
        <v>3391</v>
      </c>
      <c r="M394" s="2" t="s">
        <v>9</v>
      </c>
      <c r="N394" s="3">
        <v>147</v>
      </c>
      <c r="O394" s="2" t="s">
        <v>69</v>
      </c>
      <c r="P394" s="2" t="s">
        <v>215</v>
      </c>
      <c r="Q394" s="3"/>
      <c r="R394" s="3"/>
      <c r="S394" s="2" t="s">
        <v>12</v>
      </c>
      <c r="T394" s="4">
        <v>44955</v>
      </c>
      <c r="U394" s="2" t="s">
        <v>3028</v>
      </c>
      <c r="V394" s="6">
        <f>(Real_Sales[[#This Row],[Price_retail]]-Real_Sales[[#This Row],[Price_current]])/Real_Sales[[#This Row],[Price_retail]]</f>
        <v>0</v>
      </c>
      <c r="W394" s="3" t="str" cm="1">
        <f t="array" ref="W3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94" s="2" t="str">
        <f>IF(Real_Sales[[#This Row],[Price_retail]]&gt;$AC$3,"Premium","Average")</f>
        <v>Average</v>
      </c>
      <c r="Y394" s="2" t="str">
        <f>IF(ISNUMBER(SEARCH("Basic",Real_Sales[[#This Row],[Product_name]])),"Yes","No")</f>
        <v>No</v>
      </c>
      <c r="Z394" s="2" cm="1">
        <f t="array" ref="Z394">_xlfn.IFS(Real_Sales[[#This Row],[Price_retail]]&lt;=15,1, Real_Sales[[#This Row],[Price_retail]]&lt;=30,2, Real_Sales[[#This Row],[Price_retail]]&lt;=50,3,Real_Sales[[#This Row],[Price_retail]]&gt;50,4)</f>
        <v>1</v>
      </c>
    </row>
    <row r="395" spans="1:26" x14ac:dyDescent="0.35">
      <c r="A395" s="2" t="s">
        <v>2938</v>
      </c>
      <c r="B395" s="2" t="s">
        <v>2939</v>
      </c>
      <c r="C395" s="2" t="s">
        <v>65</v>
      </c>
      <c r="D395" s="2" t="s">
        <v>144</v>
      </c>
      <c r="E395" s="2" t="s">
        <v>4</v>
      </c>
      <c r="F395" s="2" t="s">
        <v>17</v>
      </c>
      <c r="G395" s="2" t="s">
        <v>27</v>
      </c>
      <c r="H395" s="2" t="s">
        <v>145</v>
      </c>
      <c r="I395" s="2" t="s">
        <v>3393</v>
      </c>
      <c r="J395" s="3">
        <v>13.57</v>
      </c>
      <c r="K395" s="3">
        <v>7.07</v>
      </c>
      <c r="L395" s="2" t="s">
        <v>8</v>
      </c>
      <c r="M395" s="2" t="s">
        <v>9</v>
      </c>
      <c r="N395" s="3">
        <v>254</v>
      </c>
      <c r="O395" s="2" t="s">
        <v>267</v>
      </c>
      <c r="P395" s="2" t="s">
        <v>186</v>
      </c>
      <c r="Q395" s="3"/>
      <c r="R395" s="3"/>
      <c r="S395" s="2" t="s">
        <v>12</v>
      </c>
      <c r="T395" s="4">
        <v>44955</v>
      </c>
      <c r="U395" s="2" t="s">
        <v>2940</v>
      </c>
      <c r="V395" s="6">
        <f>(Real_Sales[[#This Row],[Price_retail]]-Real_Sales[[#This Row],[Price_current]])/Real_Sales[[#This Row],[Price_retail]]</f>
        <v>0.47899778924097275</v>
      </c>
      <c r="W395" s="3" t="str" cm="1">
        <f t="array" ref="W39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95" s="2" t="str">
        <f>IF(Real_Sales[[#This Row],[Price_retail]]&gt;$AC$3,"Premium","Average")</f>
        <v>Average</v>
      </c>
      <c r="Y395" s="2" t="str">
        <f>IF(ISNUMBER(SEARCH("Basic",Real_Sales[[#This Row],[Product_name]])),"Yes","No")</f>
        <v>No</v>
      </c>
      <c r="Z395" s="2" cm="1">
        <f t="array" ref="Z395">_xlfn.IFS(Real_Sales[[#This Row],[Price_retail]]&lt;=15,1, Real_Sales[[#This Row],[Price_retail]]&lt;=30,2, Real_Sales[[#This Row],[Price_retail]]&lt;=50,3,Real_Sales[[#This Row],[Price_retail]]&gt;50,4)</f>
        <v>1</v>
      </c>
    </row>
    <row r="396" spans="1:26" x14ac:dyDescent="0.35">
      <c r="A396" s="2" t="s">
        <v>3113</v>
      </c>
      <c r="B396" s="2" t="s">
        <v>3114</v>
      </c>
      <c r="C396" s="2" t="s">
        <v>3398</v>
      </c>
      <c r="D396" s="2" t="s">
        <v>694</v>
      </c>
      <c r="E396" s="2" t="s">
        <v>4</v>
      </c>
      <c r="F396" s="2" t="s">
        <v>5</v>
      </c>
      <c r="G396" s="2" t="s">
        <v>121</v>
      </c>
      <c r="H396" s="2" t="s">
        <v>139</v>
      </c>
      <c r="I396" s="2" t="s">
        <v>3393</v>
      </c>
      <c r="J396" s="3">
        <v>13.58</v>
      </c>
      <c r="K396" s="3">
        <v>6.21</v>
      </c>
      <c r="L396" s="2" t="s">
        <v>8</v>
      </c>
      <c r="M396" s="2" t="s">
        <v>9</v>
      </c>
      <c r="N396" s="3">
        <v>651</v>
      </c>
      <c r="O396" s="2" t="s">
        <v>36</v>
      </c>
      <c r="P396" s="2" t="s">
        <v>92</v>
      </c>
      <c r="Q396" s="3"/>
      <c r="R396" s="3"/>
      <c r="S396" s="2" t="s">
        <v>21</v>
      </c>
      <c r="T396" s="4">
        <v>44955</v>
      </c>
      <c r="U396" s="2" t="s">
        <v>3115</v>
      </c>
      <c r="V396" s="6">
        <f>(Real_Sales[[#This Row],[Price_retail]]-Real_Sales[[#This Row],[Price_current]])/Real_Sales[[#This Row],[Price_retail]]</f>
        <v>0.54270986745213545</v>
      </c>
      <c r="W396" s="3" t="str" cm="1">
        <f t="array" ref="W396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396" s="2" t="str">
        <f>IF(Real_Sales[[#This Row],[Price_retail]]&gt;$AC$3,"Premium","Average")</f>
        <v>Average</v>
      </c>
      <c r="Y396" s="2" t="str">
        <f>IF(ISNUMBER(SEARCH("Basic",Real_Sales[[#This Row],[Product_name]])),"Yes","No")</f>
        <v>No</v>
      </c>
      <c r="Z396" s="2" cm="1">
        <f t="array" ref="Z396">_xlfn.IFS(Real_Sales[[#This Row],[Price_retail]]&lt;=15,1, Real_Sales[[#This Row],[Price_retail]]&lt;=30,2, Real_Sales[[#This Row],[Price_retail]]&lt;=50,3,Real_Sales[[#This Row],[Price_retail]]&gt;50,4)</f>
        <v>1</v>
      </c>
    </row>
    <row r="397" spans="1:26" x14ac:dyDescent="0.35">
      <c r="A397" s="2" t="s">
        <v>2722</v>
      </c>
      <c r="B397" s="2" t="s">
        <v>2723</v>
      </c>
      <c r="C397" s="2" t="s">
        <v>1237</v>
      </c>
      <c r="D397" s="2" t="s">
        <v>424</v>
      </c>
      <c r="E397" s="2" t="s">
        <v>4</v>
      </c>
      <c r="F397" s="2" t="s">
        <v>5</v>
      </c>
      <c r="G397" s="2" t="s">
        <v>6</v>
      </c>
      <c r="H397" s="2" t="s">
        <v>59</v>
      </c>
      <c r="I397" s="2" t="s">
        <v>3395</v>
      </c>
      <c r="J397" s="3">
        <v>13.59</v>
      </c>
      <c r="K397" s="3">
        <v>9.67</v>
      </c>
      <c r="L397" s="2" t="s">
        <v>8</v>
      </c>
      <c r="M397" s="2" t="s">
        <v>9</v>
      </c>
      <c r="N397" s="3">
        <v>153</v>
      </c>
      <c r="O397" s="2" t="s">
        <v>98</v>
      </c>
      <c r="P397" s="2" t="s">
        <v>238</v>
      </c>
      <c r="Q397" s="3"/>
      <c r="R397" s="3"/>
      <c r="S397" s="2" t="s">
        <v>12</v>
      </c>
      <c r="T397" s="4">
        <v>44955</v>
      </c>
      <c r="U397" s="2" t="s">
        <v>2724</v>
      </c>
      <c r="V397" s="6">
        <f>(Real_Sales[[#This Row],[Price_retail]]-Real_Sales[[#This Row],[Price_current]])/Real_Sales[[#This Row],[Price_retail]]</f>
        <v>0.28844738778513612</v>
      </c>
      <c r="W397" s="3" t="str" cm="1">
        <f t="array" ref="W39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397" s="2" t="str">
        <f>IF(Real_Sales[[#This Row],[Price_retail]]&gt;$AC$3,"Premium","Average")</f>
        <v>Average</v>
      </c>
      <c r="Y397" s="2" t="str">
        <f>IF(ISNUMBER(SEARCH("Basic",Real_Sales[[#This Row],[Product_name]])),"Yes","No")</f>
        <v>No</v>
      </c>
      <c r="Z397" s="2" cm="1">
        <f t="array" ref="Z397">_xlfn.IFS(Real_Sales[[#This Row],[Price_retail]]&lt;=15,1, Real_Sales[[#This Row],[Price_retail]]&lt;=30,2, Real_Sales[[#This Row],[Price_retail]]&lt;=50,3,Real_Sales[[#This Row],[Price_retail]]&gt;50,4)</f>
        <v>1</v>
      </c>
    </row>
    <row r="398" spans="1:26" x14ac:dyDescent="0.35">
      <c r="A398" s="2" t="s">
        <v>1799</v>
      </c>
      <c r="B398" s="2" t="s">
        <v>1800</v>
      </c>
      <c r="C398" s="2" t="s">
        <v>65</v>
      </c>
      <c r="D398" s="2" t="s">
        <v>625</v>
      </c>
      <c r="E398" s="2" t="s">
        <v>4</v>
      </c>
      <c r="F398" s="2" t="s">
        <v>17</v>
      </c>
      <c r="G398" s="2" t="s">
        <v>50</v>
      </c>
      <c r="H398" s="2" t="s">
        <v>333</v>
      </c>
      <c r="I398" s="2" t="s">
        <v>3395</v>
      </c>
      <c r="J398" s="3">
        <v>13.61</v>
      </c>
      <c r="K398" s="3">
        <v>13.61</v>
      </c>
      <c r="L398" s="2" t="s">
        <v>3391</v>
      </c>
      <c r="M398" s="2" t="s">
        <v>9</v>
      </c>
      <c r="N398" s="3">
        <v>833</v>
      </c>
      <c r="O398" s="2" t="s">
        <v>69</v>
      </c>
      <c r="P398" s="2" t="s">
        <v>84</v>
      </c>
      <c r="Q398" s="3"/>
      <c r="R398" s="3"/>
      <c r="S398" s="2" t="s">
        <v>21</v>
      </c>
      <c r="T398" s="4">
        <v>44955</v>
      </c>
      <c r="U398" s="2" t="s">
        <v>1801</v>
      </c>
      <c r="V398" s="6">
        <f>(Real_Sales[[#This Row],[Price_retail]]-Real_Sales[[#This Row],[Price_current]])/Real_Sales[[#This Row],[Price_retail]]</f>
        <v>0</v>
      </c>
      <c r="W398" s="3" t="str" cm="1">
        <f t="array" ref="W39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98" s="2" t="str">
        <f>IF(Real_Sales[[#This Row],[Price_retail]]&gt;$AC$3,"Premium","Average")</f>
        <v>Average</v>
      </c>
      <c r="Y398" s="2" t="str">
        <f>IF(ISNUMBER(SEARCH("Basic",Real_Sales[[#This Row],[Product_name]])),"Yes","No")</f>
        <v>No</v>
      </c>
      <c r="Z398" s="2" cm="1">
        <f t="array" ref="Z398">_xlfn.IFS(Real_Sales[[#This Row],[Price_retail]]&lt;=15,1, Real_Sales[[#This Row],[Price_retail]]&lt;=30,2, Real_Sales[[#This Row],[Price_retail]]&lt;=50,3,Real_Sales[[#This Row],[Price_retail]]&gt;50,4)</f>
        <v>1</v>
      </c>
    </row>
    <row r="399" spans="1:26" x14ac:dyDescent="0.35">
      <c r="A399" s="2" t="s">
        <v>1837</v>
      </c>
      <c r="B399" s="2" t="s">
        <v>1838</v>
      </c>
      <c r="C399" s="2" t="s">
        <v>1839</v>
      </c>
      <c r="D399" s="2" t="s">
        <v>354</v>
      </c>
      <c r="E399" s="2" t="s">
        <v>4</v>
      </c>
      <c r="F399" s="2" t="s">
        <v>17</v>
      </c>
      <c r="G399" s="2" t="s">
        <v>50</v>
      </c>
      <c r="H399" s="2" t="s">
        <v>90</v>
      </c>
      <c r="I399" s="2" t="s">
        <v>3393</v>
      </c>
      <c r="J399" s="3">
        <v>13.63</v>
      </c>
      <c r="K399" s="3">
        <v>13.63</v>
      </c>
      <c r="L399" s="2" t="s">
        <v>3391</v>
      </c>
      <c r="M399" s="2" t="s">
        <v>9</v>
      </c>
      <c r="N399" s="3">
        <v>940</v>
      </c>
      <c r="O399" s="2" t="s">
        <v>163</v>
      </c>
      <c r="P399" s="2" t="s">
        <v>70</v>
      </c>
      <c r="Q399" s="3"/>
      <c r="R399" s="3"/>
      <c r="S399" s="2" t="s">
        <v>21</v>
      </c>
      <c r="T399" s="4">
        <v>44955</v>
      </c>
      <c r="U399" s="2" t="s">
        <v>1840</v>
      </c>
      <c r="V399" s="6">
        <f>(Real_Sales[[#This Row],[Price_retail]]-Real_Sales[[#This Row],[Price_current]])/Real_Sales[[#This Row],[Price_retail]]</f>
        <v>0</v>
      </c>
      <c r="W399" s="3" t="str" cm="1">
        <f t="array" ref="W3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399" s="2" t="str">
        <f>IF(Real_Sales[[#This Row],[Price_retail]]&gt;$AC$3,"Premium","Average")</f>
        <v>Average</v>
      </c>
      <c r="Y399" s="2" t="str">
        <f>IF(ISNUMBER(SEARCH("Basic",Real_Sales[[#This Row],[Product_name]])),"Yes","No")</f>
        <v>No</v>
      </c>
      <c r="Z399" s="2" cm="1">
        <f t="array" ref="Z399">_xlfn.IFS(Real_Sales[[#This Row],[Price_retail]]&lt;=15,1, Real_Sales[[#This Row],[Price_retail]]&lt;=30,2, Real_Sales[[#This Row],[Price_retail]]&lt;=50,3,Real_Sales[[#This Row],[Price_retail]]&gt;50,4)</f>
        <v>1</v>
      </c>
    </row>
    <row r="400" spans="1:26" x14ac:dyDescent="0.35">
      <c r="A400" s="2" t="s">
        <v>809</v>
      </c>
      <c r="B400" s="2" t="s">
        <v>810</v>
      </c>
      <c r="C400" s="2" t="s">
        <v>65</v>
      </c>
      <c r="D400" s="2" t="s">
        <v>332</v>
      </c>
      <c r="E400" s="2" t="s">
        <v>4</v>
      </c>
      <c r="F400" s="2" t="s">
        <v>5</v>
      </c>
      <c r="G400" s="2" t="s">
        <v>6</v>
      </c>
      <c r="H400" s="2" t="s">
        <v>333</v>
      </c>
      <c r="I400" s="2" t="s">
        <v>3393</v>
      </c>
      <c r="J400" s="3">
        <v>13.65</v>
      </c>
      <c r="K400" s="3">
        <v>13.65</v>
      </c>
      <c r="L400" s="2" t="s">
        <v>3391</v>
      </c>
      <c r="M400" s="2" t="s">
        <v>9</v>
      </c>
      <c r="N400" s="3">
        <v>472</v>
      </c>
      <c r="O400" s="2" t="s">
        <v>36</v>
      </c>
      <c r="P400" s="2" t="s">
        <v>37</v>
      </c>
      <c r="Q400" s="3"/>
      <c r="R400" s="3"/>
      <c r="S400" s="2" t="s">
        <v>21</v>
      </c>
      <c r="T400" s="4">
        <v>44955</v>
      </c>
      <c r="U400" s="2" t="s">
        <v>811</v>
      </c>
      <c r="V400" s="6">
        <f>(Real_Sales[[#This Row],[Price_retail]]-Real_Sales[[#This Row],[Price_current]])/Real_Sales[[#This Row],[Price_retail]]</f>
        <v>0</v>
      </c>
      <c r="W400" s="3" t="str" cm="1">
        <f t="array" ref="W4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0" s="2" t="str">
        <f>IF(Real_Sales[[#This Row],[Price_retail]]&gt;$AC$3,"Premium","Average")</f>
        <v>Average</v>
      </c>
      <c r="Y400" s="2" t="str">
        <f>IF(ISNUMBER(SEARCH("Basic",Real_Sales[[#This Row],[Product_name]])),"Yes","No")</f>
        <v>No</v>
      </c>
      <c r="Z400" s="2" cm="1">
        <f t="array" ref="Z400">_xlfn.IFS(Real_Sales[[#This Row],[Price_retail]]&lt;=15,1, Real_Sales[[#This Row],[Price_retail]]&lt;=30,2, Real_Sales[[#This Row],[Price_retail]]&lt;=50,3,Real_Sales[[#This Row],[Price_retail]]&gt;50,4)</f>
        <v>1</v>
      </c>
    </row>
    <row r="401" spans="1:26" x14ac:dyDescent="0.35">
      <c r="A401" s="2" t="s">
        <v>544</v>
      </c>
      <c r="B401" s="2" t="s">
        <v>545</v>
      </c>
      <c r="C401" s="2" t="s">
        <v>546</v>
      </c>
      <c r="D401" s="2" t="s">
        <v>485</v>
      </c>
      <c r="E401" s="2" t="s">
        <v>4</v>
      </c>
      <c r="F401" s="2" t="s">
        <v>17</v>
      </c>
      <c r="G401" s="2" t="s">
        <v>27</v>
      </c>
      <c r="H401" s="2"/>
      <c r="I401" s="2" t="s">
        <v>3390</v>
      </c>
      <c r="J401" s="3">
        <v>13.67</v>
      </c>
      <c r="K401" s="3">
        <v>13.67</v>
      </c>
      <c r="L401" s="2" t="s">
        <v>248</v>
      </c>
      <c r="M401" s="2" t="s">
        <v>9</v>
      </c>
      <c r="N401" s="3">
        <v>24</v>
      </c>
      <c r="O401" s="2" t="s">
        <v>91</v>
      </c>
      <c r="P401" s="2" t="s">
        <v>53</v>
      </c>
      <c r="Q401" s="3"/>
      <c r="R401" s="3"/>
      <c r="S401" s="2" t="s">
        <v>12</v>
      </c>
      <c r="T401" s="4">
        <v>44955</v>
      </c>
      <c r="U401" s="2" t="s">
        <v>547</v>
      </c>
      <c r="V401" s="6">
        <f>(Real_Sales[[#This Row],[Price_retail]]-Real_Sales[[#This Row],[Price_current]])/Real_Sales[[#This Row],[Price_retail]]</f>
        <v>0</v>
      </c>
      <c r="W401" s="3" t="str" cm="1">
        <f t="array" ref="W4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1" s="2" t="str">
        <f>IF(Real_Sales[[#This Row],[Price_retail]]&gt;$AC$3,"Premium","Average")</f>
        <v>Average</v>
      </c>
      <c r="Y401" s="2" t="str">
        <f>IF(ISNUMBER(SEARCH("Basic",Real_Sales[[#This Row],[Product_name]])),"Yes","No")</f>
        <v>Yes</v>
      </c>
      <c r="Z401" s="2" cm="1">
        <f t="array" ref="Z401">_xlfn.IFS(Real_Sales[[#This Row],[Price_retail]]&lt;=15,1, Real_Sales[[#This Row],[Price_retail]]&lt;=30,2, Real_Sales[[#This Row],[Price_retail]]&lt;=50,3,Real_Sales[[#This Row],[Price_retail]]&gt;50,4)</f>
        <v>1</v>
      </c>
    </row>
    <row r="402" spans="1:26" x14ac:dyDescent="0.35">
      <c r="A402" s="2" t="s">
        <v>2737</v>
      </c>
      <c r="B402" s="2" t="s">
        <v>2738</v>
      </c>
      <c r="C402" s="2" t="s">
        <v>1143</v>
      </c>
      <c r="D402" s="2" t="s">
        <v>3429</v>
      </c>
      <c r="E402" s="2" t="s">
        <v>4</v>
      </c>
      <c r="F402" s="2" t="s">
        <v>5</v>
      </c>
      <c r="G402" s="2" t="s">
        <v>82</v>
      </c>
      <c r="H402" s="2" t="s">
        <v>110</v>
      </c>
      <c r="I402" s="2" t="s">
        <v>3393</v>
      </c>
      <c r="J402" s="3">
        <v>13.68</v>
      </c>
      <c r="K402" s="3">
        <v>13.68</v>
      </c>
      <c r="L402" s="2" t="s">
        <v>3391</v>
      </c>
      <c r="M402" s="2" t="s">
        <v>9</v>
      </c>
      <c r="N402" s="3">
        <v>881</v>
      </c>
      <c r="O402" s="2" t="s">
        <v>347</v>
      </c>
      <c r="P402" s="2" t="s">
        <v>128</v>
      </c>
      <c r="Q402" s="3"/>
      <c r="R402" s="3"/>
      <c r="S402" s="2" t="s">
        <v>21</v>
      </c>
      <c r="T402" s="4">
        <v>44955</v>
      </c>
      <c r="U402" s="2" t="s">
        <v>2739</v>
      </c>
      <c r="V402" s="6">
        <f>(Real_Sales[[#This Row],[Price_retail]]-Real_Sales[[#This Row],[Price_current]])/Real_Sales[[#This Row],[Price_retail]]</f>
        <v>0</v>
      </c>
      <c r="W402" s="3" t="str" cm="1">
        <f t="array" ref="W4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2" s="2" t="str">
        <f>IF(Real_Sales[[#This Row],[Price_retail]]&gt;$AC$3,"Premium","Average")</f>
        <v>Average</v>
      </c>
      <c r="Y402" s="2" t="str">
        <f>IF(ISNUMBER(SEARCH("Basic",Real_Sales[[#This Row],[Product_name]])),"Yes","No")</f>
        <v>No</v>
      </c>
      <c r="Z402" s="2" cm="1">
        <f t="array" ref="Z402">_xlfn.IFS(Real_Sales[[#This Row],[Price_retail]]&lt;=15,1, Real_Sales[[#This Row],[Price_retail]]&lt;=30,2, Real_Sales[[#This Row],[Price_retail]]&lt;=50,3,Real_Sales[[#This Row],[Price_retail]]&gt;50,4)</f>
        <v>1</v>
      </c>
    </row>
    <row r="403" spans="1:26" x14ac:dyDescent="0.35">
      <c r="A403" s="2" t="s">
        <v>2898</v>
      </c>
      <c r="B403" s="2" t="s">
        <v>2899</v>
      </c>
      <c r="C403" s="2" t="s">
        <v>541</v>
      </c>
      <c r="D403" s="2" t="s">
        <v>376</v>
      </c>
      <c r="E403" s="2" t="s">
        <v>4</v>
      </c>
      <c r="F403" s="2" t="s">
        <v>17</v>
      </c>
      <c r="G403" s="2" t="s">
        <v>18</v>
      </c>
      <c r="H403" s="2" t="s">
        <v>168</v>
      </c>
      <c r="I403" s="2" t="s">
        <v>3390</v>
      </c>
      <c r="J403" s="3">
        <v>13.71</v>
      </c>
      <c r="K403" s="3">
        <v>9.5</v>
      </c>
      <c r="L403" s="2" t="s">
        <v>8</v>
      </c>
      <c r="M403" s="2" t="s">
        <v>9</v>
      </c>
      <c r="N403" s="3">
        <v>680</v>
      </c>
      <c r="O403" s="2" t="s">
        <v>20</v>
      </c>
      <c r="P403" s="2" t="s">
        <v>192</v>
      </c>
      <c r="Q403" s="3"/>
      <c r="R403" s="3"/>
      <c r="S403" s="2" t="s">
        <v>12</v>
      </c>
      <c r="T403" s="4">
        <v>44955</v>
      </c>
      <c r="U403" s="2" t="s">
        <v>2900</v>
      </c>
      <c r="V403" s="6">
        <f>(Real_Sales[[#This Row],[Price_retail]]-Real_Sales[[#This Row],[Price_current]])/Real_Sales[[#This Row],[Price_retail]]</f>
        <v>0.30707512764405548</v>
      </c>
      <c r="W403" s="3" t="str" cm="1">
        <f t="array" ref="W40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03" s="2" t="str">
        <f>IF(Real_Sales[[#This Row],[Price_retail]]&gt;$AC$3,"Premium","Average")</f>
        <v>Average</v>
      </c>
      <c r="Y403" s="2" t="str">
        <f>IF(ISNUMBER(SEARCH("Basic",Real_Sales[[#This Row],[Product_name]])),"Yes","No")</f>
        <v>Yes</v>
      </c>
      <c r="Z403" s="2" cm="1">
        <f t="array" ref="Z403">_xlfn.IFS(Real_Sales[[#This Row],[Price_retail]]&lt;=15,1, Real_Sales[[#This Row],[Price_retail]]&lt;=30,2, Real_Sales[[#This Row],[Price_retail]]&lt;=50,3,Real_Sales[[#This Row],[Price_retail]]&gt;50,4)</f>
        <v>1</v>
      </c>
    </row>
    <row r="404" spans="1:26" x14ac:dyDescent="0.35">
      <c r="A404" s="2" t="s">
        <v>696</v>
      </c>
      <c r="B404" s="2" t="s">
        <v>697</v>
      </c>
      <c r="C404" s="2" t="s">
        <v>698</v>
      </c>
      <c r="D404" s="2" t="s">
        <v>699</v>
      </c>
      <c r="E404" s="2" t="s">
        <v>4</v>
      </c>
      <c r="F404" s="2" t="s">
        <v>5</v>
      </c>
      <c r="G404" s="2" t="s">
        <v>6</v>
      </c>
      <c r="H404" s="2" t="s">
        <v>68</v>
      </c>
      <c r="I404" s="2" t="s">
        <v>3389</v>
      </c>
      <c r="J404" s="3">
        <v>13.74</v>
      </c>
      <c r="K404" s="3">
        <v>13.74</v>
      </c>
      <c r="L404" s="2" t="s">
        <v>3391</v>
      </c>
      <c r="M404" s="2" t="s">
        <v>9</v>
      </c>
      <c r="N404" s="3">
        <v>172</v>
      </c>
      <c r="O404" s="2" t="s">
        <v>36</v>
      </c>
      <c r="P404" s="2" t="s">
        <v>53</v>
      </c>
      <c r="Q404" s="3"/>
      <c r="R404" s="3"/>
      <c r="S404" s="2" t="s">
        <v>12</v>
      </c>
      <c r="T404" s="4">
        <v>44955</v>
      </c>
      <c r="U404" s="2" t="s">
        <v>700</v>
      </c>
      <c r="V404" s="6">
        <f>(Real_Sales[[#This Row],[Price_retail]]-Real_Sales[[#This Row],[Price_current]])/Real_Sales[[#This Row],[Price_retail]]</f>
        <v>0</v>
      </c>
      <c r="W404" s="3" t="str" cm="1">
        <f t="array" ref="W40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4" s="2" t="str">
        <f>IF(Real_Sales[[#This Row],[Price_retail]]&gt;$AC$3,"Premium","Average")</f>
        <v>Average</v>
      </c>
      <c r="Y404" s="2" t="str">
        <f>IF(ISNUMBER(SEARCH("Basic",Real_Sales[[#This Row],[Product_name]])),"Yes","No")</f>
        <v>No</v>
      </c>
      <c r="Z404" s="2" cm="1">
        <f t="array" ref="Z404">_xlfn.IFS(Real_Sales[[#This Row],[Price_retail]]&lt;=15,1, Real_Sales[[#This Row],[Price_retail]]&lt;=30,2, Real_Sales[[#This Row],[Price_retail]]&lt;=50,3,Real_Sales[[#This Row],[Price_retail]]&gt;50,4)</f>
        <v>1</v>
      </c>
    </row>
    <row r="405" spans="1:26" x14ac:dyDescent="0.35">
      <c r="A405" s="2" t="s">
        <v>831</v>
      </c>
      <c r="B405" s="2" t="s">
        <v>832</v>
      </c>
      <c r="C405" s="2" t="s">
        <v>412</v>
      </c>
      <c r="D405" s="2" t="s">
        <v>542</v>
      </c>
      <c r="E405" s="2" t="s">
        <v>4</v>
      </c>
      <c r="F405" s="2" t="s">
        <v>17</v>
      </c>
      <c r="G405" s="2" t="s">
        <v>50</v>
      </c>
      <c r="H405" s="2" t="s">
        <v>333</v>
      </c>
      <c r="I405" s="2" t="s">
        <v>3393</v>
      </c>
      <c r="J405" s="3">
        <v>13.74</v>
      </c>
      <c r="K405" s="3">
        <v>13.74</v>
      </c>
      <c r="L405" s="2" t="s">
        <v>3391</v>
      </c>
      <c r="M405" s="2" t="s">
        <v>9</v>
      </c>
      <c r="N405" s="3">
        <v>823</v>
      </c>
      <c r="O405" s="2" t="s">
        <v>3392</v>
      </c>
      <c r="P405" s="2" t="s">
        <v>3392</v>
      </c>
      <c r="Q405" s="3"/>
      <c r="R405" s="3"/>
      <c r="S405" s="2" t="s">
        <v>21</v>
      </c>
      <c r="T405" s="4">
        <v>44955</v>
      </c>
      <c r="U405" s="2" t="s">
        <v>833</v>
      </c>
      <c r="V405" s="6">
        <f>(Real_Sales[[#This Row],[Price_retail]]-Real_Sales[[#This Row],[Price_current]])/Real_Sales[[#This Row],[Price_retail]]</f>
        <v>0</v>
      </c>
      <c r="W405" s="3" t="str" cm="1">
        <f t="array" ref="W40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5" s="2" t="str">
        <f>IF(Real_Sales[[#This Row],[Price_retail]]&gt;$AC$3,"Premium","Average")</f>
        <v>Average</v>
      </c>
      <c r="Y405" s="2" t="str">
        <f>IF(ISNUMBER(SEARCH("Basic",Real_Sales[[#This Row],[Product_name]])),"Yes","No")</f>
        <v>No</v>
      </c>
      <c r="Z405" s="2" cm="1">
        <f t="array" ref="Z405">_xlfn.IFS(Real_Sales[[#This Row],[Price_retail]]&lt;=15,1, Real_Sales[[#This Row],[Price_retail]]&lt;=30,2, Real_Sales[[#This Row],[Price_retail]]&lt;=50,3,Real_Sales[[#This Row],[Price_retail]]&gt;50,4)</f>
        <v>1</v>
      </c>
    </row>
    <row r="406" spans="1:26" x14ac:dyDescent="0.35">
      <c r="A406" s="2" t="s">
        <v>3212</v>
      </c>
      <c r="B406" s="2" t="s">
        <v>3213</v>
      </c>
      <c r="C406" s="2" t="s">
        <v>1242</v>
      </c>
      <c r="D406" s="2" t="s">
        <v>1106</v>
      </c>
      <c r="E406" s="2" t="s">
        <v>4</v>
      </c>
      <c r="F406" s="2" t="s">
        <v>5</v>
      </c>
      <c r="G406" s="2" t="s">
        <v>121</v>
      </c>
      <c r="H406" s="2" t="s">
        <v>19</v>
      </c>
      <c r="I406" s="2" t="s">
        <v>3390</v>
      </c>
      <c r="J406" s="3">
        <v>13.74</v>
      </c>
      <c r="K406" s="3">
        <v>13.74</v>
      </c>
      <c r="L406" s="2" t="s">
        <v>3391</v>
      </c>
      <c r="M406" s="2" t="s">
        <v>9</v>
      </c>
      <c r="N406" s="3">
        <v>17</v>
      </c>
      <c r="O406" s="2" t="s">
        <v>75</v>
      </c>
      <c r="P406" s="2" t="s">
        <v>84</v>
      </c>
      <c r="Q406" s="3"/>
      <c r="R406" s="3"/>
      <c r="S406" s="2" t="s">
        <v>21</v>
      </c>
      <c r="T406" s="4">
        <v>44955</v>
      </c>
      <c r="U406" s="2" t="s">
        <v>3214</v>
      </c>
      <c r="V406" s="6">
        <f>(Real_Sales[[#This Row],[Price_retail]]-Real_Sales[[#This Row],[Price_current]])/Real_Sales[[#This Row],[Price_retail]]</f>
        <v>0</v>
      </c>
      <c r="W406" s="3" t="str" cm="1">
        <f t="array" ref="W40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6" s="2" t="str">
        <f>IF(Real_Sales[[#This Row],[Price_retail]]&gt;$AC$3,"Premium","Average")</f>
        <v>Average</v>
      </c>
      <c r="Y406" s="2" t="str">
        <f>IF(ISNUMBER(SEARCH("Basic",Real_Sales[[#This Row],[Product_name]])),"Yes","No")</f>
        <v>No</v>
      </c>
      <c r="Z406" s="2" cm="1">
        <f t="array" ref="Z406">_xlfn.IFS(Real_Sales[[#This Row],[Price_retail]]&lt;=15,1, Real_Sales[[#This Row],[Price_retail]]&lt;=30,2, Real_Sales[[#This Row],[Price_retail]]&lt;=50,3,Real_Sales[[#This Row],[Price_retail]]&gt;50,4)</f>
        <v>1</v>
      </c>
    </row>
    <row r="407" spans="1:26" x14ac:dyDescent="0.35">
      <c r="A407" s="2" t="s">
        <v>2614</v>
      </c>
      <c r="B407" s="2" t="s">
        <v>2615</v>
      </c>
      <c r="C407" s="2" t="s">
        <v>25</v>
      </c>
      <c r="D407" s="2" t="s">
        <v>621</v>
      </c>
      <c r="E407" s="2" t="s">
        <v>4</v>
      </c>
      <c r="F407" s="2" t="s">
        <v>17</v>
      </c>
      <c r="G407" s="2" t="s">
        <v>50</v>
      </c>
      <c r="H407" s="2" t="s">
        <v>68</v>
      </c>
      <c r="I407" s="2" t="s">
        <v>3393</v>
      </c>
      <c r="J407" s="3">
        <v>13.76</v>
      </c>
      <c r="K407" s="3">
        <v>13.76</v>
      </c>
      <c r="L407" s="2" t="s">
        <v>3391</v>
      </c>
      <c r="M407" s="2" t="s">
        <v>9</v>
      </c>
      <c r="N407" s="3">
        <v>561</v>
      </c>
      <c r="O407" s="2" t="s">
        <v>10</v>
      </c>
      <c r="P407" s="2" t="s">
        <v>30</v>
      </c>
      <c r="Q407" s="3"/>
      <c r="R407" s="3"/>
      <c r="S407" s="2" t="s">
        <v>12</v>
      </c>
      <c r="T407" s="4">
        <v>44955</v>
      </c>
      <c r="U407" s="2" t="s">
        <v>2616</v>
      </c>
      <c r="V407" s="6">
        <f>(Real_Sales[[#This Row],[Price_retail]]-Real_Sales[[#This Row],[Price_current]])/Real_Sales[[#This Row],[Price_retail]]</f>
        <v>0</v>
      </c>
      <c r="W407" s="3" t="str" cm="1">
        <f t="array" ref="W40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7" s="2" t="str">
        <f>IF(Real_Sales[[#This Row],[Price_retail]]&gt;$AC$3,"Premium","Average")</f>
        <v>Average</v>
      </c>
      <c r="Y407" s="2" t="str">
        <f>IF(ISNUMBER(SEARCH("Basic",Real_Sales[[#This Row],[Product_name]])),"Yes","No")</f>
        <v>No</v>
      </c>
      <c r="Z407" s="2" cm="1">
        <f t="array" ref="Z407">_xlfn.IFS(Real_Sales[[#This Row],[Price_retail]]&lt;=15,1, Real_Sales[[#This Row],[Price_retail]]&lt;=30,2, Real_Sales[[#This Row],[Price_retail]]&lt;=50,3,Real_Sales[[#This Row],[Price_retail]]&gt;50,4)</f>
        <v>1</v>
      </c>
    </row>
    <row r="408" spans="1:26" x14ac:dyDescent="0.35">
      <c r="A408" s="2" t="s">
        <v>2177</v>
      </c>
      <c r="B408" s="2" t="s">
        <v>2178</v>
      </c>
      <c r="C408" s="2" t="s">
        <v>2179</v>
      </c>
      <c r="D408" s="2" t="s">
        <v>81</v>
      </c>
      <c r="E408" s="2" t="s">
        <v>4</v>
      </c>
      <c r="F408" s="2" t="s">
        <v>5</v>
      </c>
      <c r="G408" s="2" t="s">
        <v>121</v>
      </c>
      <c r="H408" s="2" t="s">
        <v>83</v>
      </c>
      <c r="I408" s="2" t="s">
        <v>3395</v>
      </c>
      <c r="J408" s="3">
        <v>13.78</v>
      </c>
      <c r="K408" s="3">
        <v>13.78</v>
      </c>
      <c r="L408" s="2" t="s">
        <v>3391</v>
      </c>
      <c r="M408" s="2" t="s">
        <v>9</v>
      </c>
      <c r="N408" s="3">
        <v>352</v>
      </c>
      <c r="O408" s="2" t="s">
        <v>36</v>
      </c>
      <c r="P408" s="2" t="s">
        <v>177</v>
      </c>
      <c r="Q408" s="3"/>
      <c r="R408" s="3"/>
      <c r="S408" s="2" t="s">
        <v>21</v>
      </c>
      <c r="T408" s="4">
        <v>44955</v>
      </c>
      <c r="U408" s="2" t="s">
        <v>2180</v>
      </c>
      <c r="V408" s="6">
        <f>(Real_Sales[[#This Row],[Price_retail]]-Real_Sales[[#This Row],[Price_current]])/Real_Sales[[#This Row],[Price_retail]]</f>
        <v>0</v>
      </c>
      <c r="W408" s="3" t="str" cm="1">
        <f t="array" ref="W40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8" s="2" t="str">
        <f>IF(Real_Sales[[#This Row],[Price_retail]]&gt;$AC$3,"Premium","Average")</f>
        <v>Average</v>
      </c>
      <c r="Y408" s="2" t="str">
        <f>IF(ISNUMBER(SEARCH("Basic",Real_Sales[[#This Row],[Product_name]])),"Yes","No")</f>
        <v>No</v>
      </c>
      <c r="Z408" s="2" cm="1">
        <f t="array" ref="Z408">_xlfn.IFS(Real_Sales[[#This Row],[Price_retail]]&lt;=15,1, Real_Sales[[#This Row],[Price_retail]]&lt;=30,2, Real_Sales[[#This Row],[Price_retail]]&lt;=50,3,Real_Sales[[#This Row],[Price_retail]]&gt;50,4)</f>
        <v>1</v>
      </c>
    </row>
    <row r="409" spans="1:26" x14ac:dyDescent="0.35">
      <c r="A409" s="2" t="s">
        <v>175</v>
      </c>
      <c r="B409" s="2" t="s">
        <v>176</v>
      </c>
      <c r="C409" s="2" t="s">
        <v>3396</v>
      </c>
      <c r="D409" s="2" t="s">
        <v>66</v>
      </c>
      <c r="E409" s="2" t="s">
        <v>4</v>
      </c>
      <c r="F409" s="2" t="s">
        <v>17</v>
      </c>
      <c r="G409" s="2" t="s">
        <v>18</v>
      </c>
      <c r="H409" s="2" t="s">
        <v>68</v>
      </c>
      <c r="I409" s="2" t="s">
        <v>3389</v>
      </c>
      <c r="J409" s="3">
        <v>13.82</v>
      </c>
      <c r="K409" s="3">
        <v>13.82</v>
      </c>
      <c r="L409" s="2" t="s">
        <v>3391</v>
      </c>
      <c r="M409" s="2" t="s">
        <v>9</v>
      </c>
      <c r="N409" s="3">
        <v>273</v>
      </c>
      <c r="O409" s="2" t="s">
        <v>3392</v>
      </c>
      <c r="P409" s="2" t="s">
        <v>177</v>
      </c>
      <c r="Q409" s="3"/>
      <c r="R409" s="3"/>
      <c r="S409" s="2" t="s">
        <v>21</v>
      </c>
      <c r="T409" s="4">
        <v>44955</v>
      </c>
      <c r="U409" s="2" t="s">
        <v>178</v>
      </c>
      <c r="V409" s="6">
        <f>(Real_Sales[[#This Row],[Price_retail]]-Real_Sales[[#This Row],[Price_current]])/Real_Sales[[#This Row],[Price_retail]]</f>
        <v>0</v>
      </c>
      <c r="W409" s="3" t="str" cm="1">
        <f t="array" ref="W4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09" s="2" t="str">
        <f>IF(Real_Sales[[#This Row],[Price_retail]]&gt;$AC$3,"Premium","Average")</f>
        <v>Average</v>
      </c>
      <c r="Y409" s="2" t="str">
        <f>IF(ISNUMBER(SEARCH("Basic",Real_Sales[[#This Row],[Product_name]])),"Yes","No")</f>
        <v>Yes</v>
      </c>
      <c r="Z409" s="2" cm="1">
        <f t="array" ref="Z409">_xlfn.IFS(Real_Sales[[#This Row],[Price_retail]]&lt;=15,1, Real_Sales[[#This Row],[Price_retail]]&lt;=30,2, Real_Sales[[#This Row],[Price_retail]]&lt;=50,3,Real_Sales[[#This Row],[Price_retail]]&gt;50,4)</f>
        <v>1</v>
      </c>
    </row>
    <row r="410" spans="1:26" x14ac:dyDescent="0.35">
      <c r="A410" s="2" t="s">
        <v>822</v>
      </c>
      <c r="B410" s="2" t="s">
        <v>823</v>
      </c>
      <c r="C410" s="2" t="s">
        <v>367</v>
      </c>
      <c r="D410" s="2" t="s">
        <v>804</v>
      </c>
      <c r="E410" s="2" t="s">
        <v>4</v>
      </c>
      <c r="F410" s="2" t="s">
        <v>5</v>
      </c>
      <c r="G410" s="2" t="s">
        <v>82</v>
      </c>
      <c r="H410" s="2" t="s">
        <v>19</v>
      </c>
      <c r="I410" s="2" t="s">
        <v>3390</v>
      </c>
      <c r="J410" s="3">
        <v>13.85</v>
      </c>
      <c r="K410" s="3">
        <v>7.93</v>
      </c>
      <c r="L410" s="2" t="s">
        <v>8</v>
      </c>
      <c r="M410" s="2" t="s">
        <v>9</v>
      </c>
      <c r="N410" s="3">
        <v>281</v>
      </c>
      <c r="O410" s="2" t="s">
        <v>140</v>
      </c>
      <c r="P410" s="2" t="s">
        <v>53</v>
      </c>
      <c r="Q410" s="3"/>
      <c r="R410" s="3"/>
      <c r="S410" s="2" t="s">
        <v>12</v>
      </c>
      <c r="T410" s="4">
        <v>44955</v>
      </c>
      <c r="U410" s="2" t="s">
        <v>824</v>
      </c>
      <c r="V410" s="6">
        <f>(Real_Sales[[#This Row],[Price_retail]]-Real_Sales[[#This Row],[Price_current]])/Real_Sales[[#This Row],[Price_retail]]</f>
        <v>0.42743682310469316</v>
      </c>
      <c r="W410" s="3" t="str" cm="1">
        <f t="array" ref="W41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10" s="2" t="str">
        <f>IF(Real_Sales[[#This Row],[Price_retail]]&gt;$AC$3,"Premium","Average")</f>
        <v>Average</v>
      </c>
      <c r="Y410" s="2" t="str">
        <f>IF(ISNUMBER(SEARCH("Basic",Real_Sales[[#This Row],[Product_name]])),"Yes","No")</f>
        <v>No</v>
      </c>
      <c r="Z410" s="2" cm="1">
        <f t="array" ref="Z410">_xlfn.IFS(Real_Sales[[#This Row],[Price_retail]]&lt;=15,1, Real_Sales[[#This Row],[Price_retail]]&lt;=30,2, Real_Sales[[#This Row],[Price_retail]]&lt;=50,3,Real_Sales[[#This Row],[Price_retail]]&gt;50,4)</f>
        <v>1</v>
      </c>
    </row>
    <row r="411" spans="1:26" x14ac:dyDescent="0.35">
      <c r="A411" s="2" t="s">
        <v>2731</v>
      </c>
      <c r="B411" s="2" t="s">
        <v>2732</v>
      </c>
      <c r="C411" s="2" t="s">
        <v>383</v>
      </c>
      <c r="D411" s="2" t="s">
        <v>338</v>
      </c>
      <c r="E411" s="2" t="s">
        <v>4</v>
      </c>
      <c r="F411" s="2" t="s">
        <v>17</v>
      </c>
      <c r="G411" s="2" t="s">
        <v>18</v>
      </c>
      <c r="H411" s="2" t="s">
        <v>90</v>
      </c>
      <c r="I411" s="2" t="s">
        <v>3393</v>
      </c>
      <c r="J411" s="3">
        <v>13.86</v>
      </c>
      <c r="K411" s="3">
        <v>13.86</v>
      </c>
      <c r="L411" s="2" t="s">
        <v>3391</v>
      </c>
      <c r="M411" s="2" t="s">
        <v>9</v>
      </c>
      <c r="N411" s="3">
        <v>560</v>
      </c>
      <c r="O411" s="2" t="s">
        <v>3392</v>
      </c>
      <c r="P411" s="2" t="s">
        <v>44</v>
      </c>
      <c r="Q411" s="3"/>
      <c r="R411" s="3"/>
      <c r="S411" s="2" t="s">
        <v>21</v>
      </c>
      <c r="T411" s="4">
        <v>44955</v>
      </c>
      <c r="U411" s="2" t="s">
        <v>2733</v>
      </c>
      <c r="V411" s="6">
        <f>(Real_Sales[[#This Row],[Price_retail]]-Real_Sales[[#This Row],[Price_current]])/Real_Sales[[#This Row],[Price_retail]]</f>
        <v>0</v>
      </c>
      <c r="W411" s="3" t="str" cm="1">
        <f t="array" ref="W4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11" s="2" t="str">
        <f>IF(Real_Sales[[#This Row],[Price_retail]]&gt;$AC$3,"Premium","Average")</f>
        <v>Average</v>
      </c>
      <c r="Y411" s="2" t="str">
        <f>IF(ISNUMBER(SEARCH("Basic",Real_Sales[[#This Row],[Product_name]])),"Yes","No")</f>
        <v>No</v>
      </c>
      <c r="Z411" s="2" cm="1">
        <f t="array" ref="Z411">_xlfn.IFS(Real_Sales[[#This Row],[Price_retail]]&lt;=15,1, Real_Sales[[#This Row],[Price_retail]]&lt;=30,2, Real_Sales[[#This Row],[Price_retail]]&lt;=50,3,Real_Sales[[#This Row],[Price_retail]]&gt;50,4)</f>
        <v>1</v>
      </c>
    </row>
    <row r="412" spans="1:26" x14ac:dyDescent="0.35">
      <c r="A412" s="2" t="s">
        <v>463</v>
      </c>
      <c r="B412" s="2" t="s">
        <v>464</v>
      </c>
      <c r="C412" s="2" t="s">
        <v>242</v>
      </c>
      <c r="D412" s="2" t="s">
        <v>465</v>
      </c>
      <c r="E412" s="2" t="s">
        <v>4</v>
      </c>
      <c r="F412" s="2" t="s">
        <v>17</v>
      </c>
      <c r="G412" s="2" t="s">
        <v>18</v>
      </c>
      <c r="H412" s="2" t="s">
        <v>139</v>
      </c>
      <c r="I412" s="2" t="s">
        <v>3395</v>
      </c>
      <c r="J412" s="3">
        <v>13.87</v>
      </c>
      <c r="K412" s="3">
        <v>9.1199999999999992</v>
      </c>
      <c r="L412" s="2" t="s">
        <v>8</v>
      </c>
      <c r="M412" s="2" t="s">
        <v>9</v>
      </c>
      <c r="N412" s="3">
        <v>617</v>
      </c>
      <c r="O412" s="2" t="s">
        <v>104</v>
      </c>
      <c r="P412" s="2" t="s">
        <v>44</v>
      </c>
      <c r="Q412" s="3"/>
      <c r="R412" s="3"/>
      <c r="S412" s="2" t="s">
        <v>21</v>
      </c>
      <c r="T412" s="4">
        <v>44955</v>
      </c>
      <c r="U412" s="2" t="s">
        <v>466</v>
      </c>
      <c r="V412" s="6">
        <f>(Real_Sales[[#This Row],[Price_retail]]-Real_Sales[[#This Row],[Price_current]])/Real_Sales[[#This Row],[Price_retail]]</f>
        <v>0.34246575342465757</v>
      </c>
      <c r="W412" s="3" t="str" cm="1">
        <f t="array" ref="W41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12" s="2" t="str">
        <f>IF(Real_Sales[[#This Row],[Price_retail]]&gt;$AC$3,"Premium","Average")</f>
        <v>Average</v>
      </c>
      <c r="Y412" s="2" t="str">
        <f>IF(ISNUMBER(SEARCH("Basic",Real_Sales[[#This Row],[Product_name]])),"Yes","No")</f>
        <v>Yes</v>
      </c>
      <c r="Z412" s="2" cm="1">
        <f t="array" ref="Z412">_xlfn.IFS(Real_Sales[[#This Row],[Price_retail]]&lt;=15,1, Real_Sales[[#This Row],[Price_retail]]&lt;=30,2, Real_Sales[[#This Row],[Price_retail]]&lt;=50,3,Real_Sales[[#This Row],[Price_retail]]&gt;50,4)</f>
        <v>1</v>
      </c>
    </row>
    <row r="413" spans="1:26" x14ac:dyDescent="0.35">
      <c r="A413" s="2" t="s">
        <v>3014</v>
      </c>
      <c r="B413" s="2" t="s">
        <v>3015</v>
      </c>
      <c r="C413" s="2" t="s">
        <v>3400</v>
      </c>
      <c r="D413" s="2" t="s">
        <v>905</v>
      </c>
      <c r="E413" s="2" t="s">
        <v>4</v>
      </c>
      <c r="F413" s="2" t="s">
        <v>5</v>
      </c>
      <c r="G413" s="2" t="s">
        <v>6</v>
      </c>
      <c r="H413" s="2" t="s">
        <v>28</v>
      </c>
      <c r="I413" s="2" t="s">
        <v>3390</v>
      </c>
      <c r="J413" s="3">
        <v>13.88</v>
      </c>
      <c r="K413" s="3">
        <v>5.98</v>
      </c>
      <c r="L413" s="2" t="s">
        <v>8</v>
      </c>
      <c r="M413" s="2" t="s">
        <v>9</v>
      </c>
      <c r="N413" s="3">
        <v>494</v>
      </c>
      <c r="O413" s="2" t="s">
        <v>3392</v>
      </c>
      <c r="P413" s="2" t="s">
        <v>53</v>
      </c>
      <c r="Q413" s="3"/>
      <c r="R413" s="3"/>
      <c r="S413" s="2" t="s">
        <v>21</v>
      </c>
      <c r="T413" s="4">
        <v>44955</v>
      </c>
      <c r="U413" s="2" t="s">
        <v>3016</v>
      </c>
      <c r="V413" s="6">
        <f>(Real_Sales[[#This Row],[Price_retail]]-Real_Sales[[#This Row],[Price_current]])/Real_Sales[[#This Row],[Price_retail]]</f>
        <v>0.56916426512968299</v>
      </c>
      <c r="W413" s="3" t="str" cm="1">
        <f t="array" ref="W41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13" s="2" t="str">
        <f>IF(Real_Sales[[#This Row],[Price_retail]]&gt;$AC$3,"Premium","Average")</f>
        <v>Average</v>
      </c>
      <c r="Y413" s="2" t="str">
        <f>IF(ISNUMBER(SEARCH("Basic",Real_Sales[[#This Row],[Product_name]])),"Yes","No")</f>
        <v>No</v>
      </c>
      <c r="Z413" s="2" cm="1">
        <f t="array" ref="Z413">_xlfn.IFS(Real_Sales[[#This Row],[Price_retail]]&lt;=15,1, Real_Sales[[#This Row],[Price_retail]]&lt;=30,2, Real_Sales[[#This Row],[Price_retail]]&lt;=50,3,Real_Sales[[#This Row],[Price_retail]]&gt;50,4)</f>
        <v>1</v>
      </c>
    </row>
    <row r="414" spans="1:26" x14ac:dyDescent="0.35">
      <c r="A414" s="2" t="s">
        <v>142</v>
      </c>
      <c r="B414" s="2" t="s">
        <v>143</v>
      </c>
      <c r="C414" s="2" t="s">
        <v>3394</v>
      </c>
      <c r="D414" s="2" t="s">
        <v>144</v>
      </c>
      <c r="E414" s="2" t="s">
        <v>4</v>
      </c>
      <c r="F414" s="2" t="s">
        <v>17</v>
      </c>
      <c r="G414" s="2" t="s">
        <v>50</v>
      </c>
      <c r="H414" s="2" t="s">
        <v>145</v>
      </c>
      <c r="I414" s="2" t="s">
        <v>3393</v>
      </c>
      <c r="J414" s="3">
        <v>13.89</v>
      </c>
      <c r="K414" s="3">
        <v>7.92</v>
      </c>
      <c r="L414" s="2" t="s">
        <v>8</v>
      </c>
      <c r="M414" s="2" t="s">
        <v>9</v>
      </c>
      <c r="N414" s="3">
        <v>293</v>
      </c>
      <c r="O414" s="2" t="s">
        <v>3392</v>
      </c>
      <c r="P414" s="2" t="s">
        <v>3392</v>
      </c>
      <c r="Q414" s="3"/>
      <c r="R414" s="3"/>
      <c r="S414" s="2" t="s">
        <v>21</v>
      </c>
      <c r="T414" s="4">
        <v>44955</v>
      </c>
      <c r="U414" s="2" t="s">
        <v>146</v>
      </c>
      <c r="V414" s="6">
        <f>(Real_Sales[[#This Row],[Price_retail]]-Real_Sales[[#This Row],[Price_current]])/Real_Sales[[#This Row],[Price_retail]]</f>
        <v>0.42980561555075597</v>
      </c>
      <c r="W414" s="3" t="str" cm="1">
        <f t="array" ref="W41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14" s="2" t="str">
        <f>IF(Real_Sales[[#This Row],[Price_retail]]&gt;$AC$3,"Premium","Average")</f>
        <v>Average</v>
      </c>
      <c r="Y414" s="2" t="str">
        <f>IF(ISNUMBER(SEARCH("Basic",Real_Sales[[#This Row],[Product_name]])),"Yes","No")</f>
        <v>No</v>
      </c>
      <c r="Z414" s="2" cm="1">
        <f t="array" ref="Z414">_xlfn.IFS(Real_Sales[[#This Row],[Price_retail]]&lt;=15,1, Real_Sales[[#This Row],[Price_retail]]&lt;=30,2, Real_Sales[[#This Row],[Price_retail]]&lt;=50,3,Real_Sales[[#This Row],[Price_retail]]&gt;50,4)</f>
        <v>1</v>
      </c>
    </row>
    <row r="415" spans="1:26" x14ac:dyDescent="0.35">
      <c r="A415" s="2" t="s">
        <v>1137</v>
      </c>
      <c r="B415" s="2" t="s">
        <v>1138</v>
      </c>
      <c r="C415" s="2" t="s">
        <v>616</v>
      </c>
      <c r="D415" s="2" t="s">
        <v>1139</v>
      </c>
      <c r="E415" s="2" t="s">
        <v>4</v>
      </c>
      <c r="F415" s="2" t="s">
        <v>17</v>
      </c>
      <c r="G415" s="2" t="s">
        <v>18</v>
      </c>
      <c r="H415" s="2" t="s">
        <v>418</v>
      </c>
      <c r="I415" s="2" t="s">
        <v>3395</v>
      </c>
      <c r="J415" s="3">
        <v>13.97</v>
      </c>
      <c r="K415" s="3">
        <v>13.97</v>
      </c>
      <c r="L415" s="2" t="s">
        <v>3391</v>
      </c>
      <c r="M415" s="2" t="s">
        <v>9</v>
      </c>
      <c r="N415" s="3">
        <v>60</v>
      </c>
      <c r="O415" s="2" t="s">
        <v>91</v>
      </c>
      <c r="P415" s="2" t="s">
        <v>44</v>
      </c>
      <c r="Q415" s="3"/>
      <c r="R415" s="3"/>
      <c r="S415" s="2" t="s">
        <v>21</v>
      </c>
      <c r="T415" s="4">
        <v>44955</v>
      </c>
      <c r="U415" s="2" t="s">
        <v>1140</v>
      </c>
      <c r="V415" s="6">
        <f>(Real_Sales[[#This Row],[Price_retail]]-Real_Sales[[#This Row],[Price_current]])/Real_Sales[[#This Row],[Price_retail]]</f>
        <v>0</v>
      </c>
      <c r="W415" s="3" t="str" cm="1">
        <f t="array" ref="W41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15" s="2" t="str">
        <f>IF(Real_Sales[[#This Row],[Price_retail]]&gt;$AC$3,"Premium","Average")</f>
        <v>Average</v>
      </c>
      <c r="Y415" s="2" t="str">
        <f>IF(ISNUMBER(SEARCH("Basic",Real_Sales[[#This Row],[Product_name]])),"Yes","No")</f>
        <v>No</v>
      </c>
      <c r="Z415" s="2" cm="1">
        <f t="array" ref="Z415">_xlfn.IFS(Real_Sales[[#This Row],[Price_retail]]&lt;=15,1, Real_Sales[[#This Row],[Price_retail]]&lt;=30,2, Real_Sales[[#This Row],[Price_retail]]&lt;=50,3,Real_Sales[[#This Row],[Price_retail]]&gt;50,4)</f>
        <v>1</v>
      </c>
    </row>
    <row r="416" spans="1:26" x14ac:dyDescent="0.35">
      <c r="A416" s="2" t="s">
        <v>508</v>
      </c>
      <c r="B416" s="2" t="s">
        <v>509</v>
      </c>
      <c r="C416" s="2" t="s">
        <v>510</v>
      </c>
      <c r="D416" s="2" t="s">
        <v>511</v>
      </c>
      <c r="E416" s="2" t="s">
        <v>4</v>
      </c>
      <c r="F416" s="2" t="s">
        <v>5</v>
      </c>
      <c r="G416" s="2" t="s">
        <v>82</v>
      </c>
      <c r="H416" s="2" t="s">
        <v>7</v>
      </c>
      <c r="I416" s="2" t="s">
        <v>3389</v>
      </c>
      <c r="J416" s="3">
        <v>14.01</v>
      </c>
      <c r="K416" s="3">
        <v>14.01</v>
      </c>
      <c r="L416" s="2" t="s">
        <v>3391</v>
      </c>
      <c r="M416" s="2" t="s">
        <v>9</v>
      </c>
      <c r="N416" s="3">
        <v>837</v>
      </c>
      <c r="O416" s="2" t="s">
        <v>91</v>
      </c>
      <c r="P416" s="2" t="s">
        <v>44</v>
      </c>
      <c r="Q416" s="3"/>
      <c r="R416" s="3"/>
      <c r="S416" s="2" t="s">
        <v>21</v>
      </c>
      <c r="T416" s="4">
        <v>44955</v>
      </c>
      <c r="U416" s="2" t="s">
        <v>512</v>
      </c>
      <c r="V416" s="6">
        <f>(Real_Sales[[#This Row],[Price_retail]]-Real_Sales[[#This Row],[Price_current]])/Real_Sales[[#This Row],[Price_retail]]</f>
        <v>0</v>
      </c>
      <c r="W416" s="3" t="str" cm="1">
        <f t="array" ref="W41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16" s="2" t="str">
        <f>IF(Real_Sales[[#This Row],[Price_retail]]&gt;$AC$3,"Premium","Average")</f>
        <v>Average</v>
      </c>
      <c r="Y416" s="2" t="str">
        <f>IF(ISNUMBER(SEARCH("Basic",Real_Sales[[#This Row],[Product_name]])),"Yes","No")</f>
        <v>No</v>
      </c>
      <c r="Z416" s="2" cm="1">
        <f t="array" ref="Z416">_xlfn.IFS(Real_Sales[[#This Row],[Price_retail]]&lt;=15,1, Real_Sales[[#This Row],[Price_retail]]&lt;=30,2, Real_Sales[[#This Row],[Price_retail]]&lt;=50,3,Real_Sales[[#This Row],[Price_retail]]&gt;50,4)</f>
        <v>1</v>
      </c>
    </row>
    <row r="417" spans="1:26" x14ac:dyDescent="0.35">
      <c r="A417" s="2" t="s">
        <v>684</v>
      </c>
      <c r="B417" s="2" t="s">
        <v>685</v>
      </c>
      <c r="C417" s="2" t="s">
        <v>65</v>
      </c>
      <c r="D417" s="2" t="s">
        <v>686</v>
      </c>
      <c r="E417" s="2" t="s">
        <v>4</v>
      </c>
      <c r="F417" s="2" t="s">
        <v>5</v>
      </c>
      <c r="G417" s="2" t="s">
        <v>121</v>
      </c>
      <c r="H417" s="2" t="s">
        <v>7</v>
      </c>
      <c r="I417" s="2" t="s">
        <v>3390</v>
      </c>
      <c r="J417" s="3">
        <v>14.01</v>
      </c>
      <c r="K417" s="3">
        <v>14.01</v>
      </c>
      <c r="L417" s="2" t="s">
        <v>3391</v>
      </c>
      <c r="M417" s="2" t="s">
        <v>9</v>
      </c>
      <c r="N417" s="3">
        <v>967</v>
      </c>
      <c r="O417" s="2" t="s">
        <v>69</v>
      </c>
      <c r="P417" s="2" t="s">
        <v>186</v>
      </c>
      <c r="Q417" s="3"/>
      <c r="R417" s="3"/>
      <c r="S417" s="2" t="s">
        <v>21</v>
      </c>
      <c r="T417" s="4">
        <v>44955</v>
      </c>
      <c r="U417" s="2" t="s">
        <v>687</v>
      </c>
      <c r="V417" s="6">
        <f>(Real_Sales[[#This Row],[Price_retail]]-Real_Sales[[#This Row],[Price_current]])/Real_Sales[[#This Row],[Price_retail]]</f>
        <v>0</v>
      </c>
      <c r="W417" s="3" t="str" cm="1">
        <f t="array" ref="W4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17" s="2" t="str">
        <f>IF(Real_Sales[[#This Row],[Price_retail]]&gt;$AC$3,"Premium","Average")</f>
        <v>Average</v>
      </c>
      <c r="Y417" s="2" t="str">
        <f>IF(ISNUMBER(SEARCH("Basic",Real_Sales[[#This Row],[Product_name]])),"Yes","No")</f>
        <v>No</v>
      </c>
      <c r="Z417" s="2" cm="1">
        <f t="array" ref="Z417">_xlfn.IFS(Real_Sales[[#This Row],[Price_retail]]&lt;=15,1, Real_Sales[[#This Row],[Price_retail]]&lt;=30,2, Real_Sales[[#This Row],[Price_retail]]&lt;=50,3,Real_Sales[[#This Row],[Price_retail]]&gt;50,4)</f>
        <v>1</v>
      </c>
    </row>
    <row r="418" spans="1:26" x14ac:dyDescent="0.35">
      <c r="A418" s="2" t="s">
        <v>3311</v>
      </c>
      <c r="B418" s="2" t="s">
        <v>3312</v>
      </c>
      <c r="C418" s="2" t="s">
        <v>88</v>
      </c>
      <c r="D418" s="2" t="s">
        <v>1727</v>
      </c>
      <c r="E418" s="2" t="s">
        <v>4</v>
      </c>
      <c r="F418" s="2" t="s">
        <v>5</v>
      </c>
      <c r="G418" s="2" t="s">
        <v>121</v>
      </c>
      <c r="H418" s="2" t="s">
        <v>418</v>
      </c>
      <c r="I418" s="2" t="s">
        <v>3393</v>
      </c>
      <c r="J418" s="3">
        <v>14.02</v>
      </c>
      <c r="K418" s="3">
        <v>14.02</v>
      </c>
      <c r="L418" s="2" t="s">
        <v>3391</v>
      </c>
      <c r="M418" s="2" t="s">
        <v>9</v>
      </c>
      <c r="N418" s="3">
        <v>155</v>
      </c>
      <c r="O418" s="2" t="s">
        <v>140</v>
      </c>
      <c r="P418" s="2" t="s">
        <v>215</v>
      </c>
      <c r="Q418" s="3"/>
      <c r="R418" s="3"/>
      <c r="S418" s="2" t="s">
        <v>21</v>
      </c>
      <c r="T418" s="4">
        <v>44955</v>
      </c>
      <c r="U418" s="2" t="s">
        <v>3313</v>
      </c>
      <c r="V418" s="6">
        <f>(Real_Sales[[#This Row],[Price_retail]]-Real_Sales[[#This Row],[Price_current]])/Real_Sales[[#This Row],[Price_retail]]</f>
        <v>0</v>
      </c>
      <c r="W418" s="3" t="str" cm="1">
        <f t="array" ref="W4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18" s="2" t="str">
        <f>IF(Real_Sales[[#This Row],[Price_retail]]&gt;$AC$3,"Premium","Average")</f>
        <v>Average</v>
      </c>
      <c r="Y418" s="2" t="str">
        <f>IF(ISNUMBER(SEARCH("Basic",Real_Sales[[#This Row],[Product_name]])),"Yes","No")</f>
        <v>Yes</v>
      </c>
      <c r="Z418" s="2" cm="1">
        <f t="array" ref="Z418">_xlfn.IFS(Real_Sales[[#This Row],[Price_retail]]&lt;=15,1, Real_Sales[[#This Row],[Price_retail]]&lt;=30,2, Real_Sales[[#This Row],[Price_retail]]&lt;=50,3,Real_Sales[[#This Row],[Price_retail]]&gt;50,4)</f>
        <v>1</v>
      </c>
    </row>
    <row r="419" spans="1:26" x14ac:dyDescent="0.35">
      <c r="A419" s="2" t="s">
        <v>2359</v>
      </c>
      <c r="B419" s="2" t="s">
        <v>2360</v>
      </c>
      <c r="C419" s="2" t="s">
        <v>65</v>
      </c>
      <c r="D419" s="2" t="s">
        <v>699</v>
      </c>
      <c r="E419" s="2" t="s">
        <v>4</v>
      </c>
      <c r="F419" s="2" t="s">
        <v>5</v>
      </c>
      <c r="G419" s="2" t="s">
        <v>6</v>
      </c>
      <c r="H419" s="2" t="s">
        <v>68</v>
      </c>
      <c r="I419" s="2" t="s">
        <v>3395</v>
      </c>
      <c r="J419" s="3">
        <v>14.03</v>
      </c>
      <c r="K419" s="3">
        <v>14.03</v>
      </c>
      <c r="L419" s="2" t="s">
        <v>3391</v>
      </c>
      <c r="M419" s="2" t="s">
        <v>9</v>
      </c>
      <c r="N419" s="3">
        <v>894</v>
      </c>
      <c r="O419" s="2" t="s">
        <v>36</v>
      </c>
      <c r="P419" s="2" t="s">
        <v>553</v>
      </c>
      <c r="Q419" s="3"/>
      <c r="R419" s="3"/>
      <c r="S419" s="2" t="s">
        <v>21</v>
      </c>
      <c r="T419" s="4">
        <v>44955</v>
      </c>
      <c r="U419" s="2" t="s">
        <v>2361</v>
      </c>
      <c r="V419" s="6">
        <f>(Real_Sales[[#This Row],[Price_retail]]-Real_Sales[[#This Row],[Price_current]])/Real_Sales[[#This Row],[Price_retail]]</f>
        <v>0</v>
      </c>
      <c r="W419" s="3" t="str" cm="1">
        <f t="array" ref="W41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19" s="2" t="str">
        <f>IF(Real_Sales[[#This Row],[Price_retail]]&gt;$AC$3,"Premium","Average")</f>
        <v>Average</v>
      </c>
      <c r="Y419" s="2" t="str">
        <f>IF(ISNUMBER(SEARCH("Basic",Real_Sales[[#This Row],[Product_name]])),"Yes","No")</f>
        <v>No</v>
      </c>
      <c r="Z419" s="2" cm="1">
        <f t="array" ref="Z419">_xlfn.IFS(Real_Sales[[#This Row],[Price_retail]]&lt;=15,1, Real_Sales[[#This Row],[Price_retail]]&lt;=30,2, Real_Sales[[#This Row],[Price_retail]]&lt;=50,3,Real_Sales[[#This Row],[Price_retail]]&gt;50,4)</f>
        <v>1</v>
      </c>
    </row>
    <row r="420" spans="1:26" x14ac:dyDescent="0.35">
      <c r="A420" s="2" t="s">
        <v>374</v>
      </c>
      <c r="B420" s="2" t="s">
        <v>375</v>
      </c>
      <c r="C420" s="2" t="s">
        <v>65</v>
      </c>
      <c r="D420" s="2" t="s">
        <v>376</v>
      </c>
      <c r="E420" s="2" t="s">
        <v>4</v>
      </c>
      <c r="F420" s="2" t="s">
        <v>17</v>
      </c>
      <c r="G420" s="2" t="s">
        <v>18</v>
      </c>
      <c r="H420" s="2" t="s">
        <v>168</v>
      </c>
      <c r="I420" s="2" t="s">
        <v>3393</v>
      </c>
      <c r="J420" s="3">
        <v>14.07</v>
      </c>
      <c r="K420" s="3">
        <v>14.07</v>
      </c>
      <c r="L420" s="2" t="s">
        <v>3391</v>
      </c>
      <c r="M420" s="2" t="s">
        <v>9</v>
      </c>
      <c r="N420" s="3">
        <v>437</v>
      </c>
      <c r="O420" s="2" t="s">
        <v>347</v>
      </c>
      <c r="P420" s="2" t="s">
        <v>30</v>
      </c>
      <c r="Q420" s="3"/>
      <c r="R420" s="3"/>
      <c r="S420" s="2" t="s">
        <v>21</v>
      </c>
      <c r="T420" s="4">
        <v>44955</v>
      </c>
      <c r="U420" s="2" t="s">
        <v>377</v>
      </c>
      <c r="V420" s="6">
        <f>(Real_Sales[[#This Row],[Price_retail]]-Real_Sales[[#This Row],[Price_current]])/Real_Sales[[#This Row],[Price_retail]]</f>
        <v>0</v>
      </c>
      <c r="W420" s="3" t="str" cm="1">
        <f t="array" ref="W42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20" s="2" t="str">
        <f>IF(Real_Sales[[#This Row],[Price_retail]]&gt;$AC$3,"Premium","Average")</f>
        <v>Average</v>
      </c>
      <c r="Y420" s="2" t="str">
        <f>IF(ISNUMBER(SEARCH("Basic",Real_Sales[[#This Row],[Product_name]])),"Yes","No")</f>
        <v>Yes</v>
      </c>
      <c r="Z420" s="2" cm="1">
        <f t="array" ref="Z420">_xlfn.IFS(Real_Sales[[#This Row],[Price_retail]]&lt;=15,1, Real_Sales[[#This Row],[Price_retail]]&lt;=30,2, Real_Sales[[#This Row],[Price_retail]]&lt;=50,3,Real_Sales[[#This Row],[Price_retail]]&gt;50,4)</f>
        <v>1</v>
      </c>
    </row>
    <row r="421" spans="1:26" x14ac:dyDescent="0.35">
      <c r="A421" s="2" t="s">
        <v>1965</v>
      </c>
      <c r="B421" s="2" t="s">
        <v>1966</v>
      </c>
      <c r="C421" s="2" t="s">
        <v>399</v>
      </c>
      <c r="D421" s="2" t="s">
        <v>89</v>
      </c>
      <c r="E421" s="2" t="s">
        <v>4</v>
      </c>
      <c r="F421" s="2" t="s">
        <v>5</v>
      </c>
      <c r="G421" s="2" t="s">
        <v>6</v>
      </c>
      <c r="H421" s="2" t="s">
        <v>90</v>
      </c>
      <c r="I421" s="2" t="s">
        <v>3395</v>
      </c>
      <c r="J421" s="3">
        <v>14.1</v>
      </c>
      <c r="K421" s="3">
        <v>6.53</v>
      </c>
      <c r="L421" s="2" t="s">
        <v>8</v>
      </c>
      <c r="M421" s="2" t="s">
        <v>9</v>
      </c>
      <c r="N421" s="3">
        <v>656</v>
      </c>
      <c r="O421" s="2" t="s">
        <v>98</v>
      </c>
      <c r="P421" s="2" t="s">
        <v>44</v>
      </c>
      <c r="Q421" s="3"/>
      <c r="R421" s="3"/>
      <c r="S421" s="2" t="s">
        <v>21</v>
      </c>
      <c r="T421" s="4">
        <v>44955</v>
      </c>
      <c r="U421" s="2" t="s">
        <v>1967</v>
      </c>
      <c r="V421" s="6">
        <f>(Real_Sales[[#This Row],[Price_retail]]-Real_Sales[[#This Row],[Price_current]])/Real_Sales[[#This Row],[Price_retail]]</f>
        <v>0.53687943262411342</v>
      </c>
      <c r="W421" s="3" t="str" cm="1">
        <f t="array" ref="W421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21" s="2" t="str">
        <f>IF(Real_Sales[[#This Row],[Price_retail]]&gt;$AC$3,"Premium","Average")</f>
        <v>Average</v>
      </c>
      <c r="Y421" s="2" t="str">
        <f>IF(ISNUMBER(SEARCH("Basic",Real_Sales[[#This Row],[Product_name]])),"Yes","No")</f>
        <v>No</v>
      </c>
      <c r="Z421" s="2" cm="1">
        <f t="array" ref="Z421">_xlfn.IFS(Real_Sales[[#This Row],[Price_retail]]&lt;=15,1, Real_Sales[[#This Row],[Price_retail]]&lt;=30,2, Real_Sales[[#This Row],[Price_retail]]&lt;=50,3,Real_Sales[[#This Row],[Price_retail]]&gt;50,4)</f>
        <v>1</v>
      </c>
    </row>
    <row r="422" spans="1:26" x14ac:dyDescent="0.35">
      <c r="A422" s="2" t="s">
        <v>1117</v>
      </c>
      <c r="B422" s="2" t="s">
        <v>1118</v>
      </c>
      <c r="C422" s="2" t="s">
        <v>412</v>
      </c>
      <c r="D422" s="2" t="s">
        <v>253</v>
      </c>
      <c r="E422" s="2" t="s">
        <v>4</v>
      </c>
      <c r="F422" s="2" t="s">
        <v>5</v>
      </c>
      <c r="G422" s="2" t="s">
        <v>121</v>
      </c>
      <c r="H422" s="2" t="s">
        <v>35</v>
      </c>
      <c r="I422" s="2" t="s">
        <v>3390</v>
      </c>
      <c r="J422" s="3">
        <v>14.23</v>
      </c>
      <c r="K422" s="3">
        <v>10.119999999999999</v>
      </c>
      <c r="L422" s="2" t="s">
        <v>8</v>
      </c>
      <c r="M422" s="2" t="s">
        <v>9</v>
      </c>
      <c r="N422" s="3">
        <v>502</v>
      </c>
      <c r="O422" s="2" t="s">
        <v>140</v>
      </c>
      <c r="P422" s="2" t="s">
        <v>238</v>
      </c>
      <c r="Q422" s="3"/>
      <c r="R422" s="3"/>
      <c r="S422" s="2" t="s">
        <v>21</v>
      </c>
      <c r="T422" s="4">
        <v>44955</v>
      </c>
      <c r="U422" s="2" t="s">
        <v>1119</v>
      </c>
      <c r="V422" s="6">
        <f>(Real_Sales[[#This Row],[Price_retail]]-Real_Sales[[#This Row],[Price_current]])/Real_Sales[[#This Row],[Price_retail]]</f>
        <v>0.28882642304989464</v>
      </c>
      <c r="W422" s="3" t="str" cm="1">
        <f t="array" ref="W42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2" s="2" t="str">
        <f>IF(Real_Sales[[#This Row],[Price_retail]]&gt;$AC$3,"Premium","Average")</f>
        <v>Average</v>
      </c>
      <c r="Y422" s="2" t="str">
        <f>IF(ISNUMBER(SEARCH("Basic",Real_Sales[[#This Row],[Product_name]])),"Yes","No")</f>
        <v>No</v>
      </c>
      <c r="Z422" s="2" cm="1">
        <f t="array" ref="Z422">_xlfn.IFS(Real_Sales[[#This Row],[Price_retail]]&lt;=15,1, Real_Sales[[#This Row],[Price_retail]]&lt;=30,2, Real_Sales[[#This Row],[Price_retail]]&lt;=50,3,Real_Sales[[#This Row],[Price_retail]]&gt;50,4)</f>
        <v>1</v>
      </c>
    </row>
    <row r="423" spans="1:26" x14ac:dyDescent="0.35">
      <c r="A423" s="2" t="s">
        <v>2920</v>
      </c>
      <c r="B423" s="2" t="s">
        <v>2921</v>
      </c>
      <c r="C423" s="2" t="s">
        <v>25</v>
      </c>
      <c r="D423" s="2" t="s">
        <v>1101</v>
      </c>
      <c r="E423" s="2" t="s">
        <v>4</v>
      </c>
      <c r="F423" s="2" t="s">
        <v>5</v>
      </c>
      <c r="G423" s="2" t="s">
        <v>6</v>
      </c>
      <c r="H423" s="2" t="s">
        <v>134</v>
      </c>
      <c r="I423" s="2" t="s">
        <v>3393</v>
      </c>
      <c r="J423" s="3">
        <v>14.26</v>
      </c>
      <c r="K423" s="3">
        <v>10.36</v>
      </c>
      <c r="L423" s="2" t="s">
        <v>8</v>
      </c>
      <c r="M423" s="2" t="s">
        <v>9</v>
      </c>
      <c r="N423" s="3">
        <v>761</v>
      </c>
      <c r="O423" s="2" t="s">
        <v>75</v>
      </c>
      <c r="P423" s="2" t="s">
        <v>92</v>
      </c>
      <c r="Q423" s="3"/>
      <c r="R423" s="3"/>
      <c r="S423" s="2" t="s">
        <v>21</v>
      </c>
      <c r="T423" s="4">
        <v>44955</v>
      </c>
      <c r="U423" s="2" t="s">
        <v>2922</v>
      </c>
      <c r="V423" s="6">
        <f>(Real_Sales[[#This Row],[Price_retail]]-Real_Sales[[#This Row],[Price_current]])/Real_Sales[[#This Row],[Price_retail]]</f>
        <v>0.27349228611500703</v>
      </c>
      <c r="W423" s="3" t="str" cm="1">
        <f t="array" ref="W42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3" s="2" t="str">
        <f>IF(Real_Sales[[#This Row],[Price_retail]]&gt;$AC$3,"Premium","Average")</f>
        <v>Average</v>
      </c>
      <c r="Y423" s="2" t="str">
        <f>IF(ISNUMBER(SEARCH("Basic",Real_Sales[[#This Row],[Product_name]])),"Yes","No")</f>
        <v>No</v>
      </c>
      <c r="Z423" s="2" cm="1">
        <f t="array" ref="Z423">_xlfn.IFS(Real_Sales[[#This Row],[Price_retail]]&lt;=15,1, Real_Sales[[#This Row],[Price_retail]]&lt;=30,2, Real_Sales[[#This Row],[Price_retail]]&lt;=50,3,Real_Sales[[#This Row],[Price_retail]]&gt;50,4)</f>
        <v>1</v>
      </c>
    </row>
    <row r="424" spans="1:26" x14ac:dyDescent="0.35">
      <c r="A424" s="2" t="s">
        <v>1384</v>
      </c>
      <c r="B424" s="2" t="s">
        <v>1385</v>
      </c>
      <c r="C424" s="2" t="s">
        <v>3394</v>
      </c>
      <c r="D424" s="2" t="s">
        <v>1000</v>
      </c>
      <c r="E424" s="2" t="s">
        <v>4</v>
      </c>
      <c r="F424" s="2" t="s">
        <v>17</v>
      </c>
      <c r="G424" s="2" t="s">
        <v>18</v>
      </c>
      <c r="H424" s="2" t="s">
        <v>68</v>
      </c>
      <c r="I424" s="2" t="s">
        <v>3390</v>
      </c>
      <c r="J424" s="3">
        <v>14.3</v>
      </c>
      <c r="K424" s="3">
        <v>9.42</v>
      </c>
      <c r="L424" s="2" t="s">
        <v>8</v>
      </c>
      <c r="M424" s="2" t="s">
        <v>9</v>
      </c>
      <c r="N424" s="3">
        <v>725</v>
      </c>
      <c r="O424" s="2" t="s">
        <v>3392</v>
      </c>
      <c r="P424" s="2" t="s">
        <v>3392</v>
      </c>
      <c r="Q424" s="3"/>
      <c r="R424" s="3"/>
      <c r="S424" s="2" t="s">
        <v>21</v>
      </c>
      <c r="T424" s="4">
        <v>44955</v>
      </c>
      <c r="U424" s="2" t="s">
        <v>1386</v>
      </c>
      <c r="V424" s="6">
        <f>(Real_Sales[[#This Row],[Price_retail]]-Real_Sales[[#This Row],[Price_current]])/Real_Sales[[#This Row],[Price_retail]]</f>
        <v>0.34125874125874128</v>
      </c>
      <c r="W424" s="3" t="str" cm="1">
        <f t="array" ref="W42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4" s="2" t="str">
        <f>IF(Real_Sales[[#This Row],[Price_retail]]&gt;$AC$3,"Premium","Average")</f>
        <v>Average</v>
      </c>
      <c r="Y424" s="2" t="str">
        <f>IF(ISNUMBER(SEARCH("Basic",Real_Sales[[#This Row],[Product_name]])),"Yes","No")</f>
        <v>No</v>
      </c>
      <c r="Z424" s="2" cm="1">
        <f t="array" ref="Z424">_xlfn.IFS(Real_Sales[[#This Row],[Price_retail]]&lt;=15,1, Real_Sales[[#This Row],[Price_retail]]&lt;=30,2, Real_Sales[[#This Row],[Price_retail]]&lt;=50,3,Real_Sales[[#This Row],[Price_retail]]&gt;50,4)</f>
        <v>1</v>
      </c>
    </row>
    <row r="425" spans="1:26" x14ac:dyDescent="0.35">
      <c r="A425" s="2" t="s">
        <v>987</v>
      </c>
      <c r="B425" s="2" t="s">
        <v>988</v>
      </c>
      <c r="C425" s="2" t="s">
        <v>41</v>
      </c>
      <c r="D425" s="2" t="s">
        <v>725</v>
      </c>
      <c r="E425" s="2" t="s">
        <v>4</v>
      </c>
      <c r="F425" s="2" t="s">
        <v>17</v>
      </c>
      <c r="G425" s="2" t="s">
        <v>50</v>
      </c>
      <c r="H425" s="2" t="s">
        <v>110</v>
      </c>
      <c r="I425" s="2" t="s">
        <v>3390</v>
      </c>
      <c r="J425" s="3">
        <v>14.31</v>
      </c>
      <c r="K425" s="3">
        <v>8.01</v>
      </c>
      <c r="L425" s="2" t="s">
        <v>8</v>
      </c>
      <c r="M425" s="2" t="s">
        <v>9</v>
      </c>
      <c r="N425" s="3">
        <v>386</v>
      </c>
      <c r="O425" s="2" t="s">
        <v>191</v>
      </c>
      <c r="P425" s="2" t="s">
        <v>44</v>
      </c>
      <c r="Q425" s="3"/>
      <c r="R425" s="3"/>
      <c r="S425" s="2" t="s">
        <v>21</v>
      </c>
      <c r="T425" s="4">
        <v>44955</v>
      </c>
      <c r="U425" s="2" t="s">
        <v>989</v>
      </c>
      <c r="V425" s="6">
        <f>(Real_Sales[[#This Row],[Price_retail]]-Real_Sales[[#This Row],[Price_current]])/Real_Sales[[#This Row],[Price_retail]]</f>
        <v>0.44025157232704404</v>
      </c>
      <c r="W425" s="3" t="str" cm="1">
        <f t="array" ref="W42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5" s="2" t="str">
        <f>IF(Real_Sales[[#This Row],[Price_retail]]&gt;$AC$3,"Premium","Average")</f>
        <v>Average</v>
      </c>
      <c r="Y425" s="2" t="str">
        <f>IF(ISNUMBER(SEARCH("Basic",Real_Sales[[#This Row],[Product_name]])),"Yes","No")</f>
        <v>Yes</v>
      </c>
      <c r="Z425" s="2" cm="1">
        <f t="array" ref="Z425">_xlfn.IFS(Real_Sales[[#This Row],[Price_retail]]&lt;=15,1, Real_Sales[[#This Row],[Price_retail]]&lt;=30,2, Real_Sales[[#This Row],[Price_retail]]&lt;=50,3,Real_Sales[[#This Row],[Price_retail]]&gt;50,4)</f>
        <v>1</v>
      </c>
    </row>
    <row r="426" spans="1:26" x14ac:dyDescent="0.35">
      <c r="A426" s="2" t="s">
        <v>966</v>
      </c>
      <c r="B426" s="2" t="s">
        <v>967</v>
      </c>
      <c r="C426" s="2" t="s">
        <v>41</v>
      </c>
      <c r="D426" s="2" t="s">
        <v>946</v>
      </c>
      <c r="E426" s="2" t="s">
        <v>4</v>
      </c>
      <c r="F426" s="2" t="s">
        <v>5</v>
      </c>
      <c r="G426" s="2" t="s">
        <v>6</v>
      </c>
      <c r="H426" s="2" t="s">
        <v>110</v>
      </c>
      <c r="I426" s="2" t="s">
        <v>3395</v>
      </c>
      <c r="J426" s="3">
        <v>14.34</v>
      </c>
      <c r="K426" s="3">
        <v>8.83</v>
      </c>
      <c r="L426" s="2" t="s">
        <v>8</v>
      </c>
      <c r="M426" s="2" t="s">
        <v>9</v>
      </c>
      <c r="N426" s="3">
        <v>964</v>
      </c>
      <c r="O426" s="2" t="s">
        <v>104</v>
      </c>
      <c r="P426" s="2" t="s">
        <v>186</v>
      </c>
      <c r="Q426" s="3"/>
      <c r="R426" s="3"/>
      <c r="S426" s="2" t="s">
        <v>21</v>
      </c>
      <c r="T426" s="4">
        <v>44955</v>
      </c>
      <c r="U426" s="2" t="s">
        <v>968</v>
      </c>
      <c r="V426" s="6">
        <f>(Real_Sales[[#This Row],[Price_retail]]-Real_Sales[[#This Row],[Price_current]])/Real_Sales[[#This Row],[Price_retail]]</f>
        <v>0.38423988842398882</v>
      </c>
      <c r="W426" s="3" t="str" cm="1">
        <f t="array" ref="W42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6" s="2" t="str">
        <f>IF(Real_Sales[[#This Row],[Price_retail]]&gt;$AC$3,"Premium","Average")</f>
        <v>Average</v>
      </c>
      <c r="Y426" s="2" t="str">
        <f>IF(ISNUMBER(SEARCH("Basic",Real_Sales[[#This Row],[Product_name]])),"Yes","No")</f>
        <v>No</v>
      </c>
      <c r="Z426" s="2" cm="1">
        <f t="array" ref="Z426">_xlfn.IFS(Real_Sales[[#This Row],[Price_retail]]&lt;=15,1, Real_Sales[[#This Row],[Price_retail]]&lt;=30,2, Real_Sales[[#This Row],[Price_retail]]&lt;=50,3,Real_Sales[[#This Row],[Price_retail]]&gt;50,4)</f>
        <v>1</v>
      </c>
    </row>
    <row r="427" spans="1:26" x14ac:dyDescent="0.35">
      <c r="A427" s="2" t="s">
        <v>378</v>
      </c>
      <c r="B427" s="2" t="s">
        <v>379</v>
      </c>
      <c r="C427" s="2" t="s">
        <v>242</v>
      </c>
      <c r="D427" s="2" t="s">
        <v>354</v>
      </c>
      <c r="E427" s="2" t="s">
        <v>4</v>
      </c>
      <c r="F427" s="2" t="s">
        <v>17</v>
      </c>
      <c r="G427" s="2" t="s">
        <v>50</v>
      </c>
      <c r="H427" s="2" t="s">
        <v>90</v>
      </c>
      <c r="I427" s="2" t="s">
        <v>3390</v>
      </c>
      <c r="J427" s="3">
        <v>14.37</v>
      </c>
      <c r="K427" s="3">
        <v>9.82</v>
      </c>
      <c r="L427" s="2" t="s">
        <v>8</v>
      </c>
      <c r="M427" s="2" t="s">
        <v>9</v>
      </c>
      <c r="N427" s="3">
        <v>609</v>
      </c>
      <c r="O427" s="2" t="s">
        <v>347</v>
      </c>
      <c r="P427" s="2" t="s">
        <v>122</v>
      </c>
      <c r="Q427" s="3"/>
      <c r="R427" s="3"/>
      <c r="S427" s="2" t="s">
        <v>21</v>
      </c>
      <c r="T427" s="4">
        <v>44955</v>
      </c>
      <c r="U427" s="2" t="s">
        <v>380</v>
      </c>
      <c r="V427" s="6">
        <f>(Real_Sales[[#This Row],[Price_retail]]-Real_Sales[[#This Row],[Price_current]])/Real_Sales[[#This Row],[Price_retail]]</f>
        <v>0.31663187195546272</v>
      </c>
      <c r="W427" s="3" t="str" cm="1">
        <f t="array" ref="W42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7" s="2" t="str">
        <f>IF(Real_Sales[[#This Row],[Price_retail]]&gt;$AC$3,"Premium","Average")</f>
        <v>Average</v>
      </c>
      <c r="Y427" s="2" t="str">
        <f>IF(ISNUMBER(SEARCH("Basic",Real_Sales[[#This Row],[Product_name]])),"Yes","No")</f>
        <v>No</v>
      </c>
      <c r="Z427" s="2" cm="1">
        <f t="array" ref="Z427">_xlfn.IFS(Real_Sales[[#This Row],[Price_retail]]&lt;=15,1, Real_Sales[[#This Row],[Price_retail]]&lt;=30,2, Real_Sales[[#This Row],[Price_retail]]&lt;=50,3,Real_Sales[[#This Row],[Price_retail]]&gt;50,4)</f>
        <v>1</v>
      </c>
    </row>
    <row r="428" spans="1:26" x14ac:dyDescent="0.35">
      <c r="A428" s="2" t="s">
        <v>2556</v>
      </c>
      <c r="B428" s="2" t="s">
        <v>2557</v>
      </c>
      <c r="C428" s="2" t="s">
        <v>995</v>
      </c>
      <c r="D428" s="2" t="s">
        <v>521</v>
      </c>
      <c r="E428" s="2" t="s">
        <v>4</v>
      </c>
      <c r="F428" s="2" t="s">
        <v>5</v>
      </c>
      <c r="G428" s="2" t="s">
        <v>121</v>
      </c>
      <c r="H428" s="2" t="s">
        <v>19</v>
      </c>
      <c r="I428" s="2" t="s">
        <v>3393</v>
      </c>
      <c r="J428" s="3">
        <v>14.43</v>
      </c>
      <c r="K428" s="3">
        <v>13.71</v>
      </c>
      <c r="L428" s="2" t="s">
        <v>8</v>
      </c>
      <c r="M428" s="2" t="s">
        <v>9</v>
      </c>
      <c r="N428" s="3">
        <v>701</v>
      </c>
      <c r="O428" s="2" t="s">
        <v>302</v>
      </c>
      <c r="P428" s="2" t="s">
        <v>238</v>
      </c>
      <c r="Q428" s="3"/>
      <c r="R428" s="3"/>
      <c r="S428" s="2" t="s">
        <v>12</v>
      </c>
      <c r="T428" s="4">
        <v>44955</v>
      </c>
      <c r="U428" s="2" t="s">
        <v>2558</v>
      </c>
      <c r="V428" s="6">
        <f>(Real_Sales[[#This Row],[Price_retail]]-Real_Sales[[#This Row],[Price_current]])/Real_Sales[[#This Row],[Price_retail]]</f>
        <v>4.9896049896049816E-2</v>
      </c>
      <c r="W428" s="3" t="str" cm="1">
        <f t="array" ref="W428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428" s="2" t="str">
        <f>IF(Real_Sales[[#This Row],[Price_retail]]&gt;$AC$3,"Premium","Average")</f>
        <v>Average</v>
      </c>
      <c r="Y428" s="2" t="str">
        <f>IF(ISNUMBER(SEARCH("Basic",Real_Sales[[#This Row],[Product_name]])),"Yes","No")</f>
        <v>Yes</v>
      </c>
      <c r="Z428" s="2" cm="1">
        <f t="array" ref="Z428">_xlfn.IFS(Real_Sales[[#This Row],[Price_retail]]&lt;=15,1, Real_Sales[[#This Row],[Price_retail]]&lt;=30,2, Real_Sales[[#This Row],[Price_retail]]&lt;=50,3,Real_Sales[[#This Row],[Price_retail]]&gt;50,4)</f>
        <v>1</v>
      </c>
    </row>
    <row r="429" spans="1:26" x14ac:dyDescent="0.35">
      <c r="A429" s="2" t="s">
        <v>1762</v>
      </c>
      <c r="B429" s="2" t="s">
        <v>1763</v>
      </c>
      <c r="C429" s="2" t="s">
        <v>698</v>
      </c>
      <c r="D429" s="2" t="s">
        <v>26</v>
      </c>
      <c r="E429" s="2" t="s">
        <v>4</v>
      </c>
      <c r="F429" s="2" t="s">
        <v>17</v>
      </c>
      <c r="G429" s="2" t="s">
        <v>27</v>
      </c>
      <c r="H429" s="2" t="s">
        <v>28</v>
      </c>
      <c r="I429" s="2" t="s">
        <v>3390</v>
      </c>
      <c r="J429" s="3">
        <v>14.45</v>
      </c>
      <c r="K429" s="3">
        <v>11.12</v>
      </c>
      <c r="L429" s="2" t="s">
        <v>8</v>
      </c>
      <c r="M429" s="2" t="s">
        <v>9</v>
      </c>
      <c r="N429" s="3">
        <v>904</v>
      </c>
      <c r="O429" s="2" t="s">
        <v>267</v>
      </c>
      <c r="P429" s="2" t="s">
        <v>92</v>
      </c>
      <c r="Q429" s="3"/>
      <c r="R429" s="3"/>
      <c r="S429" s="2" t="s">
        <v>12</v>
      </c>
      <c r="T429" s="4">
        <v>44955</v>
      </c>
      <c r="U429" s="2" t="s">
        <v>1764</v>
      </c>
      <c r="V429" s="6">
        <f>(Real_Sales[[#This Row],[Price_retail]]-Real_Sales[[#This Row],[Price_current]])/Real_Sales[[#This Row],[Price_retail]]</f>
        <v>0.23044982698961938</v>
      </c>
      <c r="W429" s="3" t="str" cm="1">
        <f t="array" ref="W42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29" s="2" t="str">
        <f>IF(Real_Sales[[#This Row],[Price_retail]]&gt;$AC$3,"Premium","Average")</f>
        <v>Average</v>
      </c>
      <c r="Y429" s="2" t="str">
        <f>IF(ISNUMBER(SEARCH("Basic",Real_Sales[[#This Row],[Product_name]])),"Yes","No")</f>
        <v>No</v>
      </c>
      <c r="Z429" s="2" cm="1">
        <f t="array" ref="Z429">_xlfn.IFS(Real_Sales[[#This Row],[Price_retail]]&lt;=15,1, Real_Sales[[#This Row],[Price_retail]]&lt;=30,2, Real_Sales[[#This Row],[Price_retail]]&lt;=50,3,Real_Sales[[#This Row],[Price_retail]]&gt;50,4)</f>
        <v>1</v>
      </c>
    </row>
    <row r="430" spans="1:26" x14ac:dyDescent="0.35">
      <c r="A430" s="2" t="s">
        <v>1968</v>
      </c>
      <c r="B430" s="2" t="s">
        <v>1969</v>
      </c>
      <c r="C430" s="2" t="s">
        <v>3417</v>
      </c>
      <c r="D430" s="2" t="s">
        <v>292</v>
      </c>
      <c r="E430" s="2" t="s">
        <v>4</v>
      </c>
      <c r="F430" s="2" t="s">
        <v>17</v>
      </c>
      <c r="G430" s="2" t="s">
        <v>50</v>
      </c>
      <c r="H430" s="2" t="s">
        <v>145</v>
      </c>
      <c r="I430" s="2" t="s">
        <v>3393</v>
      </c>
      <c r="J430" s="3">
        <v>14.46</v>
      </c>
      <c r="K430" s="3">
        <v>9.9</v>
      </c>
      <c r="L430" s="2" t="s">
        <v>8</v>
      </c>
      <c r="M430" s="2" t="s">
        <v>9</v>
      </c>
      <c r="N430" s="3">
        <v>812</v>
      </c>
      <c r="O430" s="2" t="s">
        <v>261</v>
      </c>
      <c r="P430" s="2" t="s">
        <v>368</v>
      </c>
      <c r="Q430" s="3"/>
      <c r="R430" s="3"/>
      <c r="S430" s="2" t="s">
        <v>21</v>
      </c>
      <c r="T430" s="4">
        <v>44955</v>
      </c>
      <c r="U430" s="2" t="s">
        <v>1970</v>
      </c>
      <c r="V430" s="6">
        <f>(Real_Sales[[#This Row],[Price_retail]]-Real_Sales[[#This Row],[Price_current]])/Real_Sales[[#This Row],[Price_retail]]</f>
        <v>0.31535269709543567</v>
      </c>
      <c r="W430" s="3" t="str" cm="1">
        <f t="array" ref="W43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0" s="2" t="str">
        <f>IF(Real_Sales[[#This Row],[Price_retail]]&gt;$AC$3,"Premium","Average")</f>
        <v>Average</v>
      </c>
      <c r="Y430" s="2" t="str">
        <f>IF(ISNUMBER(SEARCH("Basic",Real_Sales[[#This Row],[Product_name]])),"Yes","No")</f>
        <v>No</v>
      </c>
      <c r="Z430" s="2" cm="1">
        <f t="array" ref="Z430">_xlfn.IFS(Real_Sales[[#This Row],[Price_retail]]&lt;=15,1, Real_Sales[[#This Row],[Price_retail]]&lt;=30,2, Real_Sales[[#This Row],[Price_retail]]&lt;=50,3,Real_Sales[[#This Row],[Price_retail]]&gt;50,4)</f>
        <v>1</v>
      </c>
    </row>
    <row r="431" spans="1:26" x14ac:dyDescent="0.35">
      <c r="A431" s="2" t="s">
        <v>1579</v>
      </c>
      <c r="B431" s="2" t="s">
        <v>1580</v>
      </c>
      <c r="C431" s="2" t="s">
        <v>1581</v>
      </c>
      <c r="D431" s="2" t="s">
        <v>272</v>
      </c>
      <c r="E431" s="2" t="s">
        <v>4</v>
      </c>
      <c r="F431" s="2" t="s">
        <v>5</v>
      </c>
      <c r="G431" s="2" t="s">
        <v>121</v>
      </c>
      <c r="H431" s="2" t="s">
        <v>51</v>
      </c>
      <c r="I431" s="2" t="s">
        <v>3393</v>
      </c>
      <c r="J431" s="3">
        <v>14.49</v>
      </c>
      <c r="K431" s="3">
        <v>10.91</v>
      </c>
      <c r="L431" s="2" t="s">
        <v>8</v>
      </c>
      <c r="M431" s="2" t="s">
        <v>9</v>
      </c>
      <c r="N431" s="3">
        <v>165</v>
      </c>
      <c r="O431" s="2" t="s">
        <v>69</v>
      </c>
      <c r="P431" s="2" t="s">
        <v>122</v>
      </c>
      <c r="Q431" s="3"/>
      <c r="R431" s="3"/>
      <c r="S431" s="2" t="s">
        <v>21</v>
      </c>
      <c r="T431" s="4">
        <v>44955</v>
      </c>
      <c r="U431" s="2" t="s">
        <v>1582</v>
      </c>
      <c r="V431" s="6">
        <f>(Real_Sales[[#This Row],[Price_retail]]-Real_Sales[[#This Row],[Price_current]])/Real_Sales[[#This Row],[Price_retail]]</f>
        <v>0.24706694271911664</v>
      </c>
      <c r="W431" s="3" t="str" cm="1">
        <f t="array" ref="W43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1" s="2" t="str">
        <f>IF(Real_Sales[[#This Row],[Price_retail]]&gt;$AC$3,"Premium","Average")</f>
        <v>Average</v>
      </c>
      <c r="Y431" s="2" t="str">
        <f>IF(ISNUMBER(SEARCH("Basic",Real_Sales[[#This Row],[Product_name]])),"Yes","No")</f>
        <v>No</v>
      </c>
      <c r="Z431" s="2" cm="1">
        <f t="array" ref="Z431">_xlfn.IFS(Real_Sales[[#This Row],[Price_retail]]&lt;=15,1, Real_Sales[[#This Row],[Price_retail]]&lt;=30,2, Real_Sales[[#This Row],[Price_retail]]&lt;=50,3,Real_Sales[[#This Row],[Price_retail]]&gt;50,4)</f>
        <v>1</v>
      </c>
    </row>
    <row r="432" spans="1:26" x14ac:dyDescent="0.35">
      <c r="A432" s="2" t="s">
        <v>658</v>
      </c>
      <c r="B432" s="2" t="s">
        <v>659</v>
      </c>
      <c r="C432" s="2" t="s">
        <v>3406</v>
      </c>
      <c r="D432" s="2" t="s">
        <v>660</v>
      </c>
      <c r="E432" s="2" t="s">
        <v>4</v>
      </c>
      <c r="F432" s="2" t="s">
        <v>5</v>
      </c>
      <c r="G432" s="2" t="s">
        <v>6</v>
      </c>
      <c r="H432" s="2" t="s">
        <v>237</v>
      </c>
      <c r="I432" s="2" t="s">
        <v>3393</v>
      </c>
      <c r="J432" s="3">
        <v>14.54</v>
      </c>
      <c r="K432" s="3">
        <v>9.51</v>
      </c>
      <c r="L432" s="2" t="s">
        <v>8</v>
      </c>
      <c r="M432" s="2" t="s">
        <v>9</v>
      </c>
      <c r="N432" s="3">
        <v>482</v>
      </c>
      <c r="O432" s="2" t="s">
        <v>60</v>
      </c>
      <c r="P432" s="2" t="s">
        <v>3392</v>
      </c>
      <c r="Q432" s="3"/>
      <c r="R432" s="3"/>
      <c r="S432" s="2" t="s">
        <v>12</v>
      </c>
      <c r="T432" s="4">
        <v>44955</v>
      </c>
      <c r="U432" s="2" t="s">
        <v>661</v>
      </c>
      <c r="V432" s="6">
        <f>(Real_Sales[[#This Row],[Price_retail]]-Real_Sales[[#This Row],[Price_current]])/Real_Sales[[#This Row],[Price_retail]]</f>
        <v>0.34594222833562582</v>
      </c>
      <c r="W432" s="3" t="str" cm="1">
        <f t="array" ref="W43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2" s="2" t="str">
        <f>IF(Real_Sales[[#This Row],[Price_retail]]&gt;$AC$3,"Premium","Average")</f>
        <v>Average</v>
      </c>
      <c r="Y432" s="2" t="str">
        <f>IF(ISNUMBER(SEARCH("Basic",Real_Sales[[#This Row],[Product_name]])),"Yes","No")</f>
        <v>No</v>
      </c>
      <c r="Z432" s="2" cm="1">
        <f t="array" ref="Z432">_xlfn.IFS(Real_Sales[[#This Row],[Price_retail]]&lt;=15,1, Real_Sales[[#This Row],[Price_retail]]&lt;=30,2, Real_Sales[[#This Row],[Price_retail]]&lt;=50,3,Real_Sales[[#This Row],[Price_retail]]&gt;50,4)</f>
        <v>1</v>
      </c>
    </row>
    <row r="433" spans="1:26" x14ac:dyDescent="0.35">
      <c r="A433" s="2" t="s">
        <v>2441</v>
      </c>
      <c r="B433" s="2" t="s">
        <v>2442</v>
      </c>
      <c r="C433" s="2" t="s">
        <v>102</v>
      </c>
      <c r="D433" s="2" t="s">
        <v>26</v>
      </c>
      <c r="E433" s="2" t="s">
        <v>4</v>
      </c>
      <c r="F433" s="2" t="s">
        <v>17</v>
      </c>
      <c r="G433" s="2" t="s">
        <v>50</v>
      </c>
      <c r="H433" s="2"/>
      <c r="I433" s="2" t="s">
        <v>3390</v>
      </c>
      <c r="J433" s="3">
        <v>14.6</v>
      </c>
      <c r="K433" s="3">
        <v>8.66</v>
      </c>
      <c r="L433" s="2" t="s">
        <v>8</v>
      </c>
      <c r="M433" s="2" t="s">
        <v>9</v>
      </c>
      <c r="N433" s="3">
        <v>124</v>
      </c>
      <c r="O433" s="2" t="s">
        <v>91</v>
      </c>
      <c r="P433" s="2" t="s">
        <v>177</v>
      </c>
      <c r="Q433" s="3"/>
      <c r="R433" s="3"/>
      <c r="S433" s="2" t="s">
        <v>12</v>
      </c>
      <c r="T433" s="4">
        <v>44955</v>
      </c>
      <c r="U433" s="2" t="s">
        <v>2443</v>
      </c>
      <c r="V433" s="6">
        <f>(Real_Sales[[#This Row],[Price_retail]]-Real_Sales[[#This Row],[Price_current]])/Real_Sales[[#This Row],[Price_retail]]</f>
        <v>0.40684931506849314</v>
      </c>
      <c r="W433" s="3" t="str" cm="1">
        <f t="array" ref="W43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3" s="2" t="str">
        <f>IF(Real_Sales[[#This Row],[Price_retail]]&gt;$AC$3,"Premium","Average")</f>
        <v>Average</v>
      </c>
      <c r="Y433" s="2" t="str">
        <f>IF(ISNUMBER(SEARCH("Basic",Real_Sales[[#This Row],[Product_name]])),"Yes","No")</f>
        <v>No</v>
      </c>
      <c r="Z433" s="2" cm="1">
        <f t="array" ref="Z433">_xlfn.IFS(Real_Sales[[#This Row],[Price_retail]]&lt;=15,1, Real_Sales[[#This Row],[Price_retail]]&lt;=30,2, Real_Sales[[#This Row],[Price_retail]]&lt;=50,3,Real_Sales[[#This Row],[Price_retail]]&gt;50,4)</f>
        <v>1</v>
      </c>
    </row>
    <row r="434" spans="1:26" x14ac:dyDescent="0.35">
      <c r="A434" s="2" t="s">
        <v>2392</v>
      </c>
      <c r="B434" s="2" t="s">
        <v>2393</v>
      </c>
      <c r="C434" s="2" t="s">
        <v>126</v>
      </c>
      <c r="D434" s="2" t="s">
        <v>428</v>
      </c>
      <c r="E434" s="2" t="s">
        <v>4</v>
      </c>
      <c r="F434" s="2" t="s">
        <v>5</v>
      </c>
      <c r="G434" s="2" t="s">
        <v>6</v>
      </c>
      <c r="H434" s="2" t="s">
        <v>333</v>
      </c>
      <c r="I434" s="2" t="s">
        <v>3395</v>
      </c>
      <c r="J434" s="3">
        <v>14.61</v>
      </c>
      <c r="K434" s="3">
        <v>10.09</v>
      </c>
      <c r="L434" s="2" t="s">
        <v>8</v>
      </c>
      <c r="M434" s="2" t="s">
        <v>9</v>
      </c>
      <c r="N434" s="3">
        <v>318</v>
      </c>
      <c r="O434" s="2" t="s">
        <v>52</v>
      </c>
      <c r="P434" s="2" t="s">
        <v>70</v>
      </c>
      <c r="Q434" s="3"/>
      <c r="R434" s="3"/>
      <c r="S434" s="2" t="s">
        <v>21</v>
      </c>
      <c r="T434" s="4">
        <v>44955</v>
      </c>
      <c r="U434" s="2" t="s">
        <v>2394</v>
      </c>
      <c r="V434" s="6">
        <f>(Real_Sales[[#This Row],[Price_retail]]-Real_Sales[[#This Row],[Price_current]])/Real_Sales[[#This Row],[Price_retail]]</f>
        <v>0.30937713894592744</v>
      </c>
      <c r="W434" s="3" t="str" cm="1">
        <f t="array" ref="W43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4" s="2" t="str">
        <f>IF(Real_Sales[[#This Row],[Price_retail]]&gt;$AC$3,"Premium","Average")</f>
        <v>Average</v>
      </c>
      <c r="Y434" s="2" t="str">
        <f>IF(ISNUMBER(SEARCH("Basic",Real_Sales[[#This Row],[Product_name]])),"Yes","No")</f>
        <v>No</v>
      </c>
      <c r="Z434" s="2" cm="1">
        <f t="array" ref="Z434">_xlfn.IFS(Real_Sales[[#This Row],[Price_retail]]&lt;=15,1, Real_Sales[[#This Row],[Price_retail]]&lt;=30,2, Real_Sales[[#This Row],[Price_retail]]&lt;=50,3,Real_Sales[[#This Row],[Price_retail]]&gt;50,4)</f>
        <v>1</v>
      </c>
    </row>
    <row r="435" spans="1:26" x14ac:dyDescent="0.35">
      <c r="A435" s="2" t="s">
        <v>1030</v>
      </c>
      <c r="B435" s="2" t="s">
        <v>1031</v>
      </c>
      <c r="C435" s="2" t="s">
        <v>412</v>
      </c>
      <c r="D435" s="2" t="s">
        <v>660</v>
      </c>
      <c r="E435" s="2" t="s">
        <v>4</v>
      </c>
      <c r="F435" s="2" t="s">
        <v>5</v>
      </c>
      <c r="G435" s="2" t="s">
        <v>6</v>
      </c>
      <c r="H435" s="2" t="s">
        <v>237</v>
      </c>
      <c r="I435" s="2" t="s">
        <v>3393</v>
      </c>
      <c r="J435" s="3">
        <v>14.65</v>
      </c>
      <c r="K435" s="3">
        <v>12.43</v>
      </c>
      <c r="L435" s="2" t="s">
        <v>8</v>
      </c>
      <c r="M435" s="2" t="s">
        <v>9</v>
      </c>
      <c r="N435" s="3">
        <v>64</v>
      </c>
      <c r="O435" s="2" t="s">
        <v>91</v>
      </c>
      <c r="P435" s="2" t="s">
        <v>84</v>
      </c>
      <c r="Q435" s="3"/>
      <c r="R435" s="3"/>
      <c r="S435" s="2" t="s">
        <v>12</v>
      </c>
      <c r="T435" s="4">
        <v>44955</v>
      </c>
      <c r="U435" s="2" t="s">
        <v>1032</v>
      </c>
      <c r="V435" s="6">
        <f>(Real_Sales[[#This Row],[Price_retail]]-Real_Sales[[#This Row],[Price_current]])/Real_Sales[[#This Row],[Price_retail]]</f>
        <v>0.15153583617747443</v>
      </c>
      <c r="W435" s="3" t="str" cm="1">
        <f t="array" ref="W43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435" s="2" t="str">
        <f>IF(Real_Sales[[#This Row],[Price_retail]]&gt;$AC$3,"Premium","Average")</f>
        <v>Average</v>
      </c>
      <c r="Y435" s="2" t="str">
        <f>IF(ISNUMBER(SEARCH("Basic",Real_Sales[[#This Row],[Product_name]])),"Yes","No")</f>
        <v>No</v>
      </c>
      <c r="Z435" s="2" cm="1">
        <f t="array" ref="Z435">_xlfn.IFS(Real_Sales[[#This Row],[Price_retail]]&lt;=15,1, Real_Sales[[#This Row],[Price_retail]]&lt;=30,2, Real_Sales[[#This Row],[Price_retail]]&lt;=50,3,Real_Sales[[#This Row],[Price_retail]]&gt;50,4)</f>
        <v>1</v>
      </c>
    </row>
    <row r="436" spans="1:26" x14ac:dyDescent="0.35">
      <c r="A436" s="2" t="s">
        <v>2850</v>
      </c>
      <c r="B436" s="2" t="s">
        <v>2851</v>
      </c>
      <c r="C436" s="2" t="s">
        <v>3430</v>
      </c>
      <c r="D436" s="2" t="s">
        <v>490</v>
      </c>
      <c r="E436" s="2" t="s">
        <v>4</v>
      </c>
      <c r="F436" s="2" t="s">
        <v>17</v>
      </c>
      <c r="G436" s="2" t="s">
        <v>27</v>
      </c>
      <c r="H436" s="2" t="s">
        <v>185</v>
      </c>
      <c r="I436" s="2" t="s">
        <v>3395</v>
      </c>
      <c r="J436" s="3">
        <v>14.78</v>
      </c>
      <c r="K436" s="3">
        <v>7.4</v>
      </c>
      <c r="L436" s="2" t="s">
        <v>8</v>
      </c>
      <c r="M436" s="2" t="s">
        <v>9</v>
      </c>
      <c r="N436" s="3">
        <v>343</v>
      </c>
      <c r="O436" s="2" t="s">
        <v>302</v>
      </c>
      <c r="P436" s="2" t="s">
        <v>84</v>
      </c>
      <c r="Q436" s="3"/>
      <c r="R436" s="3"/>
      <c r="S436" s="2" t="s">
        <v>21</v>
      </c>
      <c r="T436" s="4">
        <v>44955</v>
      </c>
      <c r="U436" s="2" t="s">
        <v>2852</v>
      </c>
      <c r="V436" s="6">
        <f>(Real_Sales[[#This Row],[Price_retail]]-Real_Sales[[#This Row],[Price_current]])/Real_Sales[[#This Row],[Price_retail]]</f>
        <v>0.49932341001353175</v>
      </c>
      <c r="W436" s="3" t="str" cm="1">
        <f t="array" ref="W43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6" s="2" t="str">
        <f>IF(Real_Sales[[#This Row],[Price_retail]]&gt;$AC$3,"Premium","Average")</f>
        <v>Average</v>
      </c>
      <c r="Y436" s="2" t="str">
        <f>IF(ISNUMBER(SEARCH("Basic",Real_Sales[[#This Row],[Product_name]])),"Yes","No")</f>
        <v>No</v>
      </c>
      <c r="Z436" s="2" cm="1">
        <f t="array" ref="Z436">_xlfn.IFS(Real_Sales[[#This Row],[Price_retail]]&lt;=15,1, Real_Sales[[#This Row],[Price_retail]]&lt;=30,2, Real_Sales[[#This Row],[Price_retail]]&lt;=50,3,Real_Sales[[#This Row],[Price_retail]]&gt;50,4)</f>
        <v>1</v>
      </c>
    </row>
    <row r="437" spans="1:26" x14ac:dyDescent="0.35">
      <c r="A437" s="2" t="s">
        <v>1065</v>
      </c>
      <c r="B437" s="2" t="s">
        <v>1066</v>
      </c>
      <c r="C437" s="2" t="s">
        <v>3394</v>
      </c>
      <c r="D437" s="2" t="s">
        <v>608</v>
      </c>
      <c r="E437" s="2" t="s">
        <v>4</v>
      </c>
      <c r="F437" s="2" t="s">
        <v>17</v>
      </c>
      <c r="G437" s="2" t="s">
        <v>27</v>
      </c>
      <c r="H437" s="2" t="s">
        <v>51</v>
      </c>
      <c r="I437" s="2" t="s">
        <v>3390</v>
      </c>
      <c r="J437" s="3">
        <v>14.89</v>
      </c>
      <c r="K437" s="3">
        <v>9.15</v>
      </c>
      <c r="L437" s="2" t="s">
        <v>8</v>
      </c>
      <c r="M437" s="2" t="s">
        <v>9</v>
      </c>
      <c r="N437" s="3">
        <v>513</v>
      </c>
      <c r="O437" s="2" t="s">
        <v>261</v>
      </c>
      <c r="P437" s="2" t="s">
        <v>221</v>
      </c>
      <c r="Q437" s="3"/>
      <c r="R437" s="3"/>
      <c r="S437" s="2" t="s">
        <v>21</v>
      </c>
      <c r="T437" s="4">
        <v>44955</v>
      </c>
      <c r="U437" s="2" t="s">
        <v>1067</v>
      </c>
      <c r="V437" s="6">
        <f>(Real_Sales[[#This Row],[Price_retail]]-Real_Sales[[#This Row],[Price_current]])/Real_Sales[[#This Row],[Price_retail]]</f>
        <v>0.38549361987911351</v>
      </c>
      <c r="W437" s="3" t="str" cm="1">
        <f t="array" ref="W4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7" s="2" t="str">
        <f>IF(Real_Sales[[#This Row],[Price_retail]]&gt;$AC$3,"Premium","Average")</f>
        <v>Average</v>
      </c>
      <c r="Y437" s="2" t="str">
        <f>IF(ISNUMBER(SEARCH("Basic",Real_Sales[[#This Row],[Product_name]])),"Yes","No")</f>
        <v>No</v>
      </c>
      <c r="Z437" s="2" cm="1">
        <f t="array" ref="Z437">_xlfn.IFS(Real_Sales[[#This Row],[Price_retail]]&lt;=15,1, Real_Sales[[#This Row],[Price_retail]]&lt;=30,2, Real_Sales[[#This Row],[Price_retail]]&lt;=50,3,Real_Sales[[#This Row],[Price_retail]]&gt;50,4)</f>
        <v>1</v>
      </c>
    </row>
    <row r="438" spans="1:26" x14ac:dyDescent="0.35">
      <c r="A438" s="2" t="s">
        <v>645</v>
      </c>
      <c r="B438" s="2" t="s">
        <v>646</v>
      </c>
      <c r="C438" s="2" t="s">
        <v>3394</v>
      </c>
      <c r="D438" s="2" t="s">
        <v>138</v>
      </c>
      <c r="E438" s="2" t="s">
        <v>4</v>
      </c>
      <c r="F438" s="2" t="s">
        <v>5</v>
      </c>
      <c r="G438" s="2" t="s">
        <v>82</v>
      </c>
      <c r="H438" s="2" t="s">
        <v>139</v>
      </c>
      <c r="I438" s="2" t="s">
        <v>3395</v>
      </c>
      <c r="J438" s="3">
        <v>14.91</v>
      </c>
      <c r="K438" s="3">
        <v>11.03</v>
      </c>
      <c r="L438" s="2" t="s">
        <v>8</v>
      </c>
      <c r="M438" s="2" t="s">
        <v>9</v>
      </c>
      <c r="N438" s="3">
        <v>430</v>
      </c>
      <c r="O438" s="2" t="s">
        <v>3392</v>
      </c>
      <c r="P438" s="2" t="s">
        <v>215</v>
      </c>
      <c r="Q438" s="3"/>
      <c r="R438" s="3"/>
      <c r="S438" s="2" t="s">
        <v>21</v>
      </c>
      <c r="T438" s="4">
        <v>44955</v>
      </c>
      <c r="U438" s="2" t="s">
        <v>647</v>
      </c>
      <c r="V438" s="6">
        <f>(Real_Sales[[#This Row],[Price_retail]]-Real_Sales[[#This Row],[Price_current]])/Real_Sales[[#This Row],[Price_retail]]</f>
        <v>0.26022803487592228</v>
      </c>
      <c r="W438" s="3" t="str" cm="1">
        <f t="array" ref="W43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38" s="2" t="str">
        <f>IF(Real_Sales[[#This Row],[Price_retail]]&gt;$AC$3,"Premium","Average")</f>
        <v>Average</v>
      </c>
      <c r="Y438" s="2" t="str">
        <f>IF(ISNUMBER(SEARCH("Basic",Real_Sales[[#This Row],[Product_name]])),"Yes","No")</f>
        <v>Yes</v>
      </c>
      <c r="Z438" s="2" cm="1">
        <f t="array" ref="Z438">_xlfn.IFS(Real_Sales[[#This Row],[Price_retail]]&lt;=15,1, Real_Sales[[#This Row],[Price_retail]]&lt;=30,2, Real_Sales[[#This Row],[Price_retail]]&lt;=50,3,Real_Sales[[#This Row],[Price_retail]]&gt;50,4)</f>
        <v>1</v>
      </c>
    </row>
    <row r="439" spans="1:26" x14ac:dyDescent="0.35">
      <c r="A439" s="2" t="s">
        <v>281</v>
      </c>
      <c r="B439" s="2" t="s">
        <v>282</v>
      </c>
      <c r="C439" s="2" t="s">
        <v>1581</v>
      </c>
      <c r="D439" s="2" t="s">
        <v>3</v>
      </c>
      <c r="E439" s="2" t="s">
        <v>4</v>
      </c>
      <c r="F439" s="2" t="s">
        <v>5</v>
      </c>
      <c r="G439" s="2" t="s">
        <v>121</v>
      </c>
      <c r="H439" s="2" t="s">
        <v>7</v>
      </c>
      <c r="I439" s="2" t="s">
        <v>3393</v>
      </c>
      <c r="J439" s="3">
        <v>15</v>
      </c>
      <c r="K439" s="3">
        <v>15</v>
      </c>
      <c r="L439" s="2" t="s">
        <v>3391</v>
      </c>
      <c r="M439" s="2" t="s">
        <v>9</v>
      </c>
      <c r="N439" s="3">
        <v>227</v>
      </c>
      <c r="O439" s="2" t="s">
        <v>104</v>
      </c>
      <c r="P439" s="2" t="s">
        <v>283</v>
      </c>
      <c r="Q439" s="3"/>
      <c r="R439" s="3"/>
      <c r="S439" s="2" t="s">
        <v>21</v>
      </c>
      <c r="T439" s="4">
        <v>44955</v>
      </c>
      <c r="U439" s="2" t="s">
        <v>284</v>
      </c>
      <c r="V439" s="6">
        <f>(Real_Sales[[#This Row],[Price_retail]]-Real_Sales[[#This Row],[Price_current]])/Real_Sales[[#This Row],[Price_retail]]</f>
        <v>0</v>
      </c>
      <c r="W439" s="3" t="str" cm="1">
        <f t="array" ref="W4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39" s="2" t="str">
        <f>IF(Real_Sales[[#This Row],[Price_retail]]&gt;$AC$3,"Premium","Average")</f>
        <v>Average</v>
      </c>
      <c r="Y439" s="2" t="str">
        <f>IF(ISNUMBER(SEARCH("Basic",Real_Sales[[#This Row],[Product_name]])),"Yes","No")</f>
        <v>No</v>
      </c>
      <c r="Z439" s="2" cm="1">
        <f t="array" ref="Z439">_xlfn.IFS(Real_Sales[[#This Row],[Price_retail]]&lt;=15,1, Real_Sales[[#This Row],[Price_retail]]&lt;=30,2, Real_Sales[[#This Row],[Price_retail]]&lt;=50,3,Real_Sales[[#This Row],[Price_retail]]&gt;50,4)</f>
        <v>1</v>
      </c>
    </row>
    <row r="440" spans="1:26" x14ac:dyDescent="0.35">
      <c r="A440" s="2" t="s">
        <v>2270</v>
      </c>
      <c r="B440" s="2" t="s">
        <v>2271</v>
      </c>
      <c r="C440" s="2" t="s">
        <v>242</v>
      </c>
      <c r="D440" s="2" t="s">
        <v>2272</v>
      </c>
      <c r="E440" s="2" t="s">
        <v>4</v>
      </c>
      <c r="F440" s="2" t="s">
        <v>5</v>
      </c>
      <c r="G440" s="2" t="s">
        <v>6</v>
      </c>
      <c r="H440" s="2" t="s">
        <v>68</v>
      </c>
      <c r="I440" s="2" t="s">
        <v>3395</v>
      </c>
      <c r="J440" s="3">
        <v>15.01</v>
      </c>
      <c r="K440" s="3">
        <v>6.81</v>
      </c>
      <c r="L440" s="2" t="s">
        <v>8</v>
      </c>
      <c r="M440" s="2" t="s">
        <v>9</v>
      </c>
      <c r="N440" s="3">
        <v>204</v>
      </c>
      <c r="O440" s="2" t="s">
        <v>359</v>
      </c>
      <c r="P440" s="2" t="s">
        <v>37</v>
      </c>
      <c r="Q440" s="3"/>
      <c r="R440" s="3"/>
      <c r="S440" s="2" t="s">
        <v>21</v>
      </c>
      <c r="T440" s="4">
        <v>44955</v>
      </c>
      <c r="U440" s="2" t="s">
        <v>2273</v>
      </c>
      <c r="V440" s="6">
        <f>(Real_Sales[[#This Row],[Price_retail]]-Real_Sales[[#This Row],[Price_current]])/Real_Sales[[#This Row],[Price_retail]]</f>
        <v>0.5463024650233177</v>
      </c>
      <c r="W440" s="3" t="str" cm="1">
        <f t="array" ref="W440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40" s="2" t="str">
        <f>IF(Real_Sales[[#This Row],[Price_retail]]&gt;$AC$3,"Premium","Average")</f>
        <v>Average</v>
      </c>
      <c r="Y440" s="2" t="str">
        <f>IF(ISNUMBER(SEARCH("Basic",Real_Sales[[#This Row],[Product_name]])),"Yes","No")</f>
        <v>No</v>
      </c>
      <c r="Z440" s="2" cm="1">
        <f t="array" ref="Z440">_xlfn.IFS(Real_Sales[[#This Row],[Price_retail]]&lt;=15,1, Real_Sales[[#This Row],[Price_retail]]&lt;=30,2, Real_Sales[[#This Row],[Price_retail]]&lt;=50,3,Real_Sales[[#This Row],[Price_retail]]&gt;50,4)</f>
        <v>2</v>
      </c>
    </row>
    <row r="441" spans="1:26" x14ac:dyDescent="0.35">
      <c r="A441" s="2" t="s">
        <v>72</v>
      </c>
      <c r="B441" s="2" t="s">
        <v>73</v>
      </c>
      <c r="C441" s="2" t="s">
        <v>3394</v>
      </c>
      <c r="D441" s="2" t="s">
        <v>74</v>
      </c>
      <c r="E441" s="2" t="s">
        <v>4</v>
      </c>
      <c r="F441" s="2" t="s">
        <v>17</v>
      </c>
      <c r="G441" s="2" t="s">
        <v>27</v>
      </c>
      <c r="H441" s="2" t="s">
        <v>35</v>
      </c>
      <c r="I441" s="2" t="s">
        <v>3390</v>
      </c>
      <c r="J441" s="3">
        <v>15.06</v>
      </c>
      <c r="K441" s="3">
        <v>6.31</v>
      </c>
      <c r="L441" s="2" t="s">
        <v>8</v>
      </c>
      <c r="M441" s="2" t="s">
        <v>9</v>
      </c>
      <c r="N441" s="3">
        <v>557</v>
      </c>
      <c r="O441" s="2" t="s">
        <v>75</v>
      </c>
      <c r="P441" s="2" t="s">
        <v>76</v>
      </c>
      <c r="Q441" s="3"/>
      <c r="R441" s="3"/>
      <c r="S441" s="2" t="s">
        <v>12</v>
      </c>
      <c r="T441" s="4">
        <v>44955</v>
      </c>
      <c r="U441" s="2" t="s">
        <v>77</v>
      </c>
      <c r="V441" s="6">
        <f>(Real_Sales[[#This Row],[Price_retail]]-Real_Sales[[#This Row],[Price_current]])/Real_Sales[[#This Row],[Price_retail]]</f>
        <v>0.58100929614873831</v>
      </c>
      <c r="W441" s="3" t="str" cm="1">
        <f t="array" ref="W441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41" s="2" t="str">
        <f>IF(Real_Sales[[#This Row],[Price_retail]]&gt;$AC$3,"Premium","Average")</f>
        <v>Average</v>
      </c>
      <c r="Y441" s="2" t="str">
        <f>IF(ISNUMBER(SEARCH("Basic",Real_Sales[[#This Row],[Product_name]])),"Yes","No")</f>
        <v>No</v>
      </c>
      <c r="Z441" s="2" cm="1">
        <f t="array" ref="Z441">_xlfn.IFS(Real_Sales[[#This Row],[Price_retail]]&lt;=15,1, Real_Sales[[#This Row],[Price_retail]]&lt;=30,2, Real_Sales[[#This Row],[Price_retail]]&lt;=50,3,Real_Sales[[#This Row],[Price_retail]]&gt;50,4)</f>
        <v>2</v>
      </c>
    </row>
    <row r="442" spans="1:26" x14ac:dyDescent="0.35">
      <c r="A442" s="2" t="s">
        <v>2153</v>
      </c>
      <c r="B442" s="2" t="s">
        <v>2154</v>
      </c>
      <c r="C442" s="2" t="s">
        <v>1743</v>
      </c>
      <c r="D442" s="2" t="s">
        <v>58</v>
      </c>
      <c r="E442" s="2" t="s">
        <v>4</v>
      </c>
      <c r="F442" s="2" t="s">
        <v>17</v>
      </c>
      <c r="G442" s="2" t="s">
        <v>67</v>
      </c>
      <c r="H442" s="2" t="s">
        <v>59</v>
      </c>
      <c r="I442" s="2" t="s">
        <v>3393</v>
      </c>
      <c r="J442" s="3">
        <v>15.06</v>
      </c>
      <c r="K442" s="3">
        <v>11.35</v>
      </c>
      <c r="L442" s="2" t="s">
        <v>8</v>
      </c>
      <c r="M442" s="2" t="s">
        <v>9</v>
      </c>
      <c r="N442" s="3">
        <v>413</v>
      </c>
      <c r="O442" s="2" t="s">
        <v>60</v>
      </c>
      <c r="P442" s="2" t="s">
        <v>44</v>
      </c>
      <c r="Q442" s="3"/>
      <c r="R442" s="3"/>
      <c r="S442" s="2" t="s">
        <v>21</v>
      </c>
      <c r="T442" s="4">
        <v>44955</v>
      </c>
      <c r="U442" s="2" t="s">
        <v>2155</v>
      </c>
      <c r="V442" s="6">
        <f>(Real_Sales[[#This Row],[Price_retail]]-Real_Sales[[#This Row],[Price_current]])/Real_Sales[[#This Row],[Price_retail]]</f>
        <v>0.24634794156706513</v>
      </c>
      <c r="W442" s="3" t="str" cm="1">
        <f t="array" ref="W44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2" s="2" t="str">
        <f>IF(Real_Sales[[#This Row],[Price_retail]]&gt;$AC$3,"Premium","Average")</f>
        <v>Average</v>
      </c>
      <c r="Y442" s="2" t="str">
        <f>IF(ISNUMBER(SEARCH("Basic",Real_Sales[[#This Row],[Product_name]])),"Yes","No")</f>
        <v>No</v>
      </c>
      <c r="Z442" s="2" cm="1">
        <f t="array" ref="Z442">_xlfn.IFS(Real_Sales[[#This Row],[Price_retail]]&lt;=15,1, Real_Sales[[#This Row],[Price_retail]]&lt;=30,2, Real_Sales[[#This Row],[Price_retail]]&lt;=50,3,Real_Sales[[#This Row],[Price_retail]]&gt;50,4)</f>
        <v>2</v>
      </c>
    </row>
    <row r="443" spans="1:26" x14ac:dyDescent="0.35">
      <c r="A443" s="2" t="s">
        <v>3356</v>
      </c>
      <c r="B443" s="2" t="s">
        <v>3357</v>
      </c>
      <c r="C443" s="2" t="s">
        <v>3410</v>
      </c>
      <c r="D443" s="2" t="s">
        <v>314</v>
      </c>
      <c r="E443" s="2" t="s">
        <v>4</v>
      </c>
      <c r="F443" s="2" t="s">
        <v>17</v>
      </c>
      <c r="G443" s="2" t="s">
        <v>18</v>
      </c>
      <c r="H443" s="2" t="s">
        <v>59</v>
      </c>
      <c r="I443" s="2" t="s">
        <v>3390</v>
      </c>
      <c r="J443" s="3">
        <v>15.07</v>
      </c>
      <c r="K443" s="3">
        <v>9.9</v>
      </c>
      <c r="L443" s="2" t="s">
        <v>8</v>
      </c>
      <c r="M443" s="2" t="s">
        <v>9</v>
      </c>
      <c r="N443" s="3">
        <v>938</v>
      </c>
      <c r="O443" s="2" t="s">
        <v>98</v>
      </c>
      <c r="P443" s="2" t="s">
        <v>3392</v>
      </c>
      <c r="Q443" s="3"/>
      <c r="R443" s="3"/>
      <c r="S443" s="2" t="s">
        <v>21</v>
      </c>
      <c r="T443" s="4">
        <v>44955</v>
      </c>
      <c r="U443" s="2" t="s">
        <v>3358</v>
      </c>
      <c r="V443" s="6">
        <f>(Real_Sales[[#This Row],[Price_retail]]-Real_Sales[[#This Row],[Price_current]])/Real_Sales[[#This Row],[Price_retail]]</f>
        <v>0.3430656934306569</v>
      </c>
      <c r="W443" s="3" t="str" cm="1">
        <f t="array" ref="W44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3" s="2" t="str">
        <f>IF(Real_Sales[[#This Row],[Price_retail]]&gt;$AC$3,"Premium","Average")</f>
        <v>Average</v>
      </c>
      <c r="Y443" s="2" t="str">
        <f>IF(ISNUMBER(SEARCH("Basic",Real_Sales[[#This Row],[Product_name]])),"Yes","No")</f>
        <v>No</v>
      </c>
      <c r="Z443" s="2" cm="1">
        <f t="array" ref="Z443">_xlfn.IFS(Real_Sales[[#This Row],[Price_retail]]&lt;=15,1, Real_Sales[[#This Row],[Price_retail]]&lt;=30,2, Real_Sales[[#This Row],[Price_retail]]&lt;=50,3,Real_Sales[[#This Row],[Price_retail]]&gt;50,4)</f>
        <v>2</v>
      </c>
    </row>
    <row r="444" spans="1:26" x14ac:dyDescent="0.35">
      <c r="A444" s="2" t="s">
        <v>2889</v>
      </c>
      <c r="B444" s="2" t="s">
        <v>2890</v>
      </c>
      <c r="C444" s="2" t="s">
        <v>3394</v>
      </c>
      <c r="D444" s="2" t="s">
        <v>319</v>
      </c>
      <c r="E444" s="2" t="s">
        <v>4</v>
      </c>
      <c r="F444" s="2" t="s">
        <v>5</v>
      </c>
      <c r="G444" s="2" t="s">
        <v>121</v>
      </c>
      <c r="H444" s="2" t="s">
        <v>90</v>
      </c>
      <c r="I444" s="2" t="s">
        <v>3390</v>
      </c>
      <c r="J444" s="3">
        <v>15.08</v>
      </c>
      <c r="K444" s="3">
        <v>8.1199999999999992</v>
      </c>
      <c r="L444" s="2" t="s">
        <v>8</v>
      </c>
      <c r="M444" s="2" t="s">
        <v>9</v>
      </c>
      <c r="N444" s="3">
        <v>85</v>
      </c>
      <c r="O444" s="2" t="s">
        <v>36</v>
      </c>
      <c r="P444" s="2" t="s">
        <v>37</v>
      </c>
      <c r="Q444" s="3"/>
      <c r="R444" s="3"/>
      <c r="S444" s="2" t="s">
        <v>21</v>
      </c>
      <c r="T444" s="4">
        <v>44955</v>
      </c>
      <c r="U444" s="2" t="s">
        <v>2891</v>
      </c>
      <c r="V444" s="6">
        <f>(Real_Sales[[#This Row],[Price_retail]]-Real_Sales[[#This Row],[Price_current]])/Real_Sales[[#This Row],[Price_retail]]</f>
        <v>0.46153846153846162</v>
      </c>
      <c r="W444" s="3" t="str" cm="1">
        <f t="array" ref="W44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4" s="2" t="str">
        <f>IF(Real_Sales[[#This Row],[Price_retail]]&gt;$AC$3,"Premium","Average")</f>
        <v>Average</v>
      </c>
      <c r="Y444" s="2" t="str">
        <f>IF(ISNUMBER(SEARCH("Basic",Real_Sales[[#This Row],[Product_name]])),"Yes","No")</f>
        <v>No</v>
      </c>
      <c r="Z444" s="2" cm="1">
        <f t="array" ref="Z444">_xlfn.IFS(Real_Sales[[#This Row],[Price_retail]]&lt;=15,1, Real_Sales[[#This Row],[Price_retail]]&lt;=30,2, Real_Sales[[#This Row],[Price_retail]]&lt;=50,3,Real_Sales[[#This Row],[Price_retail]]&gt;50,4)</f>
        <v>2</v>
      </c>
    </row>
    <row r="445" spans="1:26" x14ac:dyDescent="0.35">
      <c r="A445" s="2" t="s">
        <v>2480</v>
      </c>
      <c r="B445" s="2" t="s">
        <v>2481</v>
      </c>
      <c r="C445" s="2" t="s">
        <v>565</v>
      </c>
      <c r="D445" s="2" t="s">
        <v>404</v>
      </c>
      <c r="E445" s="2" t="s">
        <v>4</v>
      </c>
      <c r="F445" s="2" t="s">
        <v>5</v>
      </c>
      <c r="G445" s="2" t="s">
        <v>6</v>
      </c>
      <c r="H445" s="2" t="s">
        <v>59</v>
      </c>
      <c r="I445" s="2" t="s">
        <v>3395</v>
      </c>
      <c r="J445" s="3">
        <v>15.08</v>
      </c>
      <c r="K445" s="3">
        <v>9.36</v>
      </c>
      <c r="L445" s="2" t="s">
        <v>8</v>
      </c>
      <c r="M445" s="2" t="s">
        <v>9</v>
      </c>
      <c r="N445" s="3">
        <v>376</v>
      </c>
      <c r="O445" s="2" t="s">
        <v>91</v>
      </c>
      <c r="P445" s="2" t="s">
        <v>76</v>
      </c>
      <c r="Q445" s="3"/>
      <c r="R445" s="3"/>
      <c r="S445" s="2" t="s">
        <v>21</v>
      </c>
      <c r="T445" s="4">
        <v>44955</v>
      </c>
      <c r="U445" s="2" t="s">
        <v>2482</v>
      </c>
      <c r="V445" s="6">
        <f>(Real_Sales[[#This Row],[Price_retail]]-Real_Sales[[#This Row],[Price_current]])/Real_Sales[[#This Row],[Price_retail]]</f>
        <v>0.37931034482758624</v>
      </c>
      <c r="W445" s="3" t="str" cm="1">
        <f t="array" ref="W44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5" s="2" t="str">
        <f>IF(Real_Sales[[#This Row],[Price_retail]]&gt;$AC$3,"Premium","Average")</f>
        <v>Average</v>
      </c>
      <c r="Y445" s="2" t="str">
        <f>IF(ISNUMBER(SEARCH("Basic",Real_Sales[[#This Row],[Product_name]])),"Yes","No")</f>
        <v>No</v>
      </c>
      <c r="Z445" s="2" cm="1">
        <f t="array" ref="Z445">_xlfn.IFS(Real_Sales[[#This Row],[Price_retail]]&lt;=15,1, Real_Sales[[#This Row],[Price_retail]]&lt;=30,2, Real_Sales[[#This Row],[Price_retail]]&lt;=50,3,Real_Sales[[#This Row],[Price_retail]]&gt;50,4)</f>
        <v>2</v>
      </c>
    </row>
    <row r="446" spans="1:26" x14ac:dyDescent="0.35">
      <c r="A446" s="2" t="s">
        <v>2804</v>
      </c>
      <c r="B446" s="2" t="s">
        <v>2805</v>
      </c>
      <c r="C446" s="2" t="s">
        <v>41</v>
      </c>
      <c r="D446" s="2" t="s">
        <v>660</v>
      </c>
      <c r="E446" s="2" t="s">
        <v>4</v>
      </c>
      <c r="F446" s="2" t="s">
        <v>5</v>
      </c>
      <c r="G446" s="2" t="s">
        <v>121</v>
      </c>
      <c r="H446" s="2" t="s">
        <v>237</v>
      </c>
      <c r="I446" s="2" t="s">
        <v>3390</v>
      </c>
      <c r="J446" s="3">
        <v>15.11</v>
      </c>
      <c r="K446" s="3">
        <v>15.11</v>
      </c>
      <c r="L446" s="2" t="s">
        <v>3391</v>
      </c>
      <c r="M446" s="2" t="s">
        <v>9</v>
      </c>
      <c r="N446" s="3">
        <v>551</v>
      </c>
      <c r="O446" s="2" t="s">
        <v>191</v>
      </c>
      <c r="P446" s="2" t="s">
        <v>2806</v>
      </c>
      <c r="Q446" s="3"/>
      <c r="R446" s="3"/>
      <c r="S446" s="2" t="s">
        <v>21</v>
      </c>
      <c r="T446" s="4">
        <v>44955</v>
      </c>
      <c r="U446" s="2" t="s">
        <v>2807</v>
      </c>
      <c r="V446" s="6">
        <f>(Real_Sales[[#This Row],[Price_retail]]-Real_Sales[[#This Row],[Price_current]])/Real_Sales[[#This Row],[Price_retail]]</f>
        <v>0</v>
      </c>
      <c r="W446" s="3" t="str" cm="1">
        <f t="array" ref="W4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46" s="2" t="str">
        <f>IF(Real_Sales[[#This Row],[Price_retail]]&gt;$AC$3,"Premium","Average")</f>
        <v>Average</v>
      </c>
      <c r="Y446" s="2" t="str">
        <f>IF(ISNUMBER(SEARCH("Basic",Real_Sales[[#This Row],[Product_name]])),"Yes","No")</f>
        <v>No</v>
      </c>
      <c r="Z446" s="2" cm="1">
        <f t="array" ref="Z446">_xlfn.IFS(Real_Sales[[#This Row],[Price_retail]]&lt;=15,1, Real_Sales[[#This Row],[Price_retail]]&lt;=30,2, Real_Sales[[#This Row],[Price_retail]]&lt;=50,3,Real_Sales[[#This Row],[Price_retail]]&gt;50,4)</f>
        <v>2</v>
      </c>
    </row>
    <row r="447" spans="1:26" x14ac:dyDescent="0.35">
      <c r="A447" s="2" t="s">
        <v>2468</v>
      </c>
      <c r="B447" s="2" t="s">
        <v>2469</v>
      </c>
      <c r="C447" s="2" t="s">
        <v>886</v>
      </c>
      <c r="D447" s="2" t="s">
        <v>442</v>
      </c>
      <c r="E447" s="2" t="s">
        <v>4</v>
      </c>
      <c r="F447" s="2" t="s">
        <v>5</v>
      </c>
      <c r="G447" s="2" t="s">
        <v>121</v>
      </c>
      <c r="H447" s="2" t="s">
        <v>59</v>
      </c>
      <c r="I447" s="2" t="s">
        <v>3390</v>
      </c>
      <c r="J447" s="3">
        <v>15.19</v>
      </c>
      <c r="K447" s="3">
        <v>10.029999999999999</v>
      </c>
      <c r="L447" s="2" t="s">
        <v>8</v>
      </c>
      <c r="M447" s="2" t="s">
        <v>9</v>
      </c>
      <c r="N447" s="3">
        <v>820</v>
      </c>
      <c r="O447" s="2" t="s">
        <v>267</v>
      </c>
      <c r="P447" s="2" t="s">
        <v>70</v>
      </c>
      <c r="Q447" s="3"/>
      <c r="R447" s="3"/>
      <c r="S447" s="2" t="s">
        <v>12</v>
      </c>
      <c r="T447" s="4">
        <v>44955</v>
      </c>
      <c r="U447" s="2" t="s">
        <v>2470</v>
      </c>
      <c r="V447" s="6">
        <f>(Real_Sales[[#This Row],[Price_retail]]-Real_Sales[[#This Row],[Price_current]])/Real_Sales[[#This Row],[Price_retail]]</f>
        <v>0.33969716919025678</v>
      </c>
      <c r="W447" s="3" t="str" cm="1">
        <f t="array" ref="W44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7" s="2" t="str">
        <f>IF(Real_Sales[[#This Row],[Price_retail]]&gt;$AC$3,"Premium","Average")</f>
        <v>Average</v>
      </c>
      <c r="Y447" s="2" t="str">
        <f>IF(ISNUMBER(SEARCH("Basic",Real_Sales[[#This Row],[Product_name]])),"Yes","No")</f>
        <v>Yes</v>
      </c>
      <c r="Z447" s="2" cm="1">
        <f t="array" ref="Z447">_xlfn.IFS(Real_Sales[[#This Row],[Price_retail]]&lt;=15,1, Real_Sales[[#This Row],[Price_retail]]&lt;=30,2, Real_Sales[[#This Row],[Price_retail]]&lt;=50,3,Real_Sales[[#This Row],[Price_retail]]&gt;50,4)</f>
        <v>2</v>
      </c>
    </row>
    <row r="448" spans="1:26" x14ac:dyDescent="0.35">
      <c r="A448" s="2" t="s">
        <v>1512</v>
      </c>
      <c r="B448" s="2" t="s">
        <v>1513</v>
      </c>
      <c r="C448" s="2" t="s">
        <v>41</v>
      </c>
      <c r="D448" s="2" t="s">
        <v>247</v>
      </c>
      <c r="E448" s="2" t="s">
        <v>4</v>
      </c>
      <c r="F448" s="2" t="s">
        <v>17</v>
      </c>
      <c r="G448" s="2" t="s">
        <v>18</v>
      </c>
      <c r="H448" s="2" t="s">
        <v>68</v>
      </c>
      <c r="I448" s="2" t="s">
        <v>3393</v>
      </c>
      <c r="J448" s="3">
        <v>15.2</v>
      </c>
      <c r="K448" s="3">
        <v>9.65</v>
      </c>
      <c r="L448" s="2" t="s">
        <v>8</v>
      </c>
      <c r="M448" s="2" t="s">
        <v>9</v>
      </c>
      <c r="N448" s="3">
        <v>690</v>
      </c>
      <c r="O448" s="2" t="s">
        <v>287</v>
      </c>
      <c r="P448" s="2" t="s">
        <v>53</v>
      </c>
      <c r="Q448" s="3"/>
      <c r="R448" s="3"/>
      <c r="S448" s="2" t="s">
        <v>21</v>
      </c>
      <c r="T448" s="4">
        <v>44955</v>
      </c>
      <c r="U448" s="2" t="s">
        <v>1514</v>
      </c>
      <c r="V448" s="6">
        <f>(Real_Sales[[#This Row],[Price_retail]]-Real_Sales[[#This Row],[Price_current]])/Real_Sales[[#This Row],[Price_retail]]</f>
        <v>0.36513157894736836</v>
      </c>
      <c r="W448" s="3" t="str" cm="1">
        <f t="array" ref="W44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48" s="2" t="str">
        <f>IF(Real_Sales[[#This Row],[Price_retail]]&gt;$AC$3,"Premium","Average")</f>
        <v>Average</v>
      </c>
      <c r="Y448" s="2" t="str">
        <f>IF(ISNUMBER(SEARCH("Basic",Real_Sales[[#This Row],[Product_name]])),"Yes","No")</f>
        <v>No</v>
      </c>
      <c r="Z448" s="2" cm="1">
        <f t="array" ref="Z448">_xlfn.IFS(Real_Sales[[#This Row],[Price_retail]]&lt;=15,1, Real_Sales[[#This Row],[Price_retail]]&lt;=30,2, Real_Sales[[#This Row],[Price_retail]]&lt;=50,3,Real_Sales[[#This Row],[Price_retail]]&gt;50,4)</f>
        <v>2</v>
      </c>
    </row>
    <row r="449" spans="1:26" x14ac:dyDescent="0.35">
      <c r="A449" s="2" t="s">
        <v>211</v>
      </c>
      <c r="B449" s="2" t="s">
        <v>212</v>
      </c>
      <c r="C449" s="2" t="s">
        <v>213</v>
      </c>
      <c r="D449" s="2" t="s">
        <v>214</v>
      </c>
      <c r="E449" s="2" t="s">
        <v>4</v>
      </c>
      <c r="F449" s="2" t="s">
        <v>5</v>
      </c>
      <c r="G449" s="2" t="s">
        <v>121</v>
      </c>
      <c r="H449" s="2" t="s">
        <v>139</v>
      </c>
      <c r="I449" s="2" t="s">
        <v>3395</v>
      </c>
      <c r="J449" s="3">
        <v>15.22</v>
      </c>
      <c r="K449" s="3">
        <v>7.41</v>
      </c>
      <c r="L449" s="2" t="s">
        <v>8</v>
      </c>
      <c r="M449" s="2" t="s">
        <v>9</v>
      </c>
      <c r="N449" s="3">
        <v>53</v>
      </c>
      <c r="O449" s="2" t="s">
        <v>3392</v>
      </c>
      <c r="P449" s="2" t="s">
        <v>215</v>
      </c>
      <c r="Q449" s="3"/>
      <c r="R449" s="3"/>
      <c r="S449" s="2" t="s">
        <v>21</v>
      </c>
      <c r="T449" s="4">
        <v>44955</v>
      </c>
      <c r="U449" s="2" t="s">
        <v>216</v>
      </c>
      <c r="V449" s="6">
        <f>(Real_Sales[[#This Row],[Price_retail]]-Real_Sales[[#This Row],[Price_current]])/Real_Sales[[#This Row],[Price_retail]]</f>
        <v>0.51314060446780552</v>
      </c>
      <c r="W449" s="3" t="str" cm="1">
        <f t="array" ref="W449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49" s="2" t="str">
        <f>IF(Real_Sales[[#This Row],[Price_retail]]&gt;$AC$3,"Premium","Average")</f>
        <v>Average</v>
      </c>
      <c r="Y449" s="2" t="str">
        <f>IF(ISNUMBER(SEARCH("Basic",Real_Sales[[#This Row],[Product_name]])),"Yes","No")</f>
        <v>No</v>
      </c>
      <c r="Z449" s="2" cm="1">
        <f t="array" ref="Z449">_xlfn.IFS(Real_Sales[[#This Row],[Price_retail]]&lt;=15,1, Real_Sales[[#This Row],[Price_retail]]&lt;=30,2, Real_Sales[[#This Row],[Price_retail]]&lt;=50,3,Real_Sales[[#This Row],[Price_retail]]&gt;50,4)</f>
        <v>2</v>
      </c>
    </row>
    <row r="450" spans="1:26" x14ac:dyDescent="0.35">
      <c r="A450" s="2" t="s">
        <v>421</v>
      </c>
      <c r="B450" s="2" t="s">
        <v>422</v>
      </c>
      <c r="C450" s="2" t="s">
        <v>423</v>
      </c>
      <c r="D450" s="2" t="s">
        <v>424</v>
      </c>
      <c r="E450" s="2" t="s">
        <v>4</v>
      </c>
      <c r="F450" s="2" t="s">
        <v>5</v>
      </c>
      <c r="G450" s="2" t="s">
        <v>6</v>
      </c>
      <c r="H450" s="2" t="s">
        <v>59</v>
      </c>
      <c r="I450" s="2" t="s">
        <v>3393</v>
      </c>
      <c r="J450" s="3">
        <v>15.22</v>
      </c>
      <c r="K450" s="3">
        <v>15.22</v>
      </c>
      <c r="L450" s="2" t="s">
        <v>3391</v>
      </c>
      <c r="M450" s="2" t="s">
        <v>9</v>
      </c>
      <c r="N450" s="3">
        <v>288</v>
      </c>
      <c r="O450" s="2" t="s">
        <v>302</v>
      </c>
      <c r="P450" s="2" t="s">
        <v>37</v>
      </c>
      <c r="Q450" s="3"/>
      <c r="R450" s="3"/>
      <c r="S450" s="2" t="s">
        <v>21</v>
      </c>
      <c r="T450" s="4">
        <v>44955</v>
      </c>
      <c r="U450" s="2" t="s">
        <v>425</v>
      </c>
      <c r="V450" s="6">
        <f>(Real_Sales[[#This Row],[Price_retail]]-Real_Sales[[#This Row],[Price_current]])/Real_Sales[[#This Row],[Price_retail]]</f>
        <v>0</v>
      </c>
      <c r="W450" s="3" t="str" cm="1">
        <f t="array" ref="W45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0" s="2" t="str">
        <f>IF(Real_Sales[[#This Row],[Price_retail]]&gt;$AC$3,"Premium","Average")</f>
        <v>Average</v>
      </c>
      <c r="Y450" s="2" t="str">
        <f>IF(ISNUMBER(SEARCH("Basic",Real_Sales[[#This Row],[Product_name]])),"Yes","No")</f>
        <v>No</v>
      </c>
      <c r="Z450" s="2" cm="1">
        <f t="array" ref="Z450">_xlfn.IFS(Real_Sales[[#This Row],[Price_retail]]&lt;=15,1, Real_Sales[[#This Row],[Price_retail]]&lt;=30,2, Real_Sales[[#This Row],[Price_retail]]&lt;=50,3,Real_Sales[[#This Row],[Price_retail]]&gt;50,4)</f>
        <v>2</v>
      </c>
    </row>
    <row r="451" spans="1:26" x14ac:dyDescent="0.35">
      <c r="A451" s="2" t="s">
        <v>781</v>
      </c>
      <c r="B451" s="2" t="s">
        <v>782</v>
      </c>
      <c r="C451" s="2" t="s">
        <v>126</v>
      </c>
      <c r="D451" s="2" t="s">
        <v>120</v>
      </c>
      <c r="E451" s="2" t="s">
        <v>4</v>
      </c>
      <c r="F451" s="2" t="s">
        <v>5</v>
      </c>
      <c r="G451" s="2" t="s">
        <v>121</v>
      </c>
      <c r="H451" s="2" t="s">
        <v>35</v>
      </c>
      <c r="I451" s="2" t="s">
        <v>3390</v>
      </c>
      <c r="J451" s="3">
        <v>15.29</v>
      </c>
      <c r="K451" s="3">
        <v>15.29</v>
      </c>
      <c r="L451" s="2" t="s">
        <v>3391</v>
      </c>
      <c r="M451" s="2" t="s">
        <v>9</v>
      </c>
      <c r="N451" s="3">
        <v>510</v>
      </c>
      <c r="O451" s="2" t="s">
        <v>98</v>
      </c>
      <c r="P451" s="2" t="s">
        <v>177</v>
      </c>
      <c r="Q451" s="3"/>
      <c r="R451" s="3"/>
      <c r="S451" s="2" t="s">
        <v>21</v>
      </c>
      <c r="T451" s="4">
        <v>44955</v>
      </c>
      <c r="U451" s="2" t="s">
        <v>783</v>
      </c>
      <c r="V451" s="6">
        <f>(Real_Sales[[#This Row],[Price_retail]]-Real_Sales[[#This Row],[Price_current]])/Real_Sales[[#This Row],[Price_retail]]</f>
        <v>0</v>
      </c>
      <c r="W451" s="3" t="str" cm="1">
        <f t="array" ref="W45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1" s="2" t="str">
        <f>IF(Real_Sales[[#This Row],[Price_retail]]&gt;$AC$3,"Premium","Average")</f>
        <v>Average</v>
      </c>
      <c r="Y451" s="2" t="str">
        <f>IF(ISNUMBER(SEARCH("Basic",Real_Sales[[#This Row],[Product_name]])),"Yes","No")</f>
        <v>No</v>
      </c>
      <c r="Z451" s="2" cm="1">
        <f t="array" ref="Z451">_xlfn.IFS(Real_Sales[[#This Row],[Price_retail]]&lt;=15,1, Real_Sales[[#This Row],[Price_retail]]&lt;=30,2, Real_Sales[[#This Row],[Price_retail]]&lt;=50,3,Real_Sales[[#This Row],[Price_retail]]&gt;50,4)</f>
        <v>2</v>
      </c>
    </row>
    <row r="452" spans="1:26" x14ac:dyDescent="0.35">
      <c r="A452" s="2" t="s">
        <v>866</v>
      </c>
      <c r="B452" s="2" t="s">
        <v>867</v>
      </c>
      <c r="C452" s="2" t="s">
        <v>3394</v>
      </c>
      <c r="D452" s="2" t="s">
        <v>236</v>
      </c>
      <c r="E452" s="2" t="s">
        <v>4</v>
      </c>
      <c r="F452" s="2" t="s">
        <v>17</v>
      </c>
      <c r="G452" s="2" t="s">
        <v>18</v>
      </c>
      <c r="H452" s="2" t="s">
        <v>237</v>
      </c>
      <c r="I452" s="2" t="s">
        <v>3390</v>
      </c>
      <c r="J452" s="3">
        <v>15.29</v>
      </c>
      <c r="K452" s="3">
        <v>15.29</v>
      </c>
      <c r="L452" s="2" t="s">
        <v>3391</v>
      </c>
      <c r="M452" s="2" t="s">
        <v>9</v>
      </c>
      <c r="N452" s="3">
        <v>467</v>
      </c>
      <c r="O452" s="2" t="s">
        <v>302</v>
      </c>
      <c r="P452" s="2" t="s">
        <v>37</v>
      </c>
      <c r="Q452" s="3"/>
      <c r="R452" s="3"/>
      <c r="S452" s="2" t="s">
        <v>21</v>
      </c>
      <c r="T452" s="4">
        <v>44955</v>
      </c>
      <c r="U452" s="2" t="s">
        <v>868</v>
      </c>
      <c r="V452" s="6">
        <f>(Real_Sales[[#This Row],[Price_retail]]-Real_Sales[[#This Row],[Price_current]])/Real_Sales[[#This Row],[Price_retail]]</f>
        <v>0</v>
      </c>
      <c r="W452" s="3" t="str" cm="1">
        <f t="array" ref="W4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2" s="2" t="str">
        <f>IF(Real_Sales[[#This Row],[Price_retail]]&gt;$AC$3,"Premium","Average")</f>
        <v>Average</v>
      </c>
      <c r="Y452" s="2" t="str">
        <f>IF(ISNUMBER(SEARCH("Basic",Real_Sales[[#This Row],[Product_name]])),"Yes","No")</f>
        <v>No</v>
      </c>
      <c r="Z452" s="2" cm="1">
        <f t="array" ref="Z452">_xlfn.IFS(Real_Sales[[#This Row],[Price_retail]]&lt;=15,1, Real_Sales[[#This Row],[Price_retail]]&lt;=30,2, Real_Sales[[#This Row],[Price_retail]]&lt;=50,3,Real_Sales[[#This Row],[Price_retail]]&gt;50,4)</f>
        <v>2</v>
      </c>
    </row>
    <row r="453" spans="1:26" x14ac:dyDescent="0.35">
      <c r="A453" s="2" t="s">
        <v>3182</v>
      </c>
      <c r="B453" s="2" t="s">
        <v>3183</v>
      </c>
      <c r="C453" s="2" t="s">
        <v>412</v>
      </c>
      <c r="D453" s="2" t="s">
        <v>1050</v>
      </c>
      <c r="E453" s="2" t="s">
        <v>4</v>
      </c>
      <c r="F453" s="2" t="s">
        <v>5</v>
      </c>
      <c r="G453" s="2" t="s">
        <v>6</v>
      </c>
      <c r="H453" s="2" t="s">
        <v>68</v>
      </c>
      <c r="I453" s="2" t="s">
        <v>3393</v>
      </c>
      <c r="J453" s="3">
        <v>15.29</v>
      </c>
      <c r="K453" s="3">
        <v>15.29</v>
      </c>
      <c r="L453" s="2" t="s">
        <v>3391</v>
      </c>
      <c r="M453" s="2" t="s">
        <v>9</v>
      </c>
      <c r="N453" s="3">
        <v>769</v>
      </c>
      <c r="O453" s="2" t="s">
        <v>347</v>
      </c>
      <c r="P453" s="2" t="s">
        <v>3392</v>
      </c>
      <c r="Q453" s="3"/>
      <c r="R453" s="3"/>
      <c r="S453" s="2" t="s">
        <v>21</v>
      </c>
      <c r="T453" s="4">
        <v>44955</v>
      </c>
      <c r="U453" s="2" t="s">
        <v>3184</v>
      </c>
      <c r="V453" s="6">
        <f>(Real_Sales[[#This Row],[Price_retail]]-Real_Sales[[#This Row],[Price_current]])/Real_Sales[[#This Row],[Price_retail]]</f>
        <v>0</v>
      </c>
      <c r="W453" s="3" t="str" cm="1">
        <f t="array" ref="W45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3" s="2" t="str">
        <f>IF(Real_Sales[[#This Row],[Price_retail]]&gt;$AC$3,"Premium","Average")</f>
        <v>Average</v>
      </c>
      <c r="Y453" s="2" t="str">
        <f>IF(ISNUMBER(SEARCH("Basic",Real_Sales[[#This Row],[Product_name]])),"Yes","No")</f>
        <v>Yes</v>
      </c>
      <c r="Z453" s="2" cm="1">
        <f t="array" ref="Z453">_xlfn.IFS(Real_Sales[[#This Row],[Price_retail]]&lt;=15,1, Real_Sales[[#This Row],[Price_retail]]&lt;=30,2, Real_Sales[[#This Row],[Price_retail]]&lt;=50,3,Real_Sales[[#This Row],[Price_retail]]&gt;50,4)</f>
        <v>2</v>
      </c>
    </row>
    <row r="454" spans="1:26" x14ac:dyDescent="0.35">
      <c r="A454" s="2" t="s">
        <v>2584</v>
      </c>
      <c r="B454" s="2" t="s">
        <v>2585</v>
      </c>
      <c r="C454" s="2" t="s">
        <v>367</v>
      </c>
      <c r="D454" s="2" t="s">
        <v>16</v>
      </c>
      <c r="E454" s="2" t="s">
        <v>4</v>
      </c>
      <c r="F454" s="2" t="s">
        <v>17</v>
      </c>
      <c r="G454" s="2" t="s">
        <v>18</v>
      </c>
      <c r="H454" s="2" t="s">
        <v>19</v>
      </c>
      <c r="I454" s="2" t="s">
        <v>3390</v>
      </c>
      <c r="J454" s="3">
        <v>15.3</v>
      </c>
      <c r="K454" s="3">
        <v>9.7200000000000006</v>
      </c>
      <c r="L454" s="2" t="s">
        <v>8</v>
      </c>
      <c r="M454" s="2" t="s">
        <v>9</v>
      </c>
      <c r="N454" s="3">
        <v>128</v>
      </c>
      <c r="O454" s="2" t="s">
        <v>140</v>
      </c>
      <c r="P454" s="2" t="s">
        <v>128</v>
      </c>
      <c r="Q454" s="3"/>
      <c r="R454" s="3"/>
      <c r="S454" s="2" t="s">
        <v>21</v>
      </c>
      <c r="T454" s="4">
        <v>44955</v>
      </c>
      <c r="U454" s="2" t="s">
        <v>2586</v>
      </c>
      <c r="V454" s="6">
        <f>(Real_Sales[[#This Row],[Price_retail]]-Real_Sales[[#This Row],[Price_current]])/Real_Sales[[#This Row],[Price_retail]]</f>
        <v>0.36470588235294116</v>
      </c>
      <c r="W454" s="3" t="str" cm="1">
        <f t="array" ref="W45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54" s="2" t="str">
        <f>IF(Real_Sales[[#This Row],[Price_retail]]&gt;$AC$3,"Premium","Average")</f>
        <v>Average</v>
      </c>
      <c r="Y454" s="2" t="str">
        <f>IF(ISNUMBER(SEARCH("Basic",Real_Sales[[#This Row],[Product_name]])),"Yes","No")</f>
        <v>No</v>
      </c>
      <c r="Z454" s="2" cm="1">
        <f t="array" ref="Z454">_xlfn.IFS(Real_Sales[[#This Row],[Price_retail]]&lt;=15,1, Real_Sales[[#This Row],[Price_retail]]&lt;=30,2, Real_Sales[[#This Row],[Price_retail]]&lt;=50,3,Real_Sales[[#This Row],[Price_retail]]&gt;50,4)</f>
        <v>2</v>
      </c>
    </row>
    <row r="455" spans="1:26" x14ac:dyDescent="0.35">
      <c r="A455" s="2" t="s">
        <v>1026</v>
      </c>
      <c r="B455" s="2" t="s">
        <v>1027</v>
      </c>
      <c r="C455" s="2" t="s">
        <v>1028</v>
      </c>
      <c r="D455" s="2" t="s">
        <v>327</v>
      </c>
      <c r="E455" s="2" t="s">
        <v>4</v>
      </c>
      <c r="F455" s="2" t="s">
        <v>5</v>
      </c>
      <c r="G455" s="2" t="s">
        <v>121</v>
      </c>
      <c r="H455" s="2" t="s">
        <v>110</v>
      </c>
      <c r="I455" s="2" t="s">
        <v>3393</v>
      </c>
      <c r="J455" s="3">
        <v>15.3</v>
      </c>
      <c r="K455" s="3">
        <v>10.57</v>
      </c>
      <c r="L455" s="2" t="s">
        <v>8</v>
      </c>
      <c r="M455" s="2" t="s">
        <v>9</v>
      </c>
      <c r="N455" s="3">
        <v>90</v>
      </c>
      <c r="O455" s="2" t="s">
        <v>3392</v>
      </c>
      <c r="P455" s="2" t="s">
        <v>53</v>
      </c>
      <c r="Q455" s="3"/>
      <c r="R455" s="3"/>
      <c r="S455" s="2" t="s">
        <v>12</v>
      </c>
      <c r="T455" s="4">
        <v>44955</v>
      </c>
      <c r="U455" s="2" t="s">
        <v>1029</v>
      </c>
      <c r="V455" s="6">
        <f>(Real_Sales[[#This Row],[Price_retail]]-Real_Sales[[#This Row],[Price_current]])/Real_Sales[[#This Row],[Price_retail]]</f>
        <v>0.30915032679738563</v>
      </c>
      <c r="W455" s="3" t="str" cm="1">
        <f t="array" ref="W45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55" s="2" t="str">
        <f>IF(Real_Sales[[#This Row],[Price_retail]]&gt;$AC$3,"Premium","Average")</f>
        <v>Average</v>
      </c>
      <c r="Y455" s="2" t="str">
        <f>IF(ISNUMBER(SEARCH("Basic",Real_Sales[[#This Row],[Product_name]])),"Yes","No")</f>
        <v>No</v>
      </c>
      <c r="Z455" s="2" cm="1">
        <f t="array" ref="Z455">_xlfn.IFS(Real_Sales[[#This Row],[Price_retail]]&lt;=15,1, Real_Sales[[#This Row],[Price_retail]]&lt;=30,2, Real_Sales[[#This Row],[Price_retail]]&lt;=50,3,Real_Sales[[#This Row],[Price_retail]]&gt;50,4)</f>
        <v>2</v>
      </c>
    </row>
    <row r="456" spans="1:26" x14ac:dyDescent="0.35">
      <c r="A456" s="2" t="s">
        <v>3044</v>
      </c>
      <c r="B456" s="2" t="s">
        <v>3045</v>
      </c>
      <c r="C456" s="2" t="s">
        <v>102</v>
      </c>
      <c r="D456" s="2" t="s">
        <v>314</v>
      </c>
      <c r="E456" s="2" t="s">
        <v>4</v>
      </c>
      <c r="F456" s="2" t="s">
        <v>17</v>
      </c>
      <c r="G456" s="2" t="s">
        <v>67</v>
      </c>
      <c r="H456" s="2"/>
      <c r="I456" s="2" t="s">
        <v>3390</v>
      </c>
      <c r="J456" s="3">
        <v>15.33</v>
      </c>
      <c r="K456" s="3">
        <v>15.33</v>
      </c>
      <c r="L456" s="2" t="s">
        <v>3391</v>
      </c>
      <c r="M456" s="2" t="s">
        <v>9</v>
      </c>
      <c r="N456" s="3">
        <v>754</v>
      </c>
      <c r="O456" s="2" t="s">
        <v>3392</v>
      </c>
      <c r="P456" s="2" t="s">
        <v>186</v>
      </c>
      <c r="Q456" s="3"/>
      <c r="R456" s="3"/>
      <c r="S456" s="2" t="s">
        <v>21</v>
      </c>
      <c r="T456" s="4">
        <v>44955</v>
      </c>
      <c r="U456" s="2" t="s">
        <v>3046</v>
      </c>
      <c r="V456" s="6">
        <f>(Real_Sales[[#This Row],[Price_retail]]-Real_Sales[[#This Row],[Price_current]])/Real_Sales[[#This Row],[Price_retail]]</f>
        <v>0</v>
      </c>
      <c r="W456" s="3" t="str" cm="1">
        <f t="array" ref="W4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6" s="2" t="str">
        <f>IF(Real_Sales[[#This Row],[Price_retail]]&gt;$AC$3,"Premium","Average")</f>
        <v>Average</v>
      </c>
      <c r="Y456" s="2" t="str">
        <f>IF(ISNUMBER(SEARCH("Basic",Real_Sales[[#This Row],[Product_name]])),"Yes","No")</f>
        <v>No</v>
      </c>
      <c r="Z456" s="2" cm="1">
        <f t="array" ref="Z456">_xlfn.IFS(Real_Sales[[#This Row],[Price_retail]]&lt;=15,1, Real_Sales[[#This Row],[Price_retail]]&lt;=30,2, Real_Sales[[#This Row],[Price_retail]]&lt;=50,3,Real_Sales[[#This Row],[Price_retail]]&gt;50,4)</f>
        <v>2</v>
      </c>
    </row>
    <row r="457" spans="1:26" x14ac:dyDescent="0.35">
      <c r="A457" s="2" t="s">
        <v>1631</v>
      </c>
      <c r="B457" s="2" t="s">
        <v>1632</v>
      </c>
      <c r="C457" s="2" t="s">
        <v>1355</v>
      </c>
      <c r="D457" s="2" t="s">
        <v>1495</v>
      </c>
      <c r="E457" s="2" t="s">
        <v>4</v>
      </c>
      <c r="F457" s="2" t="s">
        <v>5</v>
      </c>
      <c r="G457" s="2" t="s">
        <v>6</v>
      </c>
      <c r="H457" s="2" t="s">
        <v>35</v>
      </c>
      <c r="I457" s="2" t="s">
        <v>3393</v>
      </c>
      <c r="J457" s="3">
        <v>15.35</v>
      </c>
      <c r="K457" s="3">
        <v>15.35</v>
      </c>
      <c r="L457" s="2" t="s">
        <v>3391</v>
      </c>
      <c r="M457" s="2" t="s">
        <v>9</v>
      </c>
      <c r="N457" s="3">
        <v>6</v>
      </c>
      <c r="O457" s="2" t="s">
        <v>29</v>
      </c>
      <c r="P457" s="2" t="s">
        <v>30</v>
      </c>
      <c r="Q457" s="3"/>
      <c r="R457" s="3"/>
      <c r="S457" s="2" t="s">
        <v>21</v>
      </c>
      <c r="T457" s="4">
        <v>44955</v>
      </c>
      <c r="U457" s="2" t="s">
        <v>1633</v>
      </c>
      <c r="V457" s="6">
        <f>(Real_Sales[[#This Row],[Price_retail]]-Real_Sales[[#This Row],[Price_current]])/Real_Sales[[#This Row],[Price_retail]]</f>
        <v>0</v>
      </c>
      <c r="W457" s="3" t="str" cm="1">
        <f t="array" ref="W45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7" s="2" t="str">
        <f>IF(Real_Sales[[#This Row],[Price_retail]]&gt;$AC$3,"Premium","Average")</f>
        <v>Average</v>
      </c>
      <c r="Y457" s="2" t="str">
        <f>IF(ISNUMBER(SEARCH("Basic",Real_Sales[[#This Row],[Product_name]])),"Yes","No")</f>
        <v>No</v>
      </c>
      <c r="Z457" s="2" cm="1">
        <f t="array" ref="Z457">_xlfn.IFS(Real_Sales[[#This Row],[Price_retail]]&lt;=15,1, Real_Sales[[#This Row],[Price_retail]]&lt;=30,2, Real_Sales[[#This Row],[Price_retail]]&lt;=50,3,Real_Sales[[#This Row],[Price_retail]]&gt;50,4)</f>
        <v>2</v>
      </c>
    </row>
    <row r="458" spans="1:26" x14ac:dyDescent="0.35">
      <c r="A458" s="2" t="s">
        <v>676</v>
      </c>
      <c r="B458" s="2" t="s">
        <v>677</v>
      </c>
      <c r="C458" s="2" t="s">
        <v>1797</v>
      </c>
      <c r="D458" s="2" t="s">
        <v>678</v>
      </c>
      <c r="E458" s="2" t="s">
        <v>4</v>
      </c>
      <c r="F458" s="2" t="s">
        <v>17</v>
      </c>
      <c r="G458" s="2" t="s">
        <v>27</v>
      </c>
      <c r="H458" s="2" t="s">
        <v>134</v>
      </c>
      <c r="I458" s="2" t="s">
        <v>3393</v>
      </c>
      <c r="J458" s="3">
        <v>15.38</v>
      </c>
      <c r="K458" s="3">
        <v>15.38</v>
      </c>
      <c r="L458" s="2" t="s">
        <v>3391</v>
      </c>
      <c r="M458" s="2" t="s">
        <v>9</v>
      </c>
      <c r="N458" s="3">
        <v>750</v>
      </c>
      <c r="O458" s="2" t="s">
        <v>163</v>
      </c>
      <c r="P458" s="2" t="s">
        <v>186</v>
      </c>
      <c r="Q458" s="3"/>
      <c r="R458" s="3"/>
      <c r="S458" s="2" t="s">
        <v>21</v>
      </c>
      <c r="T458" s="4">
        <v>44955</v>
      </c>
      <c r="U458" s="2" t="s">
        <v>679</v>
      </c>
      <c r="V458" s="6">
        <f>(Real_Sales[[#This Row],[Price_retail]]-Real_Sales[[#This Row],[Price_current]])/Real_Sales[[#This Row],[Price_retail]]</f>
        <v>0</v>
      </c>
      <c r="W458" s="3" t="str" cm="1">
        <f t="array" ref="W45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58" s="2" t="str">
        <f>IF(Real_Sales[[#This Row],[Price_retail]]&gt;$AC$3,"Premium","Average")</f>
        <v>Average</v>
      </c>
      <c r="Y458" s="2" t="str">
        <f>IF(ISNUMBER(SEARCH("Basic",Real_Sales[[#This Row],[Product_name]])),"Yes","No")</f>
        <v>No</v>
      </c>
      <c r="Z458" s="2" cm="1">
        <f t="array" ref="Z458">_xlfn.IFS(Real_Sales[[#This Row],[Price_retail]]&lt;=15,1, Real_Sales[[#This Row],[Price_retail]]&lt;=30,2, Real_Sales[[#This Row],[Price_retail]]&lt;=50,3,Real_Sales[[#This Row],[Price_retail]]&gt;50,4)</f>
        <v>2</v>
      </c>
    </row>
    <row r="459" spans="1:26" x14ac:dyDescent="0.35">
      <c r="A459" s="2" t="s">
        <v>2398</v>
      </c>
      <c r="B459" s="2" t="s">
        <v>2399</v>
      </c>
      <c r="C459" s="2" t="s">
        <v>721</v>
      </c>
      <c r="D459" s="2" t="s">
        <v>1324</v>
      </c>
      <c r="E459" s="2" t="s">
        <v>4</v>
      </c>
      <c r="F459" s="2" t="s">
        <v>17</v>
      </c>
      <c r="G459" s="2" t="s">
        <v>50</v>
      </c>
      <c r="H459" s="2" t="s">
        <v>19</v>
      </c>
      <c r="I459" s="2" t="s">
        <v>3390</v>
      </c>
      <c r="J459" s="3">
        <v>15.39</v>
      </c>
      <c r="K459" s="3">
        <v>10.039999999999999</v>
      </c>
      <c r="L459" s="2" t="s">
        <v>8</v>
      </c>
      <c r="M459" s="2" t="s">
        <v>9</v>
      </c>
      <c r="N459" s="3">
        <v>59</v>
      </c>
      <c r="O459" s="2" t="s">
        <v>29</v>
      </c>
      <c r="P459" s="2" t="s">
        <v>53</v>
      </c>
      <c r="Q459" s="3"/>
      <c r="R459" s="3"/>
      <c r="S459" s="2" t="s">
        <v>21</v>
      </c>
      <c r="T459" s="4">
        <v>44955</v>
      </c>
      <c r="U459" s="2" t="s">
        <v>2400</v>
      </c>
      <c r="V459" s="6">
        <f>(Real_Sales[[#This Row],[Price_retail]]-Real_Sales[[#This Row],[Price_current]])/Real_Sales[[#This Row],[Price_retail]]</f>
        <v>0.34762833008447053</v>
      </c>
      <c r="W459" s="3" t="str" cm="1">
        <f t="array" ref="W45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59" s="2" t="str">
        <f>IF(Real_Sales[[#This Row],[Price_retail]]&gt;$AC$3,"Premium","Average")</f>
        <v>Average</v>
      </c>
      <c r="Y459" s="2" t="str">
        <f>IF(ISNUMBER(SEARCH("Basic",Real_Sales[[#This Row],[Product_name]])),"Yes","No")</f>
        <v>Yes</v>
      </c>
      <c r="Z459" s="2" cm="1">
        <f t="array" ref="Z459">_xlfn.IFS(Real_Sales[[#This Row],[Price_retail]]&lt;=15,1, Real_Sales[[#This Row],[Price_retail]]&lt;=30,2, Real_Sales[[#This Row],[Price_retail]]&lt;=50,3,Real_Sales[[#This Row],[Price_retail]]&gt;50,4)</f>
        <v>2</v>
      </c>
    </row>
    <row r="460" spans="1:26" x14ac:dyDescent="0.35">
      <c r="A460" s="2" t="s">
        <v>2486</v>
      </c>
      <c r="B460" s="2" t="s">
        <v>2487</v>
      </c>
      <c r="C460" s="2" t="s">
        <v>2374</v>
      </c>
      <c r="D460" s="2" t="s">
        <v>314</v>
      </c>
      <c r="E460" s="2" t="s">
        <v>4</v>
      </c>
      <c r="F460" s="2" t="s">
        <v>17</v>
      </c>
      <c r="G460" s="2" t="s">
        <v>50</v>
      </c>
      <c r="H460" s="2"/>
      <c r="I460" s="2" t="s">
        <v>3393</v>
      </c>
      <c r="J460" s="3">
        <v>15.41</v>
      </c>
      <c r="K460" s="3">
        <v>15.41</v>
      </c>
      <c r="L460" s="2" t="s">
        <v>3391</v>
      </c>
      <c r="M460" s="2" t="s">
        <v>9</v>
      </c>
      <c r="N460" s="3">
        <v>151</v>
      </c>
      <c r="O460" s="2" t="s">
        <v>140</v>
      </c>
      <c r="P460" s="2" t="s">
        <v>122</v>
      </c>
      <c r="Q460" s="3"/>
      <c r="R460" s="3"/>
      <c r="S460" s="2" t="s">
        <v>21</v>
      </c>
      <c r="T460" s="4">
        <v>44955</v>
      </c>
      <c r="U460" s="2" t="s">
        <v>2488</v>
      </c>
      <c r="V460" s="6">
        <f>(Real_Sales[[#This Row],[Price_retail]]-Real_Sales[[#This Row],[Price_current]])/Real_Sales[[#This Row],[Price_retail]]</f>
        <v>0</v>
      </c>
      <c r="W460" s="3" t="str" cm="1">
        <f t="array" ref="W46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60" s="2" t="str">
        <f>IF(Real_Sales[[#This Row],[Price_retail]]&gt;$AC$3,"Premium","Average")</f>
        <v>Average</v>
      </c>
      <c r="Y460" s="2" t="str">
        <f>IF(ISNUMBER(SEARCH("Basic",Real_Sales[[#This Row],[Product_name]])),"Yes","No")</f>
        <v>No</v>
      </c>
      <c r="Z460" s="2" cm="1">
        <f t="array" ref="Z460">_xlfn.IFS(Real_Sales[[#This Row],[Price_retail]]&lt;=15,1, Real_Sales[[#This Row],[Price_retail]]&lt;=30,2, Real_Sales[[#This Row],[Price_retail]]&lt;=50,3,Real_Sales[[#This Row],[Price_retail]]&gt;50,4)</f>
        <v>2</v>
      </c>
    </row>
    <row r="461" spans="1:26" x14ac:dyDescent="0.35">
      <c r="A461" s="2" t="s">
        <v>476</v>
      </c>
      <c r="B461" s="2" t="s">
        <v>477</v>
      </c>
      <c r="C461" s="2" t="s">
        <v>126</v>
      </c>
      <c r="D461" s="2" t="s">
        <v>354</v>
      </c>
      <c r="E461" s="2" t="s">
        <v>4</v>
      </c>
      <c r="F461" s="2" t="s">
        <v>17</v>
      </c>
      <c r="G461" s="2" t="s">
        <v>50</v>
      </c>
      <c r="H461" s="2" t="s">
        <v>90</v>
      </c>
      <c r="I461" s="2" t="s">
        <v>3393</v>
      </c>
      <c r="J461" s="3">
        <v>15.47</v>
      </c>
      <c r="K461" s="3">
        <v>10.73</v>
      </c>
      <c r="L461" s="2" t="s">
        <v>8</v>
      </c>
      <c r="M461" s="2" t="s">
        <v>9</v>
      </c>
      <c r="N461" s="3">
        <v>717</v>
      </c>
      <c r="O461" s="2" t="s">
        <v>191</v>
      </c>
      <c r="P461" s="2" t="s">
        <v>92</v>
      </c>
      <c r="Q461" s="3"/>
      <c r="R461" s="3"/>
      <c r="S461" s="2" t="s">
        <v>21</v>
      </c>
      <c r="T461" s="4">
        <v>44955</v>
      </c>
      <c r="U461" s="2" t="s">
        <v>478</v>
      </c>
      <c r="V461" s="6">
        <f>(Real_Sales[[#This Row],[Price_retail]]-Real_Sales[[#This Row],[Price_current]])/Real_Sales[[#This Row],[Price_retail]]</f>
        <v>0.30639948287007113</v>
      </c>
      <c r="W461" s="3" t="str" cm="1">
        <f t="array" ref="W46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61" s="2" t="str">
        <f>IF(Real_Sales[[#This Row],[Price_retail]]&gt;$AC$3,"Premium","Average")</f>
        <v>Average</v>
      </c>
      <c r="Y461" s="2" t="str">
        <f>IF(ISNUMBER(SEARCH("Basic",Real_Sales[[#This Row],[Product_name]])),"Yes","No")</f>
        <v>No</v>
      </c>
      <c r="Z461" s="2" cm="1">
        <f t="array" ref="Z461">_xlfn.IFS(Real_Sales[[#This Row],[Price_retail]]&lt;=15,1, Real_Sales[[#This Row],[Price_retail]]&lt;=30,2, Real_Sales[[#This Row],[Price_retail]]&lt;=50,3,Real_Sales[[#This Row],[Price_retail]]&gt;50,4)</f>
        <v>2</v>
      </c>
    </row>
    <row r="462" spans="1:26" x14ac:dyDescent="0.35">
      <c r="A462" s="2" t="s">
        <v>2880</v>
      </c>
      <c r="B462" s="2" t="s">
        <v>2881</v>
      </c>
      <c r="C462" s="2" t="s">
        <v>2915</v>
      </c>
      <c r="D462" s="2" t="s">
        <v>1598</v>
      </c>
      <c r="E462" s="2" t="s">
        <v>4</v>
      </c>
      <c r="F462" s="2" t="s">
        <v>5</v>
      </c>
      <c r="G462" s="2" t="s">
        <v>6</v>
      </c>
      <c r="H462" s="2" t="s">
        <v>418</v>
      </c>
      <c r="I462" s="2" t="s">
        <v>3390</v>
      </c>
      <c r="J462" s="3">
        <v>15.49</v>
      </c>
      <c r="K462" s="3">
        <v>11</v>
      </c>
      <c r="L462" s="2" t="s">
        <v>8</v>
      </c>
      <c r="M462" s="2" t="s">
        <v>9</v>
      </c>
      <c r="N462" s="3">
        <v>515</v>
      </c>
      <c r="O462" s="2" t="s">
        <v>3392</v>
      </c>
      <c r="P462" s="2" t="s">
        <v>3392</v>
      </c>
      <c r="Q462" s="3"/>
      <c r="R462" s="3"/>
      <c r="S462" s="2" t="s">
        <v>21</v>
      </c>
      <c r="T462" s="4">
        <v>44955</v>
      </c>
      <c r="U462" s="2" t="s">
        <v>2882</v>
      </c>
      <c r="V462" s="6">
        <f>(Real_Sales[[#This Row],[Price_retail]]-Real_Sales[[#This Row],[Price_current]])/Real_Sales[[#This Row],[Price_retail]]</f>
        <v>0.28986442866365397</v>
      </c>
      <c r="W462" s="3" t="str" cm="1">
        <f t="array" ref="W46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62" s="2" t="str">
        <f>IF(Real_Sales[[#This Row],[Price_retail]]&gt;$AC$3,"Premium","Average")</f>
        <v>Average</v>
      </c>
      <c r="Y462" s="2" t="str">
        <f>IF(ISNUMBER(SEARCH("Basic",Real_Sales[[#This Row],[Product_name]])),"Yes","No")</f>
        <v>No</v>
      </c>
      <c r="Z462" s="2" cm="1">
        <f t="array" ref="Z462">_xlfn.IFS(Real_Sales[[#This Row],[Price_retail]]&lt;=15,1, Real_Sales[[#This Row],[Price_retail]]&lt;=30,2, Real_Sales[[#This Row],[Price_retail]]&lt;=50,3,Real_Sales[[#This Row],[Price_retail]]&gt;50,4)</f>
        <v>2</v>
      </c>
    </row>
    <row r="463" spans="1:26" x14ac:dyDescent="0.35">
      <c r="A463" s="2" t="s">
        <v>3350</v>
      </c>
      <c r="B463" s="2" t="s">
        <v>3351</v>
      </c>
      <c r="C463" s="2" t="s">
        <v>3407</v>
      </c>
      <c r="D463" s="2" t="s">
        <v>201</v>
      </c>
      <c r="E463" s="2" t="s">
        <v>4</v>
      </c>
      <c r="F463" s="2" t="s">
        <v>5</v>
      </c>
      <c r="G463" s="2" t="s">
        <v>82</v>
      </c>
      <c r="H463" s="2" t="s">
        <v>185</v>
      </c>
      <c r="I463" s="2" t="s">
        <v>3390</v>
      </c>
      <c r="J463" s="3">
        <v>15.5</v>
      </c>
      <c r="K463" s="3">
        <v>15.5</v>
      </c>
      <c r="L463" s="2" t="s">
        <v>3391</v>
      </c>
      <c r="M463" s="2" t="s">
        <v>9</v>
      </c>
      <c r="N463" s="3">
        <v>171</v>
      </c>
      <c r="O463" s="2" t="s">
        <v>359</v>
      </c>
      <c r="P463" s="2" t="s">
        <v>30</v>
      </c>
      <c r="Q463" s="3"/>
      <c r="R463" s="3"/>
      <c r="S463" s="2" t="s">
        <v>21</v>
      </c>
      <c r="T463" s="4">
        <v>44955</v>
      </c>
      <c r="U463" s="2" t="s">
        <v>3352</v>
      </c>
      <c r="V463" s="6">
        <f>(Real_Sales[[#This Row],[Price_retail]]-Real_Sales[[#This Row],[Price_current]])/Real_Sales[[#This Row],[Price_retail]]</f>
        <v>0</v>
      </c>
      <c r="W463" s="3" t="str" cm="1">
        <f t="array" ref="W46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63" s="2" t="str">
        <f>IF(Real_Sales[[#This Row],[Price_retail]]&gt;$AC$3,"Premium","Average")</f>
        <v>Average</v>
      </c>
      <c r="Y463" s="2" t="str">
        <f>IF(ISNUMBER(SEARCH("Basic",Real_Sales[[#This Row],[Product_name]])),"Yes","No")</f>
        <v>No</v>
      </c>
      <c r="Z463" s="2" cm="1">
        <f t="array" ref="Z463">_xlfn.IFS(Real_Sales[[#This Row],[Price_retail]]&lt;=15,1, Real_Sales[[#This Row],[Price_retail]]&lt;=30,2, Real_Sales[[#This Row],[Price_retail]]&lt;=50,3,Real_Sales[[#This Row],[Price_retail]]&gt;50,4)</f>
        <v>2</v>
      </c>
    </row>
    <row r="464" spans="1:26" x14ac:dyDescent="0.35">
      <c r="A464" s="2" t="s">
        <v>2323</v>
      </c>
      <c r="B464" s="2" t="s">
        <v>2324</v>
      </c>
      <c r="C464" s="2" t="s">
        <v>1028</v>
      </c>
      <c r="D464" s="2" t="s">
        <v>327</v>
      </c>
      <c r="E464" s="2" t="s">
        <v>4</v>
      </c>
      <c r="F464" s="2" t="s">
        <v>5</v>
      </c>
      <c r="G464" s="2" t="s">
        <v>82</v>
      </c>
      <c r="H464" s="2" t="s">
        <v>110</v>
      </c>
      <c r="I464" s="2" t="s">
        <v>3390</v>
      </c>
      <c r="J464" s="3">
        <v>15.56</v>
      </c>
      <c r="K464" s="3">
        <v>7.52</v>
      </c>
      <c r="L464" s="2" t="s">
        <v>8</v>
      </c>
      <c r="M464" s="2" t="s">
        <v>9</v>
      </c>
      <c r="N464" s="3">
        <v>361</v>
      </c>
      <c r="O464" s="2" t="s">
        <v>3392</v>
      </c>
      <c r="P464" s="2" t="s">
        <v>44</v>
      </c>
      <c r="Q464" s="3"/>
      <c r="R464" s="3"/>
      <c r="S464" s="2" t="s">
        <v>21</v>
      </c>
      <c r="T464" s="4">
        <v>44955</v>
      </c>
      <c r="U464" s="2" t="s">
        <v>2325</v>
      </c>
      <c r="V464" s="6">
        <f>(Real_Sales[[#This Row],[Price_retail]]-Real_Sales[[#This Row],[Price_current]])/Real_Sales[[#This Row],[Price_retail]]</f>
        <v>0.51670951156812339</v>
      </c>
      <c r="W464" s="3" t="str" cm="1">
        <f t="array" ref="W464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64" s="2" t="str">
        <f>IF(Real_Sales[[#This Row],[Price_retail]]&gt;$AC$3,"Premium","Average")</f>
        <v>Average</v>
      </c>
      <c r="Y464" s="2" t="str">
        <f>IF(ISNUMBER(SEARCH("Basic",Real_Sales[[#This Row],[Product_name]])),"Yes","No")</f>
        <v>No</v>
      </c>
      <c r="Z464" s="2" cm="1">
        <f t="array" ref="Z464">_xlfn.IFS(Real_Sales[[#This Row],[Price_retail]]&lt;=15,1, Real_Sales[[#This Row],[Price_retail]]&lt;=30,2, Real_Sales[[#This Row],[Price_retail]]&lt;=50,3,Real_Sales[[#This Row],[Price_retail]]&gt;50,4)</f>
        <v>2</v>
      </c>
    </row>
    <row r="465" spans="1:26" x14ac:dyDescent="0.35">
      <c r="A465" s="2" t="s">
        <v>63</v>
      </c>
      <c r="B465" s="2" t="s">
        <v>64</v>
      </c>
      <c r="C465" s="2" t="s">
        <v>65</v>
      </c>
      <c r="D465" s="2" t="s">
        <v>66</v>
      </c>
      <c r="E465" s="2" t="s">
        <v>4</v>
      </c>
      <c r="F465" s="2" t="s">
        <v>17</v>
      </c>
      <c r="G465" s="2" t="s">
        <v>67</v>
      </c>
      <c r="H465" s="2" t="s">
        <v>68</v>
      </c>
      <c r="I465" s="2" t="s">
        <v>3393</v>
      </c>
      <c r="J465" s="3">
        <v>15.61</v>
      </c>
      <c r="K465" s="3">
        <v>15.61</v>
      </c>
      <c r="L465" s="2" t="s">
        <v>3391</v>
      </c>
      <c r="M465" s="2" t="s">
        <v>9</v>
      </c>
      <c r="N465" s="3">
        <v>963</v>
      </c>
      <c r="O465" s="2" t="s">
        <v>69</v>
      </c>
      <c r="P465" s="2" t="s">
        <v>70</v>
      </c>
      <c r="Q465" s="3"/>
      <c r="R465" s="3"/>
      <c r="S465" s="2" t="s">
        <v>21</v>
      </c>
      <c r="T465" s="4">
        <v>44955</v>
      </c>
      <c r="U465" s="2" t="s">
        <v>71</v>
      </c>
      <c r="V465" s="6">
        <f>(Real_Sales[[#This Row],[Price_retail]]-Real_Sales[[#This Row],[Price_current]])/Real_Sales[[#This Row],[Price_retail]]</f>
        <v>0</v>
      </c>
      <c r="W465" s="3" t="str" cm="1">
        <f t="array" ref="W46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65" s="2" t="str">
        <f>IF(Real_Sales[[#This Row],[Price_retail]]&gt;$AC$3,"Premium","Average")</f>
        <v>Average</v>
      </c>
      <c r="Y465" s="2" t="str">
        <f>IF(ISNUMBER(SEARCH("Basic",Real_Sales[[#This Row],[Product_name]])),"Yes","No")</f>
        <v>Yes</v>
      </c>
      <c r="Z465" s="2" cm="1">
        <f t="array" ref="Z465">_xlfn.IFS(Real_Sales[[#This Row],[Price_retail]]&lt;=15,1, Real_Sales[[#This Row],[Price_retail]]&lt;=30,2, Real_Sales[[#This Row],[Price_retail]]&lt;=50,3,Real_Sales[[#This Row],[Price_retail]]&gt;50,4)</f>
        <v>2</v>
      </c>
    </row>
    <row r="466" spans="1:26" x14ac:dyDescent="0.35">
      <c r="A466" s="2" t="s">
        <v>2529</v>
      </c>
      <c r="B466" s="2" t="s">
        <v>2530</v>
      </c>
      <c r="C466" s="2" t="s">
        <v>484</v>
      </c>
      <c r="D466" s="2" t="s">
        <v>1651</v>
      </c>
      <c r="E466" s="2" t="s">
        <v>4</v>
      </c>
      <c r="F466" s="2" t="s">
        <v>5</v>
      </c>
      <c r="G466" s="2" t="s">
        <v>121</v>
      </c>
      <c r="H466" s="2" t="s">
        <v>139</v>
      </c>
      <c r="I466" s="2" t="s">
        <v>3393</v>
      </c>
      <c r="J466" s="3">
        <v>15.62</v>
      </c>
      <c r="K466" s="3">
        <v>9.75</v>
      </c>
      <c r="L466" s="2" t="s">
        <v>8</v>
      </c>
      <c r="M466" s="2" t="s">
        <v>9</v>
      </c>
      <c r="N466" s="3">
        <v>390</v>
      </c>
      <c r="O466" s="2" t="s">
        <v>3392</v>
      </c>
      <c r="P466" s="2" t="s">
        <v>44</v>
      </c>
      <c r="Q466" s="3"/>
      <c r="R466" s="3"/>
      <c r="S466" s="2" t="s">
        <v>21</v>
      </c>
      <c r="T466" s="4">
        <v>44955</v>
      </c>
      <c r="U466" s="2" t="s">
        <v>2531</v>
      </c>
      <c r="V466" s="6">
        <f>(Real_Sales[[#This Row],[Price_retail]]-Real_Sales[[#This Row],[Price_current]])/Real_Sales[[#This Row],[Price_retail]]</f>
        <v>0.37580025608194617</v>
      </c>
      <c r="W466" s="3" t="str" cm="1">
        <f t="array" ref="W46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66" s="2" t="str">
        <f>IF(Real_Sales[[#This Row],[Price_retail]]&gt;$AC$3,"Premium","Average")</f>
        <v>Average</v>
      </c>
      <c r="Y466" s="2" t="str">
        <f>IF(ISNUMBER(SEARCH("Basic",Real_Sales[[#This Row],[Product_name]])),"Yes","No")</f>
        <v>No</v>
      </c>
      <c r="Z466" s="2" cm="1">
        <f t="array" ref="Z466">_xlfn.IFS(Real_Sales[[#This Row],[Price_retail]]&lt;=15,1, Real_Sales[[#This Row],[Price_retail]]&lt;=30,2, Real_Sales[[#This Row],[Price_retail]]&lt;=50,3,Real_Sales[[#This Row],[Price_retail]]&gt;50,4)</f>
        <v>2</v>
      </c>
    </row>
    <row r="467" spans="1:26" x14ac:dyDescent="0.35">
      <c r="A467" s="2" t="s">
        <v>642</v>
      </c>
      <c r="B467" s="2" t="s">
        <v>643</v>
      </c>
      <c r="C467" s="2" t="s">
        <v>200</v>
      </c>
      <c r="D467" s="2" t="s">
        <v>586</v>
      </c>
      <c r="E467" s="2" t="s">
        <v>4</v>
      </c>
      <c r="F467" s="2" t="s">
        <v>5</v>
      </c>
      <c r="G467" s="2" t="s">
        <v>82</v>
      </c>
      <c r="H467" s="2" t="s">
        <v>83</v>
      </c>
      <c r="I467" s="2" t="s">
        <v>3390</v>
      </c>
      <c r="J467" s="3">
        <v>15.62</v>
      </c>
      <c r="K467" s="3">
        <v>15.62</v>
      </c>
      <c r="L467" s="2" t="s">
        <v>3391</v>
      </c>
      <c r="M467" s="2" t="s">
        <v>9</v>
      </c>
      <c r="N467" s="3">
        <v>351</v>
      </c>
      <c r="O467" s="2" t="s">
        <v>98</v>
      </c>
      <c r="P467" s="2" t="s">
        <v>221</v>
      </c>
      <c r="Q467" s="3"/>
      <c r="R467" s="3"/>
      <c r="S467" s="2" t="s">
        <v>21</v>
      </c>
      <c r="T467" s="4">
        <v>44955</v>
      </c>
      <c r="U467" s="2" t="s">
        <v>644</v>
      </c>
      <c r="V467" s="6">
        <f>(Real_Sales[[#This Row],[Price_retail]]-Real_Sales[[#This Row],[Price_current]])/Real_Sales[[#This Row],[Price_retail]]</f>
        <v>0</v>
      </c>
      <c r="W467" s="3" t="str" cm="1">
        <f t="array" ref="W46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67" s="2" t="str">
        <f>IF(Real_Sales[[#This Row],[Price_retail]]&gt;$AC$3,"Premium","Average")</f>
        <v>Average</v>
      </c>
      <c r="Y467" s="2" t="str">
        <f>IF(ISNUMBER(SEARCH("Basic",Real_Sales[[#This Row],[Product_name]])),"Yes","No")</f>
        <v>No</v>
      </c>
      <c r="Z467" s="2" cm="1">
        <f t="array" ref="Z467">_xlfn.IFS(Real_Sales[[#This Row],[Price_retail]]&lt;=15,1, Real_Sales[[#This Row],[Price_retail]]&lt;=30,2, Real_Sales[[#This Row],[Price_retail]]&lt;=50,3,Real_Sales[[#This Row],[Price_retail]]&gt;50,4)</f>
        <v>2</v>
      </c>
    </row>
    <row r="468" spans="1:26" x14ac:dyDescent="0.35">
      <c r="A468" s="2" t="s">
        <v>2692</v>
      </c>
      <c r="B468" s="2" t="s">
        <v>2693</v>
      </c>
      <c r="C468" s="2" t="s">
        <v>1743</v>
      </c>
      <c r="D468" s="2" t="s">
        <v>674</v>
      </c>
      <c r="E468" s="2" t="s">
        <v>4</v>
      </c>
      <c r="F468" s="2" t="s">
        <v>5</v>
      </c>
      <c r="G468" s="2" t="s">
        <v>82</v>
      </c>
      <c r="H468" s="2" t="s">
        <v>333</v>
      </c>
      <c r="I468" s="2" t="s">
        <v>3390</v>
      </c>
      <c r="J468" s="3">
        <v>15.69</v>
      </c>
      <c r="K468" s="3">
        <v>10.82</v>
      </c>
      <c r="L468" s="2" t="s">
        <v>8</v>
      </c>
      <c r="M468" s="2" t="s">
        <v>9</v>
      </c>
      <c r="N468" s="3">
        <v>194</v>
      </c>
      <c r="O468" s="2" t="s">
        <v>3392</v>
      </c>
      <c r="P468" s="2" t="s">
        <v>76</v>
      </c>
      <c r="Q468" s="3"/>
      <c r="R468" s="3"/>
      <c r="S468" s="2" t="s">
        <v>12</v>
      </c>
      <c r="T468" s="4">
        <v>44955</v>
      </c>
      <c r="U468" s="2" t="s">
        <v>2694</v>
      </c>
      <c r="V468" s="6">
        <f>(Real_Sales[[#This Row],[Price_retail]]-Real_Sales[[#This Row],[Price_current]])/Real_Sales[[#This Row],[Price_retail]]</f>
        <v>0.31038878266411724</v>
      </c>
      <c r="W468" s="3" t="str" cm="1">
        <f t="array" ref="W46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68" s="2" t="str">
        <f>IF(Real_Sales[[#This Row],[Price_retail]]&gt;$AC$3,"Premium","Average")</f>
        <v>Average</v>
      </c>
      <c r="Y468" s="2" t="str">
        <f>IF(ISNUMBER(SEARCH("Basic",Real_Sales[[#This Row],[Product_name]])),"Yes","No")</f>
        <v>No</v>
      </c>
      <c r="Z468" s="2" cm="1">
        <f t="array" ref="Z468">_xlfn.IFS(Real_Sales[[#This Row],[Price_retail]]&lt;=15,1, Real_Sales[[#This Row],[Price_retail]]&lt;=30,2, Real_Sales[[#This Row],[Price_retail]]&lt;=50,3,Real_Sales[[#This Row],[Price_retail]]&gt;50,4)</f>
        <v>2</v>
      </c>
    </row>
    <row r="469" spans="1:26" x14ac:dyDescent="0.35">
      <c r="A469" s="2" t="s">
        <v>2417</v>
      </c>
      <c r="B469" s="2" t="s">
        <v>2418</v>
      </c>
      <c r="C469" s="2" t="s">
        <v>88</v>
      </c>
      <c r="D469" s="2" t="s">
        <v>74</v>
      </c>
      <c r="E469" s="2" t="s">
        <v>4</v>
      </c>
      <c r="F469" s="2" t="s">
        <v>17</v>
      </c>
      <c r="G469" s="2" t="s">
        <v>27</v>
      </c>
      <c r="H469" s="2" t="s">
        <v>35</v>
      </c>
      <c r="I469" s="2" t="s">
        <v>3393</v>
      </c>
      <c r="J469" s="3">
        <v>15.73</v>
      </c>
      <c r="K469" s="3">
        <v>15.73</v>
      </c>
      <c r="L469" s="2" t="s">
        <v>3391</v>
      </c>
      <c r="M469" s="2" t="s">
        <v>9</v>
      </c>
      <c r="N469" s="3">
        <v>923</v>
      </c>
      <c r="O469" s="2" t="s">
        <v>69</v>
      </c>
      <c r="P469" s="2" t="s">
        <v>70</v>
      </c>
      <c r="Q469" s="3"/>
      <c r="R469" s="3"/>
      <c r="S469" s="2" t="s">
        <v>21</v>
      </c>
      <c r="T469" s="4">
        <v>44955</v>
      </c>
      <c r="U469" s="2" t="s">
        <v>2419</v>
      </c>
      <c r="V469" s="6">
        <f>(Real_Sales[[#This Row],[Price_retail]]-Real_Sales[[#This Row],[Price_current]])/Real_Sales[[#This Row],[Price_retail]]</f>
        <v>0</v>
      </c>
      <c r="W469" s="3" t="str" cm="1">
        <f t="array" ref="W46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69" s="2" t="str">
        <f>IF(Real_Sales[[#This Row],[Price_retail]]&gt;$AC$3,"Premium","Average")</f>
        <v>Average</v>
      </c>
      <c r="Y469" s="2" t="str">
        <f>IF(ISNUMBER(SEARCH("Basic",Real_Sales[[#This Row],[Product_name]])),"Yes","No")</f>
        <v>No</v>
      </c>
      <c r="Z469" s="2" cm="1">
        <f t="array" ref="Z469">_xlfn.IFS(Real_Sales[[#This Row],[Price_retail]]&lt;=15,1, Real_Sales[[#This Row],[Price_retail]]&lt;=30,2, Real_Sales[[#This Row],[Price_retail]]&lt;=50,3,Real_Sales[[#This Row],[Price_retail]]&gt;50,4)</f>
        <v>2</v>
      </c>
    </row>
    <row r="470" spans="1:26" x14ac:dyDescent="0.35">
      <c r="A470" s="2" t="s">
        <v>976</v>
      </c>
      <c r="B470" s="2" t="s">
        <v>977</v>
      </c>
      <c r="C470" s="2" t="s">
        <v>978</v>
      </c>
      <c r="D470" s="2" t="s">
        <v>590</v>
      </c>
      <c r="E470" s="2" t="s">
        <v>4</v>
      </c>
      <c r="F470" s="2" t="s">
        <v>5</v>
      </c>
      <c r="G470" s="2" t="s">
        <v>121</v>
      </c>
      <c r="H470" s="2" t="s">
        <v>90</v>
      </c>
      <c r="I470" s="2" t="s">
        <v>3395</v>
      </c>
      <c r="J470" s="3">
        <v>15.84</v>
      </c>
      <c r="K470" s="3">
        <v>7.41</v>
      </c>
      <c r="L470" s="2" t="s">
        <v>8</v>
      </c>
      <c r="M470" s="2" t="s">
        <v>9</v>
      </c>
      <c r="N470" s="3">
        <v>8</v>
      </c>
      <c r="O470" s="2" t="s">
        <v>60</v>
      </c>
      <c r="P470" s="2" t="s">
        <v>37</v>
      </c>
      <c r="Q470" s="3"/>
      <c r="R470" s="3"/>
      <c r="S470" s="2" t="s">
        <v>21</v>
      </c>
      <c r="T470" s="4">
        <v>44955</v>
      </c>
      <c r="U470" s="2" t="s">
        <v>979</v>
      </c>
      <c r="V470" s="6">
        <f>(Real_Sales[[#This Row],[Price_retail]]-Real_Sales[[#This Row],[Price_current]])/Real_Sales[[#This Row],[Price_retail]]</f>
        <v>0.53219696969696972</v>
      </c>
      <c r="W470" s="3" t="str" cm="1">
        <f t="array" ref="W470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470" s="2" t="str">
        <f>IF(Real_Sales[[#This Row],[Price_retail]]&gt;$AC$3,"Premium","Average")</f>
        <v>Average</v>
      </c>
      <c r="Y470" s="2" t="str">
        <f>IF(ISNUMBER(SEARCH("Basic",Real_Sales[[#This Row],[Product_name]])),"Yes","No")</f>
        <v>Yes</v>
      </c>
      <c r="Z470" s="2" cm="1">
        <f t="array" ref="Z470">_xlfn.IFS(Real_Sales[[#This Row],[Price_retail]]&lt;=15,1, Real_Sales[[#This Row],[Price_retail]]&lt;=30,2, Real_Sales[[#This Row],[Price_retail]]&lt;=50,3,Real_Sales[[#This Row],[Price_retail]]&gt;50,4)</f>
        <v>2</v>
      </c>
    </row>
    <row r="471" spans="1:26" x14ac:dyDescent="0.35">
      <c r="A471" s="2" t="s">
        <v>2038</v>
      </c>
      <c r="B471" s="2" t="s">
        <v>2039</v>
      </c>
      <c r="C471" s="2" t="s">
        <v>541</v>
      </c>
      <c r="D471" s="2" t="s">
        <v>428</v>
      </c>
      <c r="E471" s="2" t="s">
        <v>4</v>
      </c>
      <c r="F471" s="2" t="s">
        <v>5</v>
      </c>
      <c r="G471" s="2" t="s">
        <v>6</v>
      </c>
      <c r="H471" s="2" t="s">
        <v>333</v>
      </c>
      <c r="I471" s="2" t="s">
        <v>3390</v>
      </c>
      <c r="J471" s="3">
        <v>15.86</v>
      </c>
      <c r="K471" s="3">
        <v>15.86</v>
      </c>
      <c r="L471" s="2" t="s">
        <v>3391</v>
      </c>
      <c r="M471" s="2" t="s">
        <v>9</v>
      </c>
      <c r="N471" s="3">
        <v>665</v>
      </c>
      <c r="O471" s="2" t="s">
        <v>347</v>
      </c>
      <c r="P471" s="2" t="s">
        <v>128</v>
      </c>
      <c r="Q471" s="3"/>
      <c r="R471" s="3"/>
      <c r="S471" s="2" t="s">
        <v>12</v>
      </c>
      <c r="T471" s="4">
        <v>44955</v>
      </c>
      <c r="U471" s="2" t="s">
        <v>2040</v>
      </c>
      <c r="V471" s="6">
        <f>(Real_Sales[[#This Row],[Price_retail]]-Real_Sales[[#This Row],[Price_current]])/Real_Sales[[#This Row],[Price_retail]]</f>
        <v>0</v>
      </c>
      <c r="W471" s="3" t="str" cm="1">
        <f t="array" ref="W4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71" s="2" t="str">
        <f>IF(Real_Sales[[#This Row],[Price_retail]]&gt;$AC$3,"Premium","Average")</f>
        <v>Average</v>
      </c>
      <c r="Y471" s="2" t="str">
        <f>IF(ISNUMBER(SEARCH("Basic",Real_Sales[[#This Row],[Product_name]])),"Yes","No")</f>
        <v>No</v>
      </c>
      <c r="Z471" s="2" cm="1">
        <f t="array" ref="Z471">_xlfn.IFS(Real_Sales[[#This Row],[Price_retail]]&lt;=15,1, Real_Sales[[#This Row],[Price_retail]]&lt;=30,2, Real_Sales[[#This Row],[Price_retail]]&lt;=50,3,Real_Sales[[#This Row],[Price_retail]]&gt;50,4)</f>
        <v>2</v>
      </c>
    </row>
    <row r="472" spans="1:26" x14ac:dyDescent="0.35">
      <c r="A472" s="2" t="s">
        <v>2078</v>
      </c>
      <c r="B472" s="2" t="s">
        <v>2079</v>
      </c>
      <c r="C472" s="2" t="s">
        <v>25</v>
      </c>
      <c r="D472" s="2" t="s">
        <v>346</v>
      </c>
      <c r="E472" s="2" t="s">
        <v>4</v>
      </c>
      <c r="F472" s="2" t="s">
        <v>5</v>
      </c>
      <c r="G472" s="2" t="s">
        <v>121</v>
      </c>
      <c r="H472" s="2" t="s">
        <v>110</v>
      </c>
      <c r="I472" s="2" t="s">
        <v>3390</v>
      </c>
      <c r="J472" s="3">
        <v>15.87</v>
      </c>
      <c r="K472" s="3">
        <v>15.87</v>
      </c>
      <c r="L472" s="2" t="s">
        <v>3391</v>
      </c>
      <c r="M472" s="2" t="s">
        <v>9</v>
      </c>
      <c r="N472" s="3">
        <v>176</v>
      </c>
      <c r="O472" s="2" t="s">
        <v>10</v>
      </c>
      <c r="P472" s="2" t="s">
        <v>288</v>
      </c>
      <c r="Q472" s="3"/>
      <c r="R472" s="3"/>
      <c r="S472" s="2" t="s">
        <v>12</v>
      </c>
      <c r="T472" s="4">
        <v>44955</v>
      </c>
      <c r="U472" s="2" t="s">
        <v>2080</v>
      </c>
      <c r="V472" s="6">
        <f>(Real_Sales[[#This Row],[Price_retail]]-Real_Sales[[#This Row],[Price_current]])/Real_Sales[[#This Row],[Price_retail]]</f>
        <v>0</v>
      </c>
      <c r="W472" s="3" t="str" cm="1">
        <f t="array" ref="W47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72" s="2" t="str">
        <f>IF(Real_Sales[[#This Row],[Price_retail]]&gt;$AC$3,"Premium","Average")</f>
        <v>Average</v>
      </c>
      <c r="Y472" s="2" t="str">
        <f>IF(ISNUMBER(SEARCH("Basic",Real_Sales[[#This Row],[Product_name]])),"Yes","No")</f>
        <v>No</v>
      </c>
      <c r="Z472" s="2" cm="1">
        <f t="array" ref="Z472">_xlfn.IFS(Real_Sales[[#This Row],[Price_retail]]&lt;=15,1, Real_Sales[[#This Row],[Price_retail]]&lt;=30,2, Real_Sales[[#This Row],[Price_retail]]&lt;=50,3,Real_Sales[[#This Row],[Price_retail]]&gt;50,4)</f>
        <v>2</v>
      </c>
    </row>
    <row r="473" spans="1:26" x14ac:dyDescent="0.35">
      <c r="A473" s="2" t="s">
        <v>1240</v>
      </c>
      <c r="B473" s="2" t="s">
        <v>1241</v>
      </c>
      <c r="C473" s="2" t="s">
        <v>1242</v>
      </c>
      <c r="D473" s="2" t="s">
        <v>1243</v>
      </c>
      <c r="E473" s="2" t="s">
        <v>4</v>
      </c>
      <c r="F473" s="2" t="s">
        <v>17</v>
      </c>
      <c r="G473" s="2" t="s">
        <v>67</v>
      </c>
      <c r="H473" s="2" t="s">
        <v>90</v>
      </c>
      <c r="I473" s="2" t="s">
        <v>3390</v>
      </c>
      <c r="J473" s="3">
        <v>15.89</v>
      </c>
      <c r="K473" s="3">
        <v>15.89</v>
      </c>
      <c r="L473" s="2" t="s">
        <v>3391</v>
      </c>
      <c r="M473" s="2" t="s">
        <v>9</v>
      </c>
      <c r="N473" s="3">
        <v>57</v>
      </c>
      <c r="O473" s="2" t="s">
        <v>20</v>
      </c>
      <c r="P473" s="2" t="s">
        <v>61</v>
      </c>
      <c r="Q473" s="3"/>
      <c r="R473" s="3"/>
      <c r="S473" s="2" t="s">
        <v>21</v>
      </c>
      <c r="T473" s="4">
        <v>44955</v>
      </c>
      <c r="U473" s="2" t="s">
        <v>1244</v>
      </c>
      <c r="V473" s="6">
        <f>(Real_Sales[[#This Row],[Price_retail]]-Real_Sales[[#This Row],[Price_current]])/Real_Sales[[#This Row],[Price_retail]]</f>
        <v>0</v>
      </c>
      <c r="W473" s="3" t="str" cm="1">
        <f t="array" ref="W47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73" s="2" t="str">
        <f>IF(Real_Sales[[#This Row],[Price_retail]]&gt;$AC$3,"Premium","Average")</f>
        <v>Average</v>
      </c>
      <c r="Y473" s="2" t="str">
        <f>IF(ISNUMBER(SEARCH("Basic",Real_Sales[[#This Row],[Product_name]])),"Yes","No")</f>
        <v>Yes</v>
      </c>
      <c r="Z473" s="2" cm="1">
        <f t="array" ref="Z473">_xlfn.IFS(Real_Sales[[#This Row],[Price_retail]]&lt;=15,1, Real_Sales[[#This Row],[Price_retail]]&lt;=30,2, Real_Sales[[#This Row],[Price_retail]]&lt;=50,3,Real_Sales[[#This Row],[Price_retail]]&gt;50,4)</f>
        <v>2</v>
      </c>
    </row>
    <row r="474" spans="1:26" x14ac:dyDescent="0.35">
      <c r="A474" s="2" t="s">
        <v>2447</v>
      </c>
      <c r="B474" s="2" t="s">
        <v>2448</v>
      </c>
      <c r="C474" s="2" t="s">
        <v>65</v>
      </c>
      <c r="D474" s="2" t="s">
        <v>542</v>
      </c>
      <c r="E474" s="2" t="s">
        <v>4</v>
      </c>
      <c r="F474" s="2" t="s">
        <v>17</v>
      </c>
      <c r="G474" s="2" t="s">
        <v>27</v>
      </c>
      <c r="H474" s="2" t="s">
        <v>333</v>
      </c>
      <c r="I474" s="2" t="s">
        <v>3393</v>
      </c>
      <c r="J474" s="3">
        <v>15.9</v>
      </c>
      <c r="K474" s="3">
        <v>15.9</v>
      </c>
      <c r="L474" s="2" t="s">
        <v>3391</v>
      </c>
      <c r="M474" s="2" t="s">
        <v>9</v>
      </c>
      <c r="N474" s="3">
        <v>500</v>
      </c>
      <c r="O474" s="2" t="s">
        <v>98</v>
      </c>
      <c r="P474" s="2" t="s">
        <v>186</v>
      </c>
      <c r="Q474" s="3"/>
      <c r="R474" s="3"/>
      <c r="S474" s="2" t="s">
        <v>21</v>
      </c>
      <c r="T474" s="4">
        <v>44955</v>
      </c>
      <c r="U474" s="2" t="s">
        <v>2449</v>
      </c>
      <c r="V474" s="6">
        <f>(Real_Sales[[#This Row],[Price_retail]]-Real_Sales[[#This Row],[Price_current]])/Real_Sales[[#This Row],[Price_retail]]</f>
        <v>0</v>
      </c>
      <c r="W474" s="3" t="str" cm="1">
        <f t="array" ref="W4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74" s="2" t="str">
        <f>IF(Real_Sales[[#This Row],[Price_retail]]&gt;$AC$3,"Premium","Average")</f>
        <v>Average</v>
      </c>
      <c r="Y474" s="2" t="str">
        <f>IF(ISNUMBER(SEARCH("Basic",Real_Sales[[#This Row],[Product_name]])),"Yes","No")</f>
        <v>No</v>
      </c>
      <c r="Z474" s="2" cm="1">
        <f t="array" ref="Z474">_xlfn.IFS(Real_Sales[[#This Row],[Price_retail]]&lt;=15,1, Real_Sales[[#This Row],[Price_retail]]&lt;=30,2, Real_Sales[[#This Row],[Price_retail]]&lt;=50,3,Real_Sales[[#This Row],[Price_retail]]&gt;50,4)</f>
        <v>2</v>
      </c>
    </row>
    <row r="475" spans="1:26" x14ac:dyDescent="0.35">
      <c r="A475" s="2" t="s">
        <v>1649</v>
      </c>
      <c r="B475" s="2" t="s">
        <v>1650</v>
      </c>
      <c r="C475" s="2" t="s">
        <v>1743</v>
      </c>
      <c r="D475" s="2" t="s">
        <v>1651</v>
      </c>
      <c r="E475" s="2" t="s">
        <v>4</v>
      </c>
      <c r="F475" s="2" t="s">
        <v>5</v>
      </c>
      <c r="G475" s="2" t="s">
        <v>6</v>
      </c>
      <c r="H475" s="2" t="s">
        <v>139</v>
      </c>
      <c r="I475" s="2" t="s">
        <v>3395</v>
      </c>
      <c r="J475" s="3">
        <v>15.93</v>
      </c>
      <c r="K475" s="3">
        <v>10.53</v>
      </c>
      <c r="L475" s="2" t="s">
        <v>8</v>
      </c>
      <c r="M475" s="2" t="s">
        <v>9</v>
      </c>
      <c r="N475" s="3">
        <v>723</v>
      </c>
      <c r="O475" s="2" t="s">
        <v>191</v>
      </c>
      <c r="P475" s="2" t="s">
        <v>53</v>
      </c>
      <c r="Q475" s="3"/>
      <c r="R475" s="3"/>
      <c r="S475" s="2" t="s">
        <v>21</v>
      </c>
      <c r="T475" s="4">
        <v>44955</v>
      </c>
      <c r="U475" s="2" t="s">
        <v>1652</v>
      </c>
      <c r="V475" s="6">
        <f>(Real_Sales[[#This Row],[Price_retail]]-Real_Sales[[#This Row],[Price_current]])/Real_Sales[[#This Row],[Price_retail]]</f>
        <v>0.33898305084745767</v>
      </c>
      <c r="W475" s="3" t="str" cm="1">
        <f t="array" ref="W47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75" s="2" t="str">
        <f>IF(Real_Sales[[#This Row],[Price_retail]]&gt;$AC$3,"Premium","Average")</f>
        <v>Average</v>
      </c>
      <c r="Y475" s="2" t="str">
        <f>IF(ISNUMBER(SEARCH("Basic",Real_Sales[[#This Row],[Product_name]])),"Yes","No")</f>
        <v>No</v>
      </c>
      <c r="Z475" s="2" cm="1">
        <f t="array" ref="Z475">_xlfn.IFS(Real_Sales[[#This Row],[Price_retail]]&lt;=15,1, Real_Sales[[#This Row],[Price_retail]]&lt;=30,2, Real_Sales[[#This Row],[Price_retail]]&lt;=50,3,Real_Sales[[#This Row],[Price_retail]]&gt;50,4)</f>
        <v>2</v>
      </c>
    </row>
    <row r="476" spans="1:26" x14ac:dyDescent="0.35">
      <c r="A476" s="2" t="s">
        <v>2983</v>
      </c>
      <c r="B476" s="2" t="s">
        <v>2984</v>
      </c>
      <c r="C476" s="2" t="s">
        <v>750</v>
      </c>
      <c r="D476" s="2" t="s">
        <v>307</v>
      </c>
      <c r="E476" s="2" t="s">
        <v>4</v>
      </c>
      <c r="F476" s="2" t="s">
        <v>5</v>
      </c>
      <c r="G476" s="2" t="s">
        <v>6</v>
      </c>
      <c r="H476" s="2" t="s">
        <v>83</v>
      </c>
      <c r="I476" s="2" t="s">
        <v>3393</v>
      </c>
      <c r="J476" s="3">
        <v>15.95</v>
      </c>
      <c r="K476" s="3">
        <v>15.95</v>
      </c>
      <c r="L476" s="2" t="s">
        <v>3391</v>
      </c>
      <c r="M476" s="2" t="s">
        <v>9</v>
      </c>
      <c r="N476" s="3">
        <v>40</v>
      </c>
      <c r="O476" s="2" t="s">
        <v>359</v>
      </c>
      <c r="P476" s="2" t="s">
        <v>238</v>
      </c>
      <c r="Q476" s="3"/>
      <c r="R476" s="3"/>
      <c r="S476" s="2" t="s">
        <v>21</v>
      </c>
      <c r="T476" s="4">
        <v>44955</v>
      </c>
      <c r="U476" s="2" t="s">
        <v>2985</v>
      </c>
      <c r="V476" s="6">
        <f>(Real_Sales[[#This Row],[Price_retail]]-Real_Sales[[#This Row],[Price_current]])/Real_Sales[[#This Row],[Price_retail]]</f>
        <v>0</v>
      </c>
      <c r="W476" s="3" t="str" cm="1">
        <f t="array" ref="W47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76" s="2" t="str">
        <f>IF(Real_Sales[[#This Row],[Price_retail]]&gt;$AC$3,"Premium","Average")</f>
        <v>Average</v>
      </c>
      <c r="Y476" s="2" t="str">
        <f>IF(ISNUMBER(SEARCH("Basic",Real_Sales[[#This Row],[Product_name]])),"Yes","No")</f>
        <v>Yes</v>
      </c>
      <c r="Z476" s="2" cm="1">
        <f t="array" ref="Z476">_xlfn.IFS(Real_Sales[[#This Row],[Price_retail]]&lt;=15,1, Real_Sales[[#This Row],[Price_retail]]&lt;=30,2, Real_Sales[[#This Row],[Price_retail]]&lt;=50,3,Real_Sales[[#This Row],[Price_retail]]&gt;50,4)</f>
        <v>2</v>
      </c>
    </row>
    <row r="477" spans="1:26" x14ac:dyDescent="0.35">
      <c r="A477" s="2" t="s">
        <v>709</v>
      </c>
      <c r="B477" s="2" t="s">
        <v>710</v>
      </c>
      <c r="C477" s="2" t="s">
        <v>65</v>
      </c>
      <c r="D477" s="2" t="s">
        <v>711</v>
      </c>
      <c r="E477" s="2" t="s">
        <v>4</v>
      </c>
      <c r="F477" s="2" t="s">
        <v>17</v>
      </c>
      <c r="G477" s="2" t="s">
        <v>67</v>
      </c>
      <c r="H477" s="2" t="s">
        <v>83</v>
      </c>
      <c r="I477" s="2" t="s">
        <v>3390</v>
      </c>
      <c r="J477" s="3">
        <v>15.98</v>
      </c>
      <c r="K477" s="3">
        <v>15.98</v>
      </c>
      <c r="L477" s="2" t="s">
        <v>3391</v>
      </c>
      <c r="M477" s="2" t="s">
        <v>9</v>
      </c>
      <c r="N477" s="3">
        <v>216</v>
      </c>
      <c r="O477" s="2" t="s">
        <v>36</v>
      </c>
      <c r="P477" s="2" t="s">
        <v>53</v>
      </c>
      <c r="Q477" s="3"/>
      <c r="R477" s="3"/>
      <c r="S477" s="2" t="s">
        <v>21</v>
      </c>
      <c r="T477" s="4">
        <v>44955</v>
      </c>
      <c r="U477" s="2" t="s">
        <v>712</v>
      </c>
      <c r="V477" s="6">
        <f>(Real_Sales[[#This Row],[Price_retail]]-Real_Sales[[#This Row],[Price_current]])/Real_Sales[[#This Row],[Price_retail]]</f>
        <v>0</v>
      </c>
      <c r="W477" s="3" t="str" cm="1">
        <f t="array" ref="W4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77" s="2" t="str">
        <f>IF(Real_Sales[[#This Row],[Price_retail]]&gt;$AC$3,"Premium","Average")</f>
        <v>Average</v>
      </c>
      <c r="Y477" s="2" t="str">
        <f>IF(ISNUMBER(SEARCH("Basic",Real_Sales[[#This Row],[Product_name]])),"Yes","No")</f>
        <v>No</v>
      </c>
      <c r="Z477" s="2" cm="1">
        <f t="array" ref="Z477">_xlfn.IFS(Real_Sales[[#This Row],[Price_retail]]&lt;=15,1, Real_Sales[[#This Row],[Price_retail]]&lt;=30,2, Real_Sales[[#This Row],[Price_retail]]&lt;=50,3,Real_Sales[[#This Row],[Price_retail]]&gt;50,4)</f>
        <v>2</v>
      </c>
    </row>
    <row r="478" spans="1:26" x14ac:dyDescent="0.35">
      <c r="A478" s="2" t="s">
        <v>713</v>
      </c>
      <c r="B478" s="2" t="s">
        <v>714</v>
      </c>
      <c r="C478" s="2" t="s">
        <v>3410</v>
      </c>
      <c r="D478" s="2" t="s">
        <v>413</v>
      </c>
      <c r="E478" s="2" t="s">
        <v>4</v>
      </c>
      <c r="F478" s="2" t="s">
        <v>17</v>
      </c>
      <c r="G478" s="2" t="s">
        <v>50</v>
      </c>
      <c r="H478" s="2" t="s">
        <v>19</v>
      </c>
      <c r="I478" s="2" t="s">
        <v>3395</v>
      </c>
      <c r="J478" s="3">
        <v>16.02</v>
      </c>
      <c r="K478" s="3">
        <v>11.87</v>
      </c>
      <c r="L478" s="2" t="s">
        <v>8</v>
      </c>
      <c r="M478" s="2" t="s">
        <v>9</v>
      </c>
      <c r="N478" s="3">
        <v>696</v>
      </c>
      <c r="O478" s="2" t="s">
        <v>98</v>
      </c>
      <c r="P478" s="2" t="s">
        <v>215</v>
      </c>
      <c r="Q478" s="3"/>
      <c r="R478" s="3"/>
      <c r="S478" s="2" t="s">
        <v>21</v>
      </c>
      <c r="T478" s="4">
        <v>44955</v>
      </c>
      <c r="U478" s="2" t="s">
        <v>715</v>
      </c>
      <c r="V478" s="6">
        <f>(Real_Sales[[#This Row],[Price_retail]]-Real_Sales[[#This Row],[Price_current]])/Real_Sales[[#This Row],[Price_retail]]</f>
        <v>0.25905118601747817</v>
      </c>
      <c r="W478" s="3" t="str" cm="1">
        <f t="array" ref="W47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78" s="2" t="str">
        <f>IF(Real_Sales[[#This Row],[Price_retail]]&gt;$AC$3,"Premium","Average")</f>
        <v>Average</v>
      </c>
      <c r="Y478" s="2" t="str">
        <f>IF(ISNUMBER(SEARCH("Basic",Real_Sales[[#This Row],[Product_name]])),"Yes","No")</f>
        <v>No</v>
      </c>
      <c r="Z478" s="2" cm="1">
        <f t="array" ref="Z478">_xlfn.IFS(Real_Sales[[#This Row],[Price_retail]]&lt;=15,1, Real_Sales[[#This Row],[Price_retail]]&lt;=30,2, Real_Sales[[#This Row],[Price_retail]]&lt;=50,3,Real_Sales[[#This Row],[Price_retail]]&gt;50,4)</f>
        <v>2</v>
      </c>
    </row>
    <row r="479" spans="1:26" x14ac:dyDescent="0.35">
      <c r="A479" s="2" t="s">
        <v>309</v>
      </c>
      <c r="B479" s="2" t="s">
        <v>310</v>
      </c>
      <c r="C479" s="2" t="s">
        <v>2915</v>
      </c>
      <c r="D479" s="2" t="s">
        <v>42</v>
      </c>
      <c r="E479" s="2" t="s">
        <v>4</v>
      </c>
      <c r="F479" s="2" t="s">
        <v>5</v>
      </c>
      <c r="G479" s="2" t="s">
        <v>82</v>
      </c>
      <c r="H479" s="2"/>
      <c r="I479" s="2" t="s">
        <v>3390</v>
      </c>
      <c r="J479" s="3">
        <v>16.03</v>
      </c>
      <c r="K479" s="3">
        <v>13.1</v>
      </c>
      <c r="L479" s="2" t="s">
        <v>8</v>
      </c>
      <c r="M479" s="2" t="s">
        <v>9</v>
      </c>
      <c r="N479" s="3">
        <v>286</v>
      </c>
      <c r="O479" s="2" t="s">
        <v>43</v>
      </c>
      <c r="P479" s="2" t="s">
        <v>221</v>
      </c>
      <c r="Q479" s="3"/>
      <c r="R479" s="3"/>
      <c r="S479" s="2" t="s">
        <v>21</v>
      </c>
      <c r="T479" s="4">
        <v>44955</v>
      </c>
      <c r="U479" s="2" t="s">
        <v>311</v>
      </c>
      <c r="V479" s="6">
        <f>(Real_Sales[[#This Row],[Price_retail]]-Real_Sales[[#This Row],[Price_current]])/Real_Sales[[#This Row],[Price_retail]]</f>
        <v>0.18278228321896453</v>
      </c>
      <c r="W479" s="3" t="str" cm="1">
        <f t="array" ref="W47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479" s="2" t="str">
        <f>IF(Real_Sales[[#This Row],[Price_retail]]&gt;$AC$3,"Premium","Average")</f>
        <v>Average</v>
      </c>
      <c r="Y479" s="2" t="str">
        <f>IF(ISNUMBER(SEARCH("Basic",Real_Sales[[#This Row],[Product_name]])),"Yes","No")</f>
        <v>No</v>
      </c>
      <c r="Z479" s="2" cm="1">
        <f t="array" ref="Z479">_xlfn.IFS(Real_Sales[[#This Row],[Price_retail]]&lt;=15,1, Real_Sales[[#This Row],[Price_retail]]&lt;=30,2, Real_Sales[[#This Row],[Price_retail]]&lt;=50,3,Real_Sales[[#This Row],[Price_retail]]&gt;50,4)</f>
        <v>2</v>
      </c>
    </row>
    <row r="480" spans="1:26" x14ac:dyDescent="0.35">
      <c r="A480" s="2" t="s">
        <v>1058</v>
      </c>
      <c r="B480" s="2" t="s">
        <v>1059</v>
      </c>
      <c r="C480" s="2" t="s">
        <v>3414</v>
      </c>
      <c r="D480" s="2" t="s">
        <v>1060</v>
      </c>
      <c r="E480" s="2" t="s">
        <v>4</v>
      </c>
      <c r="F480" s="2" t="s">
        <v>17</v>
      </c>
      <c r="G480" s="2" t="s">
        <v>50</v>
      </c>
      <c r="H480" s="2" t="s">
        <v>418</v>
      </c>
      <c r="I480" s="2" t="s">
        <v>3390</v>
      </c>
      <c r="J480" s="3">
        <v>16.059999999999999</v>
      </c>
      <c r="K480" s="3">
        <v>13.48</v>
      </c>
      <c r="L480" s="2" t="s">
        <v>8</v>
      </c>
      <c r="M480" s="2" t="s">
        <v>9</v>
      </c>
      <c r="N480" s="3">
        <v>618</v>
      </c>
      <c r="O480" s="2" t="s">
        <v>3392</v>
      </c>
      <c r="P480" s="2" t="s">
        <v>53</v>
      </c>
      <c r="Q480" s="3"/>
      <c r="R480" s="3"/>
      <c r="S480" s="2" t="s">
        <v>21</v>
      </c>
      <c r="T480" s="4">
        <v>44955</v>
      </c>
      <c r="U480" s="2" t="s">
        <v>1061</v>
      </c>
      <c r="V480" s="6">
        <f>(Real_Sales[[#This Row],[Price_retail]]-Real_Sales[[#This Row],[Price_current]])/Real_Sales[[#This Row],[Price_retail]]</f>
        <v>0.16064757160647564</v>
      </c>
      <c r="W480" s="3" t="str" cm="1">
        <f t="array" ref="W480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480" s="2" t="str">
        <f>IF(Real_Sales[[#This Row],[Price_retail]]&gt;$AC$3,"Premium","Average")</f>
        <v>Average</v>
      </c>
      <c r="Y480" s="2" t="str">
        <f>IF(ISNUMBER(SEARCH("Basic",Real_Sales[[#This Row],[Product_name]])),"Yes","No")</f>
        <v>No</v>
      </c>
      <c r="Z480" s="2" cm="1">
        <f t="array" ref="Z480">_xlfn.IFS(Real_Sales[[#This Row],[Price_retail]]&lt;=15,1, Real_Sales[[#This Row],[Price_retail]]&lt;=30,2, Real_Sales[[#This Row],[Price_retail]]&lt;=50,3,Real_Sales[[#This Row],[Price_retail]]&gt;50,4)</f>
        <v>2</v>
      </c>
    </row>
    <row r="481" spans="1:26" x14ac:dyDescent="0.35">
      <c r="A481" s="2" t="s">
        <v>2174</v>
      </c>
      <c r="B481" s="2" t="s">
        <v>2175</v>
      </c>
      <c r="C481" s="2" t="s">
        <v>423</v>
      </c>
      <c r="D481" s="2" t="s">
        <v>392</v>
      </c>
      <c r="E481" s="2" t="s">
        <v>4</v>
      </c>
      <c r="F481" s="2" t="s">
        <v>17</v>
      </c>
      <c r="G481" s="2" t="s">
        <v>67</v>
      </c>
      <c r="H481" s="2" t="s">
        <v>19</v>
      </c>
      <c r="I481" s="2" t="s">
        <v>3393</v>
      </c>
      <c r="J481" s="3">
        <v>16.07</v>
      </c>
      <c r="K481" s="3">
        <v>8.4499999999999993</v>
      </c>
      <c r="L481" s="2" t="s">
        <v>8</v>
      </c>
      <c r="M481" s="2" t="s">
        <v>9</v>
      </c>
      <c r="N481" s="3">
        <v>789</v>
      </c>
      <c r="O481" s="2" t="s">
        <v>43</v>
      </c>
      <c r="P481" s="2" t="s">
        <v>221</v>
      </c>
      <c r="Q481" s="3"/>
      <c r="R481" s="3"/>
      <c r="S481" s="2" t="s">
        <v>21</v>
      </c>
      <c r="T481" s="4">
        <v>44955</v>
      </c>
      <c r="U481" s="2" t="s">
        <v>2176</v>
      </c>
      <c r="V481" s="6">
        <f>(Real_Sales[[#This Row],[Price_retail]]-Real_Sales[[#This Row],[Price_current]])/Real_Sales[[#This Row],[Price_retail]]</f>
        <v>0.47417548226509026</v>
      </c>
      <c r="W481" s="3" t="str" cm="1">
        <f t="array" ref="W48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81" s="2" t="str">
        <f>IF(Real_Sales[[#This Row],[Price_retail]]&gt;$AC$3,"Premium","Average")</f>
        <v>Average</v>
      </c>
      <c r="Y481" s="2" t="str">
        <f>IF(ISNUMBER(SEARCH("Basic",Real_Sales[[#This Row],[Product_name]])),"Yes","No")</f>
        <v>No</v>
      </c>
      <c r="Z481" s="2" cm="1">
        <f t="array" ref="Z481">_xlfn.IFS(Real_Sales[[#This Row],[Price_retail]]&lt;=15,1, Real_Sales[[#This Row],[Price_retail]]&lt;=30,2, Real_Sales[[#This Row],[Price_retail]]&lt;=50,3,Real_Sales[[#This Row],[Price_retail]]&gt;50,4)</f>
        <v>2</v>
      </c>
    </row>
    <row r="482" spans="1:26" x14ac:dyDescent="0.35">
      <c r="A482" s="2" t="s">
        <v>563</v>
      </c>
      <c r="B482" s="2" t="s">
        <v>564</v>
      </c>
      <c r="C482" s="2" t="s">
        <v>565</v>
      </c>
      <c r="D482" s="2" t="s">
        <v>417</v>
      </c>
      <c r="E482" s="2" t="s">
        <v>4</v>
      </c>
      <c r="F482" s="2" t="s">
        <v>17</v>
      </c>
      <c r="G482" s="2" t="s">
        <v>50</v>
      </c>
      <c r="H482" s="2" t="s">
        <v>418</v>
      </c>
      <c r="I482" s="2" t="s">
        <v>3393</v>
      </c>
      <c r="J482" s="3">
        <v>16.079999999999998</v>
      </c>
      <c r="K482" s="3">
        <v>12.13</v>
      </c>
      <c r="L482" s="2" t="s">
        <v>8</v>
      </c>
      <c r="M482" s="2" t="s">
        <v>9</v>
      </c>
      <c r="N482" s="3">
        <v>953</v>
      </c>
      <c r="O482" s="2" t="s">
        <v>43</v>
      </c>
      <c r="P482" s="2" t="s">
        <v>76</v>
      </c>
      <c r="Q482" s="3"/>
      <c r="R482" s="3"/>
      <c r="S482" s="2" t="s">
        <v>21</v>
      </c>
      <c r="T482" s="4">
        <v>44955</v>
      </c>
      <c r="U482" s="2" t="s">
        <v>566</v>
      </c>
      <c r="V482" s="6">
        <f>(Real_Sales[[#This Row],[Price_retail]]-Real_Sales[[#This Row],[Price_current]])/Real_Sales[[#This Row],[Price_retail]]</f>
        <v>0.2456467661691541</v>
      </c>
      <c r="W482" s="3" t="str" cm="1">
        <f t="array" ref="W48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82" s="2" t="str">
        <f>IF(Real_Sales[[#This Row],[Price_retail]]&gt;$AC$3,"Premium","Average")</f>
        <v>Average</v>
      </c>
      <c r="Y482" s="2" t="str">
        <f>IF(ISNUMBER(SEARCH("Basic",Real_Sales[[#This Row],[Product_name]])),"Yes","No")</f>
        <v>Yes</v>
      </c>
      <c r="Z482" s="2" cm="1">
        <f t="array" ref="Z482">_xlfn.IFS(Real_Sales[[#This Row],[Price_retail]]&lt;=15,1, Real_Sales[[#This Row],[Price_retail]]&lt;=30,2, Real_Sales[[#This Row],[Price_retail]]&lt;=50,3,Real_Sales[[#This Row],[Price_retail]]&gt;50,4)</f>
        <v>2</v>
      </c>
    </row>
    <row r="483" spans="1:26" x14ac:dyDescent="0.35">
      <c r="A483" s="2" t="s">
        <v>579</v>
      </c>
      <c r="B483" s="2" t="s">
        <v>580</v>
      </c>
      <c r="C483" s="2" t="s">
        <v>3433</v>
      </c>
      <c r="D483" s="2" t="s">
        <v>581</v>
      </c>
      <c r="E483" s="2" t="s">
        <v>4</v>
      </c>
      <c r="F483" s="2" t="s">
        <v>17</v>
      </c>
      <c r="G483" s="2" t="s">
        <v>27</v>
      </c>
      <c r="H483" s="2" t="s">
        <v>7</v>
      </c>
      <c r="I483" s="2" t="s">
        <v>3390</v>
      </c>
      <c r="J483" s="3">
        <v>16.12</v>
      </c>
      <c r="K483" s="3">
        <v>8.56</v>
      </c>
      <c r="L483" s="2" t="s">
        <v>8</v>
      </c>
      <c r="M483" s="2" t="s">
        <v>9</v>
      </c>
      <c r="N483" s="3">
        <v>66</v>
      </c>
      <c r="O483" s="2" t="s">
        <v>191</v>
      </c>
      <c r="P483" s="2" t="s">
        <v>221</v>
      </c>
      <c r="Q483" s="3"/>
      <c r="R483" s="3"/>
      <c r="S483" s="2" t="s">
        <v>21</v>
      </c>
      <c r="T483" s="4">
        <v>44955</v>
      </c>
      <c r="U483" s="2" t="s">
        <v>582</v>
      </c>
      <c r="V483" s="6">
        <f>(Real_Sales[[#This Row],[Price_retail]]-Real_Sales[[#This Row],[Price_current]])/Real_Sales[[#This Row],[Price_retail]]</f>
        <v>0.46898263027295284</v>
      </c>
      <c r="W483" s="3" t="str" cm="1">
        <f t="array" ref="W48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83" s="2" t="str">
        <f>IF(Real_Sales[[#This Row],[Price_retail]]&gt;$AC$3,"Premium","Average")</f>
        <v>Average</v>
      </c>
      <c r="Y483" s="2" t="str">
        <f>IF(ISNUMBER(SEARCH("Basic",Real_Sales[[#This Row],[Product_name]])),"Yes","No")</f>
        <v>No</v>
      </c>
      <c r="Z483" s="2" cm="1">
        <f t="array" ref="Z483">_xlfn.IFS(Real_Sales[[#This Row],[Price_retail]]&lt;=15,1, Real_Sales[[#This Row],[Price_retail]]&lt;=30,2, Real_Sales[[#This Row],[Price_retail]]&lt;=50,3,Real_Sales[[#This Row],[Price_retail]]&gt;50,4)</f>
        <v>2</v>
      </c>
    </row>
    <row r="484" spans="1:26" x14ac:dyDescent="0.35">
      <c r="A484" s="2" t="s">
        <v>1715</v>
      </c>
      <c r="B484" s="2" t="s">
        <v>1716</v>
      </c>
      <c r="C484" s="2" t="s">
        <v>88</v>
      </c>
      <c r="D484" s="2" t="s">
        <v>765</v>
      </c>
      <c r="E484" s="2" t="s">
        <v>4</v>
      </c>
      <c r="F484" s="2" t="s">
        <v>17</v>
      </c>
      <c r="G484" s="2" t="s">
        <v>67</v>
      </c>
      <c r="H484" s="2" t="s">
        <v>51</v>
      </c>
      <c r="I484" s="2" t="s">
        <v>3390</v>
      </c>
      <c r="J484" s="3">
        <v>16.149999999999999</v>
      </c>
      <c r="K484" s="3">
        <v>16.149999999999999</v>
      </c>
      <c r="L484" s="2" t="s">
        <v>248</v>
      </c>
      <c r="M484" s="2" t="s">
        <v>9</v>
      </c>
      <c r="N484" s="3">
        <v>786</v>
      </c>
      <c r="O484" s="2" t="s">
        <v>104</v>
      </c>
      <c r="P484" s="2" t="s">
        <v>84</v>
      </c>
      <c r="Q484" s="3"/>
      <c r="R484" s="3"/>
      <c r="S484" s="2" t="s">
        <v>21</v>
      </c>
      <c r="T484" s="4">
        <v>44955</v>
      </c>
      <c r="U484" s="2" t="s">
        <v>1717</v>
      </c>
      <c r="V484" s="6">
        <f>(Real_Sales[[#This Row],[Price_retail]]-Real_Sales[[#This Row],[Price_current]])/Real_Sales[[#This Row],[Price_retail]]</f>
        <v>0</v>
      </c>
      <c r="W484" s="3" t="str" cm="1">
        <f t="array" ref="W4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84" s="2" t="str">
        <f>IF(Real_Sales[[#This Row],[Price_retail]]&gt;$AC$3,"Premium","Average")</f>
        <v>Average</v>
      </c>
      <c r="Y484" s="2" t="str">
        <f>IF(ISNUMBER(SEARCH("Basic",Real_Sales[[#This Row],[Product_name]])),"Yes","No")</f>
        <v>No</v>
      </c>
      <c r="Z484" s="2" cm="1">
        <f t="array" ref="Z484">_xlfn.IFS(Real_Sales[[#This Row],[Price_retail]]&lt;=15,1, Real_Sales[[#This Row],[Price_retail]]&lt;=30,2, Real_Sales[[#This Row],[Price_retail]]&lt;=50,3,Real_Sales[[#This Row],[Price_retail]]&gt;50,4)</f>
        <v>2</v>
      </c>
    </row>
    <row r="485" spans="1:26" x14ac:dyDescent="0.35">
      <c r="A485" s="2" t="s">
        <v>2053</v>
      </c>
      <c r="B485" s="2" t="s">
        <v>2054</v>
      </c>
      <c r="C485" s="2" t="s">
        <v>721</v>
      </c>
      <c r="D485" s="2" t="s">
        <v>138</v>
      </c>
      <c r="E485" s="2" t="s">
        <v>4</v>
      </c>
      <c r="F485" s="2" t="s">
        <v>5</v>
      </c>
      <c r="G485" s="2" t="s">
        <v>82</v>
      </c>
      <c r="H485" s="2" t="s">
        <v>139</v>
      </c>
      <c r="I485" s="2" t="s">
        <v>3393</v>
      </c>
      <c r="J485" s="3">
        <v>16.170000000000002</v>
      </c>
      <c r="K485" s="3">
        <v>16.170000000000002</v>
      </c>
      <c r="L485" s="2" t="s">
        <v>3391</v>
      </c>
      <c r="M485" s="2" t="s">
        <v>9</v>
      </c>
      <c r="N485" s="3">
        <v>409</v>
      </c>
      <c r="O485" s="2" t="s">
        <v>3392</v>
      </c>
      <c r="P485" s="2" t="s">
        <v>76</v>
      </c>
      <c r="Q485" s="3"/>
      <c r="R485" s="3"/>
      <c r="S485" s="2" t="s">
        <v>21</v>
      </c>
      <c r="T485" s="4">
        <v>44955</v>
      </c>
      <c r="U485" s="2" t="s">
        <v>2055</v>
      </c>
      <c r="V485" s="6">
        <f>(Real_Sales[[#This Row],[Price_retail]]-Real_Sales[[#This Row],[Price_current]])/Real_Sales[[#This Row],[Price_retail]]</f>
        <v>0</v>
      </c>
      <c r="W485" s="3" t="str" cm="1">
        <f t="array" ref="W48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85" s="2" t="str">
        <f>IF(Real_Sales[[#This Row],[Price_retail]]&gt;$AC$3,"Premium","Average")</f>
        <v>Average</v>
      </c>
      <c r="Y485" s="2" t="str">
        <f>IF(ISNUMBER(SEARCH("Basic",Real_Sales[[#This Row],[Product_name]])),"Yes","No")</f>
        <v>Yes</v>
      </c>
      <c r="Z485" s="2" cm="1">
        <f t="array" ref="Z485">_xlfn.IFS(Real_Sales[[#This Row],[Price_retail]]&lt;=15,1, Real_Sales[[#This Row],[Price_retail]]&lt;=30,2, Real_Sales[[#This Row],[Price_retail]]&lt;=50,3,Real_Sales[[#This Row],[Price_retail]]&gt;50,4)</f>
        <v>2</v>
      </c>
    </row>
    <row r="486" spans="1:26" x14ac:dyDescent="0.35">
      <c r="A486" s="2" t="s">
        <v>748</v>
      </c>
      <c r="B486" s="2" t="s">
        <v>749</v>
      </c>
      <c r="C486" s="2" t="s">
        <v>750</v>
      </c>
      <c r="D486" s="2" t="s">
        <v>751</v>
      </c>
      <c r="E486" s="2" t="s">
        <v>4</v>
      </c>
      <c r="F486" s="2" t="s">
        <v>5</v>
      </c>
      <c r="G486" s="2" t="s">
        <v>121</v>
      </c>
      <c r="H486" s="2" t="s">
        <v>185</v>
      </c>
      <c r="I486" s="2" t="s">
        <v>3390</v>
      </c>
      <c r="J486" s="3">
        <v>16.2</v>
      </c>
      <c r="K486" s="3">
        <v>16.2</v>
      </c>
      <c r="L486" s="2" t="s">
        <v>3391</v>
      </c>
      <c r="M486" s="2" t="s">
        <v>9</v>
      </c>
      <c r="N486" s="3">
        <v>895</v>
      </c>
      <c r="O486" s="2" t="s">
        <v>3392</v>
      </c>
      <c r="P486" s="2" t="s">
        <v>163</v>
      </c>
      <c r="Q486" s="3"/>
      <c r="R486" s="3"/>
      <c r="S486" s="2" t="s">
        <v>21</v>
      </c>
      <c r="T486" s="4">
        <v>44955</v>
      </c>
      <c r="U486" s="2" t="s">
        <v>752</v>
      </c>
      <c r="V486" s="6">
        <f>(Real_Sales[[#This Row],[Price_retail]]-Real_Sales[[#This Row],[Price_current]])/Real_Sales[[#This Row],[Price_retail]]</f>
        <v>0</v>
      </c>
      <c r="W486" s="3" t="str" cm="1">
        <f t="array" ref="W48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86" s="2" t="str">
        <f>IF(Real_Sales[[#This Row],[Price_retail]]&gt;$AC$3,"Premium","Average")</f>
        <v>Average</v>
      </c>
      <c r="Y486" s="2" t="str">
        <f>IF(ISNUMBER(SEARCH("Basic",Real_Sales[[#This Row],[Product_name]])),"Yes","No")</f>
        <v>No</v>
      </c>
      <c r="Z486" s="2" cm="1">
        <f t="array" ref="Z486">_xlfn.IFS(Real_Sales[[#This Row],[Price_retail]]&lt;=15,1, Real_Sales[[#This Row],[Price_retail]]&lt;=30,2, Real_Sales[[#This Row],[Price_retail]]&lt;=50,3,Real_Sales[[#This Row],[Price_retail]]&gt;50,4)</f>
        <v>2</v>
      </c>
    </row>
    <row r="487" spans="1:26" x14ac:dyDescent="0.35">
      <c r="A487" s="2" t="s">
        <v>1487</v>
      </c>
      <c r="B487" s="2" t="s">
        <v>1488</v>
      </c>
      <c r="C487" s="2" t="s">
        <v>65</v>
      </c>
      <c r="D487" s="2" t="s">
        <v>424</v>
      </c>
      <c r="E487" s="2" t="s">
        <v>4</v>
      </c>
      <c r="F487" s="2" t="s">
        <v>5</v>
      </c>
      <c r="G487" s="2" t="s">
        <v>6</v>
      </c>
      <c r="H487" s="2" t="s">
        <v>59</v>
      </c>
      <c r="I487" s="2" t="s">
        <v>3390</v>
      </c>
      <c r="J487" s="3">
        <v>16.2</v>
      </c>
      <c r="K487" s="3">
        <v>16.2</v>
      </c>
      <c r="L487" s="2" t="s">
        <v>3391</v>
      </c>
      <c r="M487" s="2" t="s">
        <v>9</v>
      </c>
      <c r="N487" s="3">
        <v>28</v>
      </c>
      <c r="O487" s="2" t="s">
        <v>3392</v>
      </c>
      <c r="P487" s="2" t="s">
        <v>53</v>
      </c>
      <c r="Q487" s="3"/>
      <c r="R487" s="3"/>
      <c r="S487" s="2" t="s">
        <v>21</v>
      </c>
      <c r="T487" s="4">
        <v>44955</v>
      </c>
      <c r="U487" s="2" t="s">
        <v>1489</v>
      </c>
      <c r="V487" s="6">
        <f>(Real_Sales[[#This Row],[Price_retail]]-Real_Sales[[#This Row],[Price_current]])/Real_Sales[[#This Row],[Price_retail]]</f>
        <v>0</v>
      </c>
      <c r="W487" s="3" t="str" cm="1">
        <f t="array" ref="W48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87" s="2" t="str">
        <f>IF(Real_Sales[[#This Row],[Price_retail]]&gt;$AC$3,"Premium","Average")</f>
        <v>Average</v>
      </c>
      <c r="Y487" s="2" t="str">
        <f>IF(ISNUMBER(SEARCH("Basic",Real_Sales[[#This Row],[Product_name]])),"Yes","No")</f>
        <v>No</v>
      </c>
      <c r="Z487" s="2" cm="1">
        <f t="array" ref="Z487">_xlfn.IFS(Real_Sales[[#This Row],[Price_retail]]&lt;=15,1, Real_Sales[[#This Row],[Price_retail]]&lt;=30,2, Real_Sales[[#This Row],[Price_retail]]&lt;=50,3,Real_Sales[[#This Row],[Price_retail]]&gt;50,4)</f>
        <v>2</v>
      </c>
    </row>
    <row r="488" spans="1:26" x14ac:dyDescent="0.35">
      <c r="A488" s="2" t="s">
        <v>1738</v>
      </c>
      <c r="B488" s="2" t="s">
        <v>1739</v>
      </c>
      <c r="C488" s="2" t="s">
        <v>108</v>
      </c>
      <c r="D488" s="2" t="s">
        <v>640</v>
      </c>
      <c r="E488" s="2" t="s">
        <v>4</v>
      </c>
      <c r="F488" s="2" t="s">
        <v>17</v>
      </c>
      <c r="G488" s="2" t="s">
        <v>50</v>
      </c>
      <c r="H488" s="2" t="s">
        <v>139</v>
      </c>
      <c r="I488" s="2" t="s">
        <v>3393</v>
      </c>
      <c r="J488" s="3">
        <v>16.2</v>
      </c>
      <c r="K488" s="3">
        <v>16.2</v>
      </c>
      <c r="L488" s="2" t="s">
        <v>3391</v>
      </c>
      <c r="M488" s="2" t="s">
        <v>9</v>
      </c>
      <c r="N488" s="3">
        <v>196</v>
      </c>
      <c r="O488" s="2" t="s">
        <v>69</v>
      </c>
      <c r="P488" s="2" t="s">
        <v>238</v>
      </c>
      <c r="Q488" s="3"/>
      <c r="R488" s="3"/>
      <c r="S488" s="2" t="s">
        <v>12</v>
      </c>
      <c r="T488" s="4">
        <v>44955</v>
      </c>
      <c r="U488" s="2" t="s">
        <v>1740</v>
      </c>
      <c r="V488" s="6">
        <f>(Real_Sales[[#This Row],[Price_retail]]-Real_Sales[[#This Row],[Price_current]])/Real_Sales[[#This Row],[Price_retail]]</f>
        <v>0</v>
      </c>
      <c r="W488" s="3" t="str" cm="1">
        <f t="array" ref="W48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88" s="2" t="str">
        <f>IF(Real_Sales[[#This Row],[Price_retail]]&gt;$AC$3,"Premium","Average")</f>
        <v>Average</v>
      </c>
      <c r="Y488" s="2" t="str">
        <f>IF(ISNUMBER(SEARCH("Basic",Real_Sales[[#This Row],[Product_name]])),"Yes","No")</f>
        <v>No</v>
      </c>
      <c r="Z488" s="2" cm="1">
        <f t="array" ref="Z488">_xlfn.IFS(Real_Sales[[#This Row],[Price_retail]]&lt;=15,1, Real_Sales[[#This Row],[Price_retail]]&lt;=30,2, Real_Sales[[#This Row],[Price_retail]]&lt;=50,3,Real_Sales[[#This Row],[Price_retail]]&gt;50,4)</f>
        <v>2</v>
      </c>
    </row>
    <row r="489" spans="1:26" x14ac:dyDescent="0.35">
      <c r="A489" s="2" t="s">
        <v>2752</v>
      </c>
      <c r="B489" s="2" t="s">
        <v>2753</v>
      </c>
      <c r="C489" s="2" t="s">
        <v>242</v>
      </c>
      <c r="D489" s="2" t="s">
        <v>1773</v>
      </c>
      <c r="E489" s="2" t="s">
        <v>4</v>
      </c>
      <c r="F489" s="2" t="s">
        <v>17</v>
      </c>
      <c r="G489" s="2" t="s">
        <v>18</v>
      </c>
      <c r="H489" s="2" t="s">
        <v>333</v>
      </c>
      <c r="I489" s="2" t="s">
        <v>3393</v>
      </c>
      <c r="J489" s="3">
        <v>16.22</v>
      </c>
      <c r="K489" s="3">
        <v>16.22</v>
      </c>
      <c r="L489" s="2" t="s">
        <v>248</v>
      </c>
      <c r="M489" s="2" t="s">
        <v>9</v>
      </c>
      <c r="N489" s="3">
        <v>521</v>
      </c>
      <c r="O489" s="2" t="s">
        <v>91</v>
      </c>
      <c r="P489" s="2" t="s">
        <v>53</v>
      </c>
      <c r="Q489" s="3"/>
      <c r="R489" s="3"/>
      <c r="S489" s="2" t="s">
        <v>21</v>
      </c>
      <c r="T489" s="4">
        <v>44955</v>
      </c>
      <c r="U489" s="2" t="s">
        <v>2754</v>
      </c>
      <c r="V489" s="6">
        <f>(Real_Sales[[#This Row],[Price_retail]]-Real_Sales[[#This Row],[Price_current]])/Real_Sales[[#This Row],[Price_retail]]</f>
        <v>0</v>
      </c>
      <c r="W489" s="3" t="str" cm="1">
        <f t="array" ref="W48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89" s="2" t="str">
        <f>IF(Real_Sales[[#This Row],[Price_retail]]&gt;$AC$3,"Premium","Average")</f>
        <v>Average</v>
      </c>
      <c r="Y489" s="2" t="str">
        <f>IF(ISNUMBER(SEARCH("Basic",Real_Sales[[#This Row],[Product_name]])),"Yes","No")</f>
        <v>No</v>
      </c>
      <c r="Z489" s="2" cm="1">
        <f t="array" ref="Z489">_xlfn.IFS(Real_Sales[[#This Row],[Price_retail]]&lt;=15,1, Real_Sales[[#This Row],[Price_retail]]&lt;=30,2, Real_Sales[[#This Row],[Price_retail]]&lt;=50,3,Real_Sales[[#This Row],[Price_retail]]&gt;50,4)</f>
        <v>2</v>
      </c>
    </row>
    <row r="490" spans="1:26" x14ac:dyDescent="0.35">
      <c r="A490" s="2" t="s">
        <v>3233</v>
      </c>
      <c r="B490" s="2" t="s">
        <v>3234</v>
      </c>
      <c r="C490" s="2" t="s">
        <v>999</v>
      </c>
      <c r="D490" s="2" t="s">
        <v>1285</v>
      </c>
      <c r="E490" s="2" t="s">
        <v>4</v>
      </c>
      <c r="F490" s="2" t="s">
        <v>17</v>
      </c>
      <c r="G490" s="2" t="s">
        <v>18</v>
      </c>
      <c r="H490" s="2" t="s">
        <v>134</v>
      </c>
      <c r="I490" s="2" t="s">
        <v>3390</v>
      </c>
      <c r="J490" s="3">
        <v>16.25</v>
      </c>
      <c r="K490" s="3">
        <v>16.25</v>
      </c>
      <c r="L490" s="2" t="s">
        <v>3391</v>
      </c>
      <c r="M490" s="2" t="s">
        <v>9</v>
      </c>
      <c r="N490" s="3">
        <v>675</v>
      </c>
      <c r="O490" s="2" t="s">
        <v>36</v>
      </c>
      <c r="P490" s="2" t="s">
        <v>177</v>
      </c>
      <c r="Q490" s="3"/>
      <c r="R490" s="3"/>
      <c r="S490" s="2" t="s">
        <v>21</v>
      </c>
      <c r="T490" s="4">
        <v>44955</v>
      </c>
      <c r="U490" s="2" t="s">
        <v>3235</v>
      </c>
      <c r="V490" s="6">
        <f>(Real_Sales[[#This Row],[Price_retail]]-Real_Sales[[#This Row],[Price_current]])/Real_Sales[[#This Row],[Price_retail]]</f>
        <v>0</v>
      </c>
      <c r="W490" s="3" t="str" cm="1">
        <f t="array" ref="W49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90" s="2" t="str">
        <f>IF(Real_Sales[[#This Row],[Price_retail]]&gt;$AC$3,"Premium","Average")</f>
        <v>Average</v>
      </c>
      <c r="Y490" s="2" t="str">
        <f>IF(ISNUMBER(SEARCH("Basic",Real_Sales[[#This Row],[Product_name]])),"Yes","No")</f>
        <v>Yes</v>
      </c>
      <c r="Z490" s="2" cm="1">
        <f t="array" ref="Z490">_xlfn.IFS(Real_Sales[[#This Row],[Price_retail]]&lt;=15,1, Real_Sales[[#This Row],[Price_retail]]&lt;=30,2, Real_Sales[[#This Row],[Price_retail]]&lt;=50,3,Real_Sales[[#This Row],[Price_retail]]&gt;50,4)</f>
        <v>2</v>
      </c>
    </row>
    <row r="491" spans="1:26" x14ac:dyDescent="0.35">
      <c r="A491" s="2" t="s">
        <v>2728</v>
      </c>
      <c r="B491" s="2" t="s">
        <v>2729</v>
      </c>
      <c r="C491" s="2" t="s">
        <v>65</v>
      </c>
      <c r="D491" s="2" t="s">
        <v>97</v>
      </c>
      <c r="E491" s="2" t="s">
        <v>4</v>
      </c>
      <c r="F491" s="2" t="s">
        <v>5</v>
      </c>
      <c r="G491" s="2" t="s">
        <v>6</v>
      </c>
      <c r="H491" s="2" t="s">
        <v>90</v>
      </c>
      <c r="I491" s="2" t="s">
        <v>3393</v>
      </c>
      <c r="J491" s="3">
        <v>16.36</v>
      </c>
      <c r="K491" s="3">
        <v>12.55</v>
      </c>
      <c r="L491" s="2" t="s">
        <v>8</v>
      </c>
      <c r="M491" s="2" t="s">
        <v>9</v>
      </c>
      <c r="N491" s="3">
        <v>436</v>
      </c>
      <c r="O491" s="2" t="s">
        <v>3392</v>
      </c>
      <c r="P491" s="2" t="s">
        <v>553</v>
      </c>
      <c r="Q491" s="3"/>
      <c r="R491" s="3"/>
      <c r="S491" s="2" t="s">
        <v>12</v>
      </c>
      <c r="T491" s="4">
        <v>44955</v>
      </c>
      <c r="U491" s="2" t="s">
        <v>2730</v>
      </c>
      <c r="V491" s="6">
        <f>(Real_Sales[[#This Row],[Price_retail]]-Real_Sales[[#This Row],[Price_current]])/Real_Sales[[#This Row],[Price_retail]]</f>
        <v>0.23288508557457205</v>
      </c>
      <c r="W491" s="3" t="str" cm="1">
        <f t="array" ref="W49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91" s="2" t="str">
        <f>IF(Real_Sales[[#This Row],[Price_retail]]&gt;$AC$3,"Premium","Average")</f>
        <v>Average</v>
      </c>
      <c r="Y491" s="2" t="str">
        <f>IF(ISNUMBER(SEARCH("Basic",Real_Sales[[#This Row],[Product_name]])),"Yes","No")</f>
        <v>No</v>
      </c>
      <c r="Z491" s="2" cm="1">
        <f t="array" ref="Z491">_xlfn.IFS(Real_Sales[[#This Row],[Price_retail]]&lt;=15,1, Real_Sales[[#This Row],[Price_retail]]&lt;=30,2, Real_Sales[[#This Row],[Price_retail]]&lt;=50,3,Real_Sales[[#This Row],[Price_retail]]&gt;50,4)</f>
        <v>2</v>
      </c>
    </row>
    <row r="492" spans="1:26" x14ac:dyDescent="0.35">
      <c r="A492" s="2" t="s">
        <v>896</v>
      </c>
      <c r="B492" s="2" t="s">
        <v>897</v>
      </c>
      <c r="C492" s="2" t="s">
        <v>565</v>
      </c>
      <c r="D492" s="2" t="s">
        <v>640</v>
      </c>
      <c r="E492" s="2" t="s">
        <v>4</v>
      </c>
      <c r="F492" s="2" t="s">
        <v>17</v>
      </c>
      <c r="G492" s="2" t="s">
        <v>67</v>
      </c>
      <c r="H492" s="2" t="s">
        <v>139</v>
      </c>
      <c r="I492" s="2" t="s">
        <v>3390</v>
      </c>
      <c r="J492" s="3">
        <v>16.43</v>
      </c>
      <c r="K492" s="3">
        <v>16.43</v>
      </c>
      <c r="L492" s="2" t="s">
        <v>3391</v>
      </c>
      <c r="M492" s="2" t="s">
        <v>9</v>
      </c>
      <c r="N492" s="3">
        <v>616</v>
      </c>
      <c r="O492" s="2" t="s">
        <v>664</v>
      </c>
      <c r="P492" s="2" t="s">
        <v>128</v>
      </c>
      <c r="Q492" s="3"/>
      <c r="R492" s="3"/>
      <c r="S492" s="2" t="s">
        <v>21</v>
      </c>
      <c r="T492" s="4">
        <v>44955</v>
      </c>
      <c r="U492" s="2" t="s">
        <v>898</v>
      </c>
      <c r="V492" s="6">
        <f>(Real_Sales[[#This Row],[Price_retail]]-Real_Sales[[#This Row],[Price_current]])/Real_Sales[[#This Row],[Price_retail]]</f>
        <v>0</v>
      </c>
      <c r="W492" s="3" t="str" cm="1">
        <f t="array" ref="W4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92" s="2" t="str">
        <f>IF(Real_Sales[[#This Row],[Price_retail]]&gt;$AC$3,"Premium","Average")</f>
        <v>Average</v>
      </c>
      <c r="Y492" s="2" t="str">
        <f>IF(ISNUMBER(SEARCH("Basic",Real_Sales[[#This Row],[Product_name]])),"Yes","No")</f>
        <v>No</v>
      </c>
      <c r="Z492" s="2" cm="1">
        <f t="array" ref="Z492">_xlfn.IFS(Real_Sales[[#This Row],[Price_retail]]&lt;=15,1, Real_Sales[[#This Row],[Price_retail]]&lt;=30,2, Real_Sales[[#This Row],[Price_retail]]&lt;=50,3,Real_Sales[[#This Row],[Price_retail]]&gt;50,4)</f>
        <v>2</v>
      </c>
    </row>
    <row r="493" spans="1:26" x14ac:dyDescent="0.35">
      <c r="A493" s="2" t="s">
        <v>1484</v>
      </c>
      <c r="B493" s="2" t="s">
        <v>1485</v>
      </c>
      <c r="C493" s="2" t="s">
        <v>246</v>
      </c>
      <c r="D493" s="2" t="s">
        <v>1011</v>
      </c>
      <c r="E493" s="2" t="s">
        <v>4</v>
      </c>
      <c r="F493" s="2" t="s">
        <v>17</v>
      </c>
      <c r="G493" s="2" t="s">
        <v>27</v>
      </c>
      <c r="H493" s="2" t="s">
        <v>68</v>
      </c>
      <c r="I493" s="2" t="s">
        <v>3389</v>
      </c>
      <c r="J493" s="3">
        <v>16.45</v>
      </c>
      <c r="K493" s="3">
        <v>13.22</v>
      </c>
      <c r="L493" s="2" t="s">
        <v>8</v>
      </c>
      <c r="M493" s="2" t="s">
        <v>9</v>
      </c>
      <c r="N493" s="3">
        <v>11</v>
      </c>
      <c r="O493" s="2" t="s">
        <v>52</v>
      </c>
      <c r="P493" s="2" t="s">
        <v>221</v>
      </c>
      <c r="Q493" s="3"/>
      <c r="R493" s="3"/>
      <c r="S493" s="2" t="s">
        <v>21</v>
      </c>
      <c r="T493" s="4">
        <v>44955</v>
      </c>
      <c r="U493" s="2" t="s">
        <v>1486</v>
      </c>
      <c r="V493" s="6">
        <f>(Real_Sales[[#This Row],[Price_retail]]-Real_Sales[[#This Row],[Price_current]])/Real_Sales[[#This Row],[Price_retail]]</f>
        <v>0.19635258358662608</v>
      </c>
      <c r="W493" s="3" t="str" cm="1">
        <f t="array" ref="W493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493" s="2" t="str">
        <f>IF(Real_Sales[[#This Row],[Price_retail]]&gt;$AC$3,"Premium","Average")</f>
        <v>Average</v>
      </c>
      <c r="Y493" s="2" t="str">
        <f>IF(ISNUMBER(SEARCH("Basic",Real_Sales[[#This Row],[Product_name]])),"Yes","No")</f>
        <v>No</v>
      </c>
      <c r="Z493" s="2" cm="1">
        <f t="array" ref="Z493">_xlfn.IFS(Real_Sales[[#This Row],[Price_retail]]&lt;=15,1, Real_Sales[[#This Row],[Price_retail]]&lt;=30,2, Real_Sales[[#This Row],[Price_retail]]&lt;=50,3,Real_Sales[[#This Row],[Price_retail]]&gt;50,4)</f>
        <v>2</v>
      </c>
    </row>
    <row r="494" spans="1:26" x14ac:dyDescent="0.35">
      <c r="A494" s="2" t="s">
        <v>1078</v>
      </c>
      <c r="B494" s="2" t="s">
        <v>1079</v>
      </c>
      <c r="C494" s="2" t="s">
        <v>423</v>
      </c>
      <c r="D494" s="2" t="s">
        <v>1050</v>
      </c>
      <c r="E494" s="2" t="s">
        <v>4</v>
      </c>
      <c r="F494" s="2" t="s">
        <v>5</v>
      </c>
      <c r="G494" s="2" t="s">
        <v>6</v>
      </c>
      <c r="H494" s="2" t="s">
        <v>68</v>
      </c>
      <c r="I494" s="2" t="s">
        <v>3390</v>
      </c>
      <c r="J494" s="3">
        <v>16.45</v>
      </c>
      <c r="K494" s="3">
        <v>16.45</v>
      </c>
      <c r="L494" s="2" t="s">
        <v>3391</v>
      </c>
      <c r="M494" s="2" t="s">
        <v>9</v>
      </c>
      <c r="N494" s="3">
        <v>44</v>
      </c>
      <c r="O494" s="2" t="s">
        <v>3392</v>
      </c>
      <c r="P494" s="2" t="s">
        <v>238</v>
      </c>
      <c r="Q494" s="3"/>
      <c r="R494" s="3"/>
      <c r="S494" s="2" t="s">
        <v>21</v>
      </c>
      <c r="T494" s="4">
        <v>44955</v>
      </c>
      <c r="U494" s="2" t="s">
        <v>1080</v>
      </c>
      <c r="V494" s="6">
        <f>(Real_Sales[[#This Row],[Price_retail]]-Real_Sales[[#This Row],[Price_current]])/Real_Sales[[#This Row],[Price_retail]]</f>
        <v>0</v>
      </c>
      <c r="W494" s="3" t="str" cm="1">
        <f t="array" ref="W4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94" s="2" t="str">
        <f>IF(Real_Sales[[#This Row],[Price_retail]]&gt;$AC$3,"Premium","Average")</f>
        <v>Average</v>
      </c>
      <c r="Y494" s="2" t="str">
        <f>IF(ISNUMBER(SEARCH("Basic",Real_Sales[[#This Row],[Product_name]])),"Yes","No")</f>
        <v>Yes</v>
      </c>
      <c r="Z494" s="2" cm="1">
        <f t="array" ref="Z494">_xlfn.IFS(Real_Sales[[#This Row],[Price_retail]]&lt;=15,1, Real_Sales[[#This Row],[Price_retail]]&lt;=30,2, Real_Sales[[#This Row],[Price_retail]]&lt;=50,3,Real_Sales[[#This Row],[Price_retail]]&gt;50,4)</f>
        <v>2</v>
      </c>
    </row>
    <row r="495" spans="1:26" x14ac:dyDescent="0.35">
      <c r="A495" s="2" t="s">
        <v>2414</v>
      </c>
      <c r="B495" s="2" t="s">
        <v>2415</v>
      </c>
      <c r="C495" s="2" t="s">
        <v>616</v>
      </c>
      <c r="D495" s="2" t="s">
        <v>617</v>
      </c>
      <c r="E495" s="2" t="s">
        <v>4</v>
      </c>
      <c r="F495" s="2" t="s">
        <v>5</v>
      </c>
      <c r="G495" s="2" t="s">
        <v>82</v>
      </c>
      <c r="H495" s="2" t="s">
        <v>83</v>
      </c>
      <c r="I495" s="2" t="s">
        <v>3395</v>
      </c>
      <c r="J495" s="3">
        <v>16.47</v>
      </c>
      <c r="K495" s="3">
        <v>10.66</v>
      </c>
      <c r="L495" s="2" t="s">
        <v>8</v>
      </c>
      <c r="M495" s="2" t="s">
        <v>9</v>
      </c>
      <c r="N495" s="3">
        <v>97</v>
      </c>
      <c r="O495" s="2" t="s">
        <v>347</v>
      </c>
      <c r="P495" s="2" t="s">
        <v>53</v>
      </c>
      <c r="Q495" s="3"/>
      <c r="R495" s="3"/>
      <c r="S495" s="2" t="s">
        <v>21</v>
      </c>
      <c r="T495" s="4">
        <v>44955</v>
      </c>
      <c r="U495" s="2" t="s">
        <v>2416</v>
      </c>
      <c r="V495" s="6">
        <f>(Real_Sales[[#This Row],[Price_retail]]-Real_Sales[[#This Row],[Price_current]])/Real_Sales[[#This Row],[Price_retail]]</f>
        <v>0.35276259866423798</v>
      </c>
      <c r="W495" s="3" t="str" cm="1">
        <f t="array" ref="W49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95" s="2" t="str">
        <f>IF(Real_Sales[[#This Row],[Price_retail]]&gt;$AC$3,"Premium","Average")</f>
        <v>Average</v>
      </c>
      <c r="Y495" s="2" t="str">
        <f>IF(ISNUMBER(SEARCH("Basic",Real_Sales[[#This Row],[Product_name]])),"Yes","No")</f>
        <v>No</v>
      </c>
      <c r="Z495" s="2" cm="1">
        <f t="array" ref="Z495">_xlfn.IFS(Real_Sales[[#This Row],[Price_retail]]&lt;=15,1, Real_Sales[[#This Row],[Price_retail]]&lt;=30,2, Real_Sales[[#This Row],[Price_retail]]&lt;=50,3,Real_Sales[[#This Row],[Price_retail]]&gt;50,4)</f>
        <v>2</v>
      </c>
    </row>
    <row r="496" spans="1:26" x14ac:dyDescent="0.35">
      <c r="A496" s="2" t="s">
        <v>614</v>
      </c>
      <c r="B496" s="2" t="s">
        <v>615</v>
      </c>
      <c r="C496" s="2" t="s">
        <v>616</v>
      </c>
      <c r="D496" s="2" t="s">
        <v>617</v>
      </c>
      <c r="E496" s="2" t="s">
        <v>4</v>
      </c>
      <c r="F496" s="2" t="s">
        <v>5</v>
      </c>
      <c r="G496" s="2" t="s">
        <v>82</v>
      </c>
      <c r="H496" s="2" t="s">
        <v>83</v>
      </c>
      <c r="I496" s="2" t="s">
        <v>3390</v>
      </c>
      <c r="J496" s="3">
        <v>16.5</v>
      </c>
      <c r="K496" s="3">
        <v>16.5</v>
      </c>
      <c r="L496" s="2" t="s">
        <v>3391</v>
      </c>
      <c r="M496" s="2" t="s">
        <v>9</v>
      </c>
      <c r="N496" s="3">
        <v>658</v>
      </c>
      <c r="O496" s="2" t="s">
        <v>29</v>
      </c>
      <c r="P496" s="2" t="s">
        <v>37</v>
      </c>
      <c r="Q496" s="3"/>
      <c r="R496" s="3"/>
      <c r="S496" s="2" t="s">
        <v>21</v>
      </c>
      <c r="T496" s="4">
        <v>44955</v>
      </c>
      <c r="U496" s="2" t="s">
        <v>618</v>
      </c>
      <c r="V496" s="6">
        <f>(Real_Sales[[#This Row],[Price_retail]]-Real_Sales[[#This Row],[Price_current]])/Real_Sales[[#This Row],[Price_retail]]</f>
        <v>0</v>
      </c>
      <c r="W496" s="3" t="str" cm="1">
        <f t="array" ref="W49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96" s="2" t="str">
        <f>IF(Real_Sales[[#This Row],[Price_retail]]&gt;$AC$3,"Premium","Average")</f>
        <v>Average</v>
      </c>
      <c r="Y496" s="2" t="str">
        <f>IF(ISNUMBER(SEARCH("Basic",Real_Sales[[#This Row],[Product_name]])),"Yes","No")</f>
        <v>No</v>
      </c>
      <c r="Z496" s="2" cm="1">
        <f t="array" ref="Z496">_xlfn.IFS(Real_Sales[[#This Row],[Price_retail]]&lt;=15,1, Real_Sales[[#This Row],[Price_retail]]&lt;=30,2, Real_Sales[[#This Row],[Price_retail]]&lt;=50,3,Real_Sales[[#This Row],[Price_retail]]&gt;50,4)</f>
        <v>2</v>
      </c>
    </row>
    <row r="497" spans="1:26" x14ac:dyDescent="0.35">
      <c r="A497" s="2" t="s">
        <v>2859</v>
      </c>
      <c r="B497" s="2" t="s">
        <v>2860</v>
      </c>
      <c r="C497" s="2" t="s">
        <v>1747</v>
      </c>
      <c r="D497" s="2" t="s">
        <v>81</v>
      </c>
      <c r="E497" s="2" t="s">
        <v>4</v>
      </c>
      <c r="F497" s="2" t="s">
        <v>5</v>
      </c>
      <c r="G497" s="2" t="s">
        <v>82</v>
      </c>
      <c r="H497" s="2" t="s">
        <v>83</v>
      </c>
      <c r="I497" s="2" t="s">
        <v>3390</v>
      </c>
      <c r="J497" s="3">
        <v>16.53</v>
      </c>
      <c r="K497" s="3">
        <v>12.17</v>
      </c>
      <c r="L497" s="2" t="s">
        <v>8</v>
      </c>
      <c r="M497" s="2" t="s">
        <v>9</v>
      </c>
      <c r="N497" s="3">
        <v>420</v>
      </c>
      <c r="O497" s="2" t="s">
        <v>267</v>
      </c>
      <c r="P497" s="2" t="s">
        <v>553</v>
      </c>
      <c r="Q497" s="3"/>
      <c r="R497" s="3"/>
      <c r="S497" s="2" t="s">
        <v>21</v>
      </c>
      <c r="T497" s="4">
        <v>44955</v>
      </c>
      <c r="U497" s="2" t="s">
        <v>2861</v>
      </c>
      <c r="V497" s="6">
        <f>(Real_Sales[[#This Row],[Price_retail]]-Real_Sales[[#This Row],[Price_current]])/Real_Sales[[#This Row],[Price_retail]]</f>
        <v>0.26376285541439815</v>
      </c>
      <c r="W497" s="3" t="str" cm="1">
        <f t="array" ref="W49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497" s="2" t="str">
        <f>IF(Real_Sales[[#This Row],[Price_retail]]&gt;$AC$3,"Premium","Average")</f>
        <v>Average</v>
      </c>
      <c r="Y497" s="2" t="str">
        <f>IF(ISNUMBER(SEARCH("Basic",Real_Sales[[#This Row],[Product_name]])),"Yes","No")</f>
        <v>No</v>
      </c>
      <c r="Z497" s="2" cm="1">
        <f t="array" ref="Z497">_xlfn.IFS(Real_Sales[[#This Row],[Price_retail]]&lt;=15,1, Real_Sales[[#This Row],[Price_retail]]&lt;=30,2, Real_Sales[[#This Row],[Price_retail]]&lt;=50,3,Real_Sales[[#This Row],[Price_retail]]&gt;50,4)</f>
        <v>2</v>
      </c>
    </row>
    <row r="498" spans="1:26" x14ac:dyDescent="0.35">
      <c r="A498" s="2" t="s">
        <v>1096</v>
      </c>
      <c r="B498" s="2" t="s">
        <v>1097</v>
      </c>
      <c r="C498" s="2" t="s">
        <v>318</v>
      </c>
      <c r="D498" s="2" t="s">
        <v>133</v>
      </c>
      <c r="E498" s="2" t="s">
        <v>4</v>
      </c>
      <c r="F498" s="2" t="s">
        <v>17</v>
      </c>
      <c r="G498" s="2" t="s">
        <v>27</v>
      </c>
      <c r="H498" s="2" t="s">
        <v>134</v>
      </c>
      <c r="I498" s="2" t="s">
        <v>3390</v>
      </c>
      <c r="J498" s="3">
        <v>16.54</v>
      </c>
      <c r="K498" s="3">
        <v>16.54</v>
      </c>
      <c r="L498" s="2" t="s">
        <v>3391</v>
      </c>
      <c r="M498" s="2" t="s">
        <v>9</v>
      </c>
      <c r="N498" s="3">
        <v>520</v>
      </c>
      <c r="O498" s="2" t="s">
        <v>287</v>
      </c>
      <c r="P498" s="2" t="s">
        <v>368</v>
      </c>
      <c r="Q498" s="3"/>
      <c r="R498" s="3"/>
      <c r="S498" s="2" t="s">
        <v>21</v>
      </c>
      <c r="T498" s="4">
        <v>44955</v>
      </c>
      <c r="U498" s="2" t="s">
        <v>1098</v>
      </c>
      <c r="V498" s="6">
        <f>(Real_Sales[[#This Row],[Price_retail]]-Real_Sales[[#This Row],[Price_current]])/Real_Sales[[#This Row],[Price_retail]]</f>
        <v>0</v>
      </c>
      <c r="W498" s="3" t="str" cm="1">
        <f t="array" ref="W49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98" s="2" t="str">
        <f>IF(Real_Sales[[#This Row],[Price_retail]]&gt;$AC$3,"Premium","Average")</f>
        <v>Average</v>
      </c>
      <c r="Y498" s="2" t="str">
        <f>IF(ISNUMBER(SEARCH("Basic",Real_Sales[[#This Row],[Product_name]])),"Yes","No")</f>
        <v>No</v>
      </c>
      <c r="Z498" s="2" cm="1">
        <f t="array" ref="Z498">_xlfn.IFS(Real_Sales[[#This Row],[Price_retail]]&lt;=15,1, Real_Sales[[#This Row],[Price_retail]]&lt;=30,2, Real_Sales[[#This Row],[Price_retail]]&lt;=50,3,Real_Sales[[#This Row],[Price_retail]]&gt;50,4)</f>
        <v>2</v>
      </c>
    </row>
    <row r="499" spans="1:26" x14ac:dyDescent="0.35">
      <c r="A499" s="2" t="s">
        <v>701</v>
      </c>
      <c r="B499" s="2" t="s">
        <v>702</v>
      </c>
      <c r="C499" s="2" t="s">
        <v>703</v>
      </c>
      <c r="D499" s="2" t="s">
        <v>704</v>
      </c>
      <c r="E499" s="2" t="s">
        <v>4</v>
      </c>
      <c r="F499" s="2" t="s">
        <v>17</v>
      </c>
      <c r="G499" s="2" t="s">
        <v>27</v>
      </c>
      <c r="H499" s="2" t="s">
        <v>51</v>
      </c>
      <c r="I499" s="2" t="s">
        <v>3393</v>
      </c>
      <c r="J499" s="3">
        <v>16.55</v>
      </c>
      <c r="K499" s="3">
        <v>16.55</v>
      </c>
      <c r="L499" s="2" t="s">
        <v>3391</v>
      </c>
      <c r="M499" s="2" t="s">
        <v>9</v>
      </c>
      <c r="N499" s="3">
        <v>75</v>
      </c>
      <c r="O499" s="2" t="s">
        <v>91</v>
      </c>
      <c r="P499" s="2" t="s">
        <v>30</v>
      </c>
      <c r="Q499" s="3"/>
      <c r="R499" s="3"/>
      <c r="S499" s="2" t="s">
        <v>21</v>
      </c>
      <c r="T499" s="4">
        <v>44955</v>
      </c>
      <c r="U499" s="2" t="s">
        <v>705</v>
      </c>
      <c r="V499" s="6">
        <f>(Real_Sales[[#This Row],[Price_retail]]-Real_Sales[[#This Row],[Price_current]])/Real_Sales[[#This Row],[Price_retail]]</f>
        <v>0</v>
      </c>
      <c r="W499" s="3" t="str" cm="1">
        <f t="array" ref="W4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499" s="2" t="str">
        <f>IF(Real_Sales[[#This Row],[Price_retail]]&gt;$AC$3,"Premium","Average")</f>
        <v>Average</v>
      </c>
      <c r="Y499" s="2" t="str">
        <f>IF(ISNUMBER(SEARCH("Basic",Real_Sales[[#This Row],[Product_name]])),"Yes","No")</f>
        <v>No</v>
      </c>
      <c r="Z499" s="2" cm="1">
        <f t="array" ref="Z499">_xlfn.IFS(Real_Sales[[#This Row],[Price_retail]]&lt;=15,1, Real_Sales[[#This Row],[Price_retail]]&lt;=30,2, Real_Sales[[#This Row],[Price_retail]]&lt;=50,3,Real_Sales[[#This Row],[Price_retail]]&gt;50,4)</f>
        <v>2</v>
      </c>
    </row>
    <row r="500" spans="1:26" x14ac:dyDescent="0.35">
      <c r="A500" s="2" t="s">
        <v>349</v>
      </c>
      <c r="B500" s="2" t="s">
        <v>350</v>
      </c>
      <c r="C500" s="2" t="s">
        <v>242</v>
      </c>
      <c r="D500" s="2" t="s">
        <v>3403</v>
      </c>
      <c r="E500" s="2" t="s">
        <v>4</v>
      </c>
      <c r="F500" s="2" t="s">
        <v>5</v>
      </c>
      <c r="G500" s="2" t="s">
        <v>121</v>
      </c>
      <c r="H500" s="2" t="s">
        <v>51</v>
      </c>
      <c r="I500" s="2" t="s">
        <v>3390</v>
      </c>
      <c r="J500" s="3">
        <v>16.559999999999999</v>
      </c>
      <c r="K500" s="3">
        <v>16.559999999999999</v>
      </c>
      <c r="L500" s="2" t="s">
        <v>3391</v>
      </c>
      <c r="M500" s="2" t="s">
        <v>9</v>
      </c>
      <c r="N500" s="3">
        <v>829</v>
      </c>
      <c r="O500" s="2" t="s">
        <v>302</v>
      </c>
      <c r="P500" s="2" t="s">
        <v>53</v>
      </c>
      <c r="Q500" s="3"/>
      <c r="R500" s="3"/>
      <c r="S500" s="2" t="s">
        <v>12</v>
      </c>
      <c r="T500" s="4">
        <v>44955</v>
      </c>
      <c r="U500" s="2" t="s">
        <v>351</v>
      </c>
      <c r="V500" s="6">
        <f>(Real_Sales[[#This Row],[Price_retail]]-Real_Sales[[#This Row],[Price_current]])/Real_Sales[[#This Row],[Price_retail]]</f>
        <v>0</v>
      </c>
      <c r="W500" s="3" t="str" cm="1">
        <f t="array" ref="W5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0" s="2" t="str">
        <f>IF(Real_Sales[[#This Row],[Price_retail]]&gt;$AC$3,"Premium","Average")</f>
        <v>Average</v>
      </c>
      <c r="Y500" s="2" t="str">
        <f>IF(ISNUMBER(SEARCH("Basic",Real_Sales[[#This Row],[Product_name]])),"Yes","No")</f>
        <v>No</v>
      </c>
      <c r="Z500" s="2" cm="1">
        <f t="array" ref="Z500">_xlfn.IFS(Real_Sales[[#This Row],[Price_retail]]&lt;=15,1, Real_Sales[[#This Row],[Price_retail]]&lt;=30,2, Real_Sales[[#This Row],[Price_retail]]&lt;=50,3,Real_Sales[[#This Row],[Price_retail]]&gt;50,4)</f>
        <v>2</v>
      </c>
    </row>
    <row r="501" spans="1:26" x14ac:dyDescent="0.35">
      <c r="A501" s="2" t="s">
        <v>631</v>
      </c>
      <c r="B501" s="2" t="s">
        <v>632</v>
      </c>
      <c r="C501" s="2" t="s">
        <v>242</v>
      </c>
      <c r="D501" s="2" t="s">
        <v>633</v>
      </c>
      <c r="E501" s="2" t="s">
        <v>4</v>
      </c>
      <c r="F501" s="2" t="s">
        <v>5</v>
      </c>
      <c r="G501" s="2" t="s">
        <v>6</v>
      </c>
      <c r="H501" s="2" t="s">
        <v>90</v>
      </c>
      <c r="I501" s="2" t="s">
        <v>3393</v>
      </c>
      <c r="J501" s="3">
        <v>16.61</v>
      </c>
      <c r="K501" s="3">
        <v>16.61</v>
      </c>
      <c r="L501" s="2" t="s">
        <v>3391</v>
      </c>
      <c r="M501" s="2" t="s">
        <v>9</v>
      </c>
      <c r="N501" s="3">
        <v>939</v>
      </c>
      <c r="O501" s="2" t="s">
        <v>52</v>
      </c>
      <c r="P501" s="2" t="s">
        <v>70</v>
      </c>
      <c r="Q501" s="3"/>
      <c r="R501" s="3"/>
      <c r="S501" s="2" t="s">
        <v>21</v>
      </c>
      <c r="T501" s="4">
        <v>44955</v>
      </c>
      <c r="U501" s="2" t="s">
        <v>634</v>
      </c>
      <c r="V501" s="6">
        <f>(Real_Sales[[#This Row],[Price_retail]]-Real_Sales[[#This Row],[Price_current]])/Real_Sales[[#This Row],[Price_retail]]</f>
        <v>0</v>
      </c>
      <c r="W501" s="3" t="str" cm="1">
        <f t="array" ref="W5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1" s="2" t="str">
        <f>IF(Real_Sales[[#This Row],[Price_retail]]&gt;$AC$3,"Premium","Average")</f>
        <v>Average</v>
      </c>
      <c r="Y501" s="2" t="str">
        <f>IF(ISNUMBER(SEARCH("Basic",Real_Sales[[#This Row],[Product_name]])),"Yes","No")</f>
        <v>No</v>
      </c>
      <c r="Z501" s="2" cm="1">
        <f t="array" ref="Z501">_xlfn.IFS(Real_Sales[[#This Row],[Price_retail]]&lt;=15,1, Real_Sales[[#This Row],[Price_retail]]&lt;=30,2, Real_Sales[[#This Row],[Price_retail]]&lt;=50,3,Real_Sales[[#This Row],[Price_retail]]&gt;50,4)</f>
        <v>2</v>
      </c>
    </row>
    <row r="502" spans="1:26" x14ac:dyDescent="0.35">
      <c r="A502" s="2" t="s">
        <v>1987</v>
      </c>
      <c r="B502" s="2" t="s">
        <v>1988</v>
      </c>
      <c r="C502" s="2" t="s">
        <v>1421</v>
      </c>
      <c r="D502" s="2" t="s">
        <v>501</v>
      </c>
      <c r="E502" s="2" t="s">
        <v>4</v>
      </c>
      <c r="F502" s="2" t="s">
        <v>17</v>
      </c>
      <c r="G502" s="2" t="s">
        <v>18</v>
      </c>
      <c r="H502" s="2" t="s">
        <v>83</v>
      </c>
      <c r="I502" s="2" t="s">
        <v>3390</v>
      </c>
      <c r="J502" s="3">
        <v>16.62</v>
      </c>
      <c r="K502" s="3">
        <v>10.199999999999999</v>
      </c>
      <c r="L502" s="2" t="s">
        <v>8</v>
      </c>
      <c r="M502" s="2" t="s">
        <v>9</v>
      </c>
      <c r="N502" s="3">
        <v>296</v>
      </c>
      <c r="O502" s="2" t="s">
        <v>3392</v>
      </c>
      <c r="P502" s="2" t="s">
        <v>128</v>
      </c>
      <c r="Q502" s="3"/>
      <c r="R502" s="3"/>
      <c r="S502" s="2" t="s">
        <v>21</v>
      </c>
      <c r="T502" s="4">
        <v>44955</v>
      </c>
      <c r="U502" s="2" t="s">
        <v>1989</v>
      </c>
      <c r="V502" s="6">
        <f>(Real_Sales[[#This Row],[Price_retail]]-Real_Sales[[#This Row],[Price_current]])/Real_Sales[[#This Row],[Price_retail]]</f>
        <v>0.38628158844765353</v>
      </c>
      <c r="W502" s="3" t="str" cm="1">
        <f t="array" ref="W50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02" s="2" t="str">
        <f>IF(Real_Sales[[#This Row],[Price_retail]]&gt;$AC$3,"Premium","Average")</f>
        <v>Average</v>
      </c>
      <c r="Y502" s="2" t="str">
        <f>IF(ISNUMBER(SEARCH("Basic",Real_Sales[[#This Row],[Product_name]])),"Yes","No")</f>
        <v>No</v>
      </c>
      <c r="Z502" s="2" cm="1">
        <f t="array" ref="Z502">_xlfn.IFS(Real_Sales[[#This Row],[Price_retail]]&lt;=15,1, Real_Sales[[#This Row],[Price_retail]]&lt;=30,2, Real_Sales[[#This Row],[Price_retail]]&lt;=50,3,Real_Sales[[#This Row],[Price_retail]]&gt;50,4)</f>
        <v>2</v>
      </c>
    </row>
    <row r="503" spans="1:26" x14ac:dyDescent="0.35">
      <c r="A503" s="2" t="s">
        <v>2740</v>
      </c>
      <c r="B503" s="2" t="s">
        <v>2741</v>
      </c>
      <c r="C503" s="2" t="s">
        <v>1549</v>
      </c>
      <c r="D503" s="2" t="s">
        <v>857</v>
      </c>
      <c r="E503" s="2" t="s">
        <v>4</v>
      </c>
      <c r="F503" s="2" t="s">
        <v>5</v>
      </c>
      <c r="G503" s="2" t="s">
        <v>121</v>
      </c>
      <c r="H503" s="2" t="s">
        <v>51</v>
      </c>
      <c r="I503" s="2" t="s">
        <v>3390</v>
      </c>
      <c r="J503" s="3">
        <v>16.63</v>
      </c>
      <c r="K503" s="3">
        <v>10.92</v>
      </c>
      <c r="L503" s="2" t="s">
        <v>8</v>
      </c>
      <c r="M503" s="2" t="s">
        <v>9</v>
      </c>
      <c r="N503" s="3">
        <v>726</v>
      </c>
      <c r="O503" s="2" t="s">
        <v>287</v>
      </c>
      <c r="P503" s="2" t="s">
        <v>70</v>
      </c>
      <c r="Q503" s="3"/>
      <c r="R503" s="3"/>
      <c r="S503" s="2" t="s">
        <v>21</v>
      </c>
      <c r="T503" s="4">
        <v>44955</v>
      </c>
      <c r="U503" s="2" t="s">
        <v>2742</v>
      </c>
      <c r="V503" s="6">
        <f>(Real_Sales[[#This Row],[Price_retail]]-Real_Sales[[#This Row],[Price_current]])/Real_Sales[[#This Row],[Price_retail]]</f>
        <v>0.34335538184004805</v>
      </c>
      <c r="W503" s="3" t="str" cm="1">
        <f t="array" ref="W50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03" s="2" t="str">
        <f>IF(Real_Sales[[#This Row],[Price_retail]]&gt;$AC$3,"Premium","Average")</f>
        <v>Average</v>
      </c>
      <c r="Y503" s="2" t="str">
        <f>IF(ISNUMBER(SEARCH("Basic",Real_Sales[[#This Row],[Product_name]])),"Yes","No")</f>
        <v>No</v>
      </c>
      <c r="Z503" s="2" cm="1">
        <f t="array" ref="Z503">_xlfn.IFS(Real_Sales[[#This Row],[Price_retail]]&lt;=15,1, Real_Sales[[#This Row],[Price_retail]]&lt;=30,2, Real_Sales[[#This Row],[Price_retail]]&lt;=50,3,Real_Sales[[#This Row],[Price_retail]]&gt;50,4)</f>
        <v>2</v>
      </c>
    </row>
    <row r="504" spans="1:26" x14ac:dyDescent="0.35">
      <c r="A504" s="2" t="s">
        <v>1394</v>
      </c>
      <c r="B504" s="2" t="s">
        <v>1395</v>
      </c>
      <c r="C504" s="2" t="s">
        <v>1743</v>
      </c>
      <c r="D504" s="2" t="s">
        <v>162</v>
      </c>
      <c r="E504" s="2" t="s">
        <v>4</v>
      </c>
      <c r="F504" s="2" t="s">
        <v>17</v>
      </c>
      <c r="G504" s="2" t="s">
        <v>50</v>
      </c>
      <c r="H504" s="2" t="s">
        <v>35</v>
      </c>
      <c r="I504" s="2" t="s">
        <v>3393</v>
      </c>
      <c r="J504" s="3">
        <v>16.670000000000002</v>
      </c>
      <c r="K504" s="3">
        <v>16.670000000000002</v>
      </c>
      <c r="L504" s="2" t="s">
        <v>3391</v>
      </c>
      <c r="M504" s="2" t="s">
        <v>9</v>
      </c>
      <c r="N504" s="3">
        <v>434</v>
      </c>
      <c r="O504" s="2" t="s">
        <v>60</v>
      </c>
      <c r="P504" s="2" t="s">
        <v>30</v>
      </c>
      <c r="Q504" s="3"/>
      <c r="R504" s="3"/>
      <c r="S504" s="2" t="s">
        <v>21</v>
      </c>
      <c r="T504" s="4">
        <v>44955</v>
      </c>
      <c r="U504" s="2" t="s">
        <v>1396</v>
      </c>
      <c r="V504" s="6">
        <f>(Real_Sales[[#This Row],[Price_retail]]-Real_Sales[[#This Row],[Price_current]])/Real_Sales[[#This Row],[Price_retail]]</f>
        <v>0</v>
      </c>
      <c r="W504" s="3" t="str" cm="1">
        <f t="array" ref="W50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4" s="2" t="str">
        <f>IF(Real_Sales[[#This Row],[Price_retail]]&gt;$AC$3,"Premium","Average")</f>
        <v>Average</v>
      </c>
      <c r="Y504" s="2" t="str">
        <f>IF(ISNUMBER(SEARCH("Basic",Real_Sales[[#This Row],[Product_name]])),"Yes","No")</f>
        <v>No</v>
      </c>
      <c r="Z504" s="2" cm="1">
        <f t="array" ref="Z504">_xlfn.IFS(Real_Sales[[#This Row],[Price_retail]]&lt;=15,1, Real_Sales[[#This Row],[Price_retail]]&lt;=30,2, Real_Sales[[#This Row],[Price_retail]]&lt;=50,3,Real_Sales[[#This Row],[Price_retail]]&gt;50,4)</f>
        <v>2</v>
      </c>
    </row>
    <row r="505" spans="1:26" x14ac:dyDescent="0.35">
      <c r="A505" s="2" t="s">
        <v>2117</v>
      </c>
      <c r="B505" s="2" t="s">
        <v>2118</v>
      </c>
      <c r="C505" s="2" t="s">
        <v>616</v>
      </c>
      <c r="D505" s="2" t="s">
        <v>521</v>
      </c>
      <c r="E505" s="2" t="s">
        <v>4</v>
      </c>
      <c r="F505" s="2" t="s">
        <v>5</v>
      </c>
      <c r="G505" s="2" t="s">
        <v>121</v>
      </c>
      <c r="H505" s="2" t="s">
        <v>19</v>
      </c>
      <c r="I505" s="2" t="s">
        <v>3390</v>
      </c>
      <c r="J505" s="3">
        <v>16.71</v>
      </c>
      <c r="K505" s="3">
        <v>10.34</v>
      </c>
      <c r="L505" s="2" t="s">
        <v>8</v>
      </c>
      <c r="M505" s="2" t="s">
        <v>9</v>
      </c>
      <c r="N505" s="3">
        <v>284</v>
      </c>
      <c r="O505" s="2" t="s">
        <v>104</v>
      </c>
      <c r="P505" s="2" t="s">
        <v>92</v>
      </c>
      <c r="Q505" s="3"/>
      <c r="R505" s="3"/>
      <c r="S505" s="2" t="s">
        <v>21</v>
      </c>
      <c r="T505" s="4">
        <v>44955</v>
      </c>
      <c r="U505" s="2" t="s">
        <v>2119</v>
      </c>
      <c r="V505" s="6">
        <f>(Real_Sales[[#This Row],[Price_retail]]-Real_Sales[[#This Row],[Price_current]])/Real_Sales[[#This Row],[Price_retail]]</f>
        <v>0.38120885697187318</v>
      </c>
      <c r="W505" s="3" t="str" cm="1">
        <f t="array" ref="W50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05" s="2" t="str">
        <f>IF(Real_Sales[[#This Row],[Price_retail]]&gt;$AC$3,"Premium","Average")</f>
        <v>Average</v>
      </c>
      <c r="Y505" s="2" t="str">
        <f>IF(ISNUMBER(SEARCH("Basic",Real_Sales[[#This Row],[Product_name]])),"Yes","No")</f>
        <v>Yes</v>
      </c>
      <c r="Z505" s="2" cm="1">
        <f t="array" ref="Z505">_xlfn.IFS(Real_Sales[[#This Row],[Price_retail]]&lt;=15,1, Real_Sales[[#This Row],[Price_retail]]&lt;=30,2, Real_Sales[[#This Row],[Price_retail]]&lt;=50,3,Real_Sales[[#This Row],[Price_retail]]&gt;50,4)</f>
        <v>2</v>
      </c>
    </row>
    <row r="506" spans="1:26" x14ac:dyDescent="0.35">
      <c r="A506" s="2" t="s">
        <v>1490</v>
      </c>
      <c r="B506" s="2" t="s">
        <v>1491</v>
      </c>
      <c r="C506" s="2" t="s">
        <v>3410</v>
      </c>
      <c r="D506" s="2" t="s">
        <v>625</v>
      </c>
      <c r="E506" s="2" t="s">
        <v>4</v>
      </c>
      <c r="F506" s="2" t="s">
        <v>17</v>
      </c>
      <c r="G506" s="2" t="s">
        <v>18</v>
      </c>
      <c r="H506" s="2" t="s">
        <v>333</v>
      </c>
      <c r="I506" s="2" t="s">
        <v>3393</v>
      </c>
      <c r="J506" s="3">
        <v>16.72</v>
      </c>
      <c r="K506" s="3">
        <v>16.72</v>
      </c>
      <c r="L506" s="2" t="s">
        <v>3391</v>
      </c>
      <c r="M506" s="2" t="s">
        <v>9</v>
      </c>
      <c r="N506" s="3">
        <v>461</v>
      </c>
      <c r="O506" s="2" t="s">
        <v>3392</v>
      </c>
      <c r="P506" s="2" t="s">
        <v>92</v>
      </c>
      <c r="Q506" s="3"/>
      <c r="R506" s="3"/>
      <c r="S506" s="2" t="s">
        <v>21</v>
      </c>
      <c r="T506" s="4">
        <v>44955</v>
      </c>
      <c r="U506" s="2" t="s">
        <v>1492</v>
      </c>
      <c r="V506" s="6">
        <f>(Real_Sales[[#This Row],[Price_retail]]-Real_Sales[[#This Row],[Price_current]])/Real_Sales[[#This Row],[Price_retail]]</f>
        <v>0</v>
      </c>
      <c r="W506" s="3" t="str" cm="1">
        <f t="array" ref="W50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6" s="2" t="str">
        <f>IF(Real_Sales[[#This Row],[Price_retail]]&gt;$AC$3,"Premium","Average")</f>
        <v>Average</v>
      </c>
      <c r="Y506" s="2" t="str">
        <f>IF(ISNUMBER(SEARCH("Basic",Real_Sales[[#This Row],[Product_name]])),"Yes","No")</f>
        <v>No</v>
      </c>
      <c r="Z506" s="2" cm="1">
        <f t="array" ref="Z506">_xlfn.IFS(Real_Sales[[#This Row],[Price_retail]]&lt;=15,1, Real_Sales[[#This Row],[Price_retail]]&lt;=30,2, Real_Sales[[#This Row],[Price_retail]]&lt;=50,3,Real_Sales[[#This Row],[Price_retail]]&gt;50,4)</f>
        <v>2</v>
      </c>
    </row>
    <row r="507" spans="1:26" x14ac:dyDescent="0.35">
      <c r="A507" s="2" t="s">
        <v>46</v>
      </c>
      <c r="B507" s="2" t="s">
        <v>47</v>
      </c>
      <c r="C507" s="2" t="s">
        <v>48</v>
      </c>
      <c r="D507" s="2" t="s">
        <v>49</v>
      </c>
      <c r="E507" s="2" t="s">
        <v>4</v>
      </c>
      <c r="F507" s="2" t="s">
        <v>17</v>
      </c>
      <c r="G507" s="2" t="s">
        <v>50</v>
      </c>
      <c r="H507" s="2" t="s">
        <v>51</v>
      </c>
      <c r="I507" s="2" t="s">
        <v>3393</v>
      </c>
      <c r="J507" s="3">
        <v>16.77</v>
      </c>
      <c r="K507" s="3">
        <v>16.77</v>
      </c>
      <c r="L507" s="2" t="s">
        <v>3391</v>
      </c>
      <c r="M507" s="2" t="s">
        <v>9</v>
      </c>
      <c r="N507" s="3">
        <v>497</v>
      </c>
      <c r="O507" s="2" t="s">
        <v>52</v>
      </c>
      <c r="P507" s="2" t="s">
        <v>53</v>
      </c>
      <c r="Q507" s="3"/>
      <c r="R507" s="3"/>
      <c r="S507" s="2" t="s">
        <v>21</v>
      </c>
      <c r="T507" s="4">
        <v>44955</v>
      </c>
      <c r="U507" s="2" t="s">
        <v>54</v>
      </c>
      <c r="V507" s="6">
        <f>(Real_Sales[[#This Row],[Price_retail]]-Real_Sales[[#This Row],[Price_current]])/Real_Sales[[#This Row],[Price_retail]]</f>
        <v>0</v>
      </c>
      <c r="W507" s="3" t="str" cm="1">
        <f t="array" ref="W50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7" s="2" t="str">
        <f>IF(Real_Sales[[#This Row],[Price_retail]]&gt;$AC$3,"Premium","Average")</f>
        <v>Average</v>
      </c>
      <c r="Y507" s="2" t="str">
        <f>IF(ISNUMBER(SEARCH("Basic",Real_Sales[[#This Row],[Product_name]])),"Yes","No")</f>
        <v>Yes</v>
      </c>
      <c r="Z507" s="2" cm="1">
        <f t="array" ref="Z507">_xlfn.IFS(Real_Sales[[#This Row],[Price_retail]]&lt;=15,1, Real_Sales[[#This Row],[Price_retail]]&lt;=30,2, Real_Sales[[#This Row],[Price_retail]]&lt;=50,3,Real_Sales[[#This Row],[Price_retail]]&gt;50,4)</f>
        <v>2</v>
      </c>
    </row>
    <row r="508" spans="1:26" x14ac:dyDescent="0.35">
      <c r="A508" s="2" t="s">
        <v>3047</v>
      </c>
      <c r="B508" s="2" t="s">
        <v>3048</v>
      </c>
      <c r="C508" s="2" t="s">
        <v>1090</v>
      </c>
      <c r="D508" s="2" t="s">
        <v>913</v>
      </c>
      <c r="E508" s="2" t="s">
        <v>4</v>
      </c>
      <c r="F508" s="2" t="s">
        <v>17</v>
      </c>
      <c r="G508" s="2" t="s">
        <v>50</v>
      </c>
      <c r="H508" s="2" t="s">
        <v>51</v>
      </c>
      <c r="I508" s="2" t="s">
        <v>3390</v>
      </c>
      <c r="J508" s="3">
        <v>16.79</v>
      </c>
      <c r="K508" s="3">
        <v>16.79</v>
      </c>
      <c r="L508" s="2" t="s">
        <v>3391</v>
      </c>
      <c r="M508" s="2" t="s">
        <v>9</v>
      </c>
      <c r="N508" s="3">
        <v>399</v>
      </c>
      <c r="O508" s="2" t="s">
        <v>20</v>
      </c>
      <c r="P508" s="2" t="s">
        <v>169</v>
      </c>
      <c r="Q508" s="3"/>
      <c r="R508" s="3"/>
      <c r="S508" s="2" t="s">
        <v>21</v>
      </c>
      <c r="T508" s="4">
        <v>44955</v>
      </c>
      <c r="U508" s="2" t="s">
        <v>3049</v>
      </c>
      <c r="V508" s="6">
        <f>(Real_Sales[[#This Row],[Price_retail]]-Real_Sales[[#This Row],[Price_current]])/Real_Sales[[#This Row],[Price_retail]]</f>
        <v>0</v>
      </c>
      <c r="W508" s="3" t="str" cm="1">
        <f t="array" ref="W50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8" s="2" t="str">
        <f>IF(Real_Sales[[#This Row],[Price_retail]]&gt;$AC$3,"Premium","Average")</f>
        <v>Average</v>
      </c>
      <c r="Y508" s="2" t="str">
        <f>IF(ISNUMBER(SEARCH("Basic",Real_Sales[[#This Row],[Product_name]])),"Yes","No")</f>
        <v>No</v>
      </c>
      <c r="Z508" s="2" cm="1">
        <f t="array" ref="Z508">_xlfn.IFS(Real_Sales[[#This Row],[Price_retail]]&lt;=15,1, Real_Sales[[#This Row],[Price_retail]]&lt;=30,2, Real_Sales[[#This Row],[Price_retail]]&lt;=50,3,Real_Sales[[#This Row],[Price_retail]]&gt;50,4)</f>
        <v>2</v>
      </c>
    </row>
    <row r="509" spans="1:26" x14ac:dyDescent="0.35">
      <c r="A509" s="2" t="s">
        <v>1685</v>
      </c>
      <c r="B509" s="2" t="s">
        <v>1686</v>
      </c>
      <c r="C509" s="2" t="s">
        <v>242</v>
      </c>
      <c r="D509" s="2" t="s">
        <v>432</v>
      </c>
      <c r="E509" s="2" t="s">
        <v>4</v>
      </c>
      <c r="F509" s="2" t="s">
        <v>5</v>
      </c>
      <c r="G509" s="2" t="s">
        <v>121</v>
      </c>
      <c r="H509" s="2" t="s">
        <v>35</v>
      </c>
      <c r="I509" s="2" t="s">
        <v>3390</v>
      </c>
      <c r="J509" s="3">
        <v>16.8</v>
      </c>
      <c r="K509" s="3">
        <v>16.8</v>
      </c>
      <c r="L509" s="2" t="s">
        <v>3391</v>
      </c>
      <c r="M509" s="2" t="s">
        <v>9</v>
      </c>
      <c r="N509" s="3">
        <v>302</v>
      </c>
      <c r="O509" s="2" t="s">
        <v>104</v>
      </c>
      <c r="P509" s="2" t="s">
        <v>192</v>
      </c>
      <c r="Q509" s="3"/>
      <c r="R509" s="3"/>
      <c r="S509" s="2" t="s">
        <v>21</v>
      </c>
      <c r="T509" s="4">
        <v>44955</v>
      </c>
      <c r="U509" s="2" t="s">
        <v>1687</v>
      </c>
      <c r="V509" s="6">
        <f>(Real_Sales[[#This Row],[Price_retail]]-Real_Sales[[#This Row],[Price_current]])/Real_Sales[[#This Row],[Price_retail]]</f>
        <v>0</v>
      </c>
      <c r="W509" s="3" t="str" cm="1">
        <f t="array" ref="W5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09" s="2" t="str">
        <f>IF(Real_Sales[[#This Row],[Price_retail]]&gt;$AC$3,"Premium","Average")</f>
        <v>Average</v>
      </c>
      <c r="Y509" s="2" t="str">
        <f>IF(ISNUMBER(SEARCH("Basic",Real_Sales[[#This Row],[Product_name]])),"Yes","No")</f>
        <v>Yes</v>
      </c>
      <c r="Z509" s="2" cm="1">
        <f t="array" ref="Z509">_xlfn.IFS(Real_Sales[[#This Row],[Price_retail]]&lt;=15,1, Real_Sales[[#This Row],[Price_retail]]&lt;=30,2, Real_Sales[[#This Row],[Price_retail]]&lt;=50,3,Real_Sales[[#This Row],[Price_retail]]&gt;50,4)</f>
        <v>2</v>
      </c>
    </row>
    <row r="510" spans="1:26" x14ac:dyDescent="0.35">
      <c r="A510" s="2" t="s">
        <v>198</v>
      </c>
      <c r="B510" s="2" t="s">
        <v>199</v>
      </c>
      <c r="C510" s="2" t="s">
        <v>200</v>
      </c>
      <c r="D510" s="2" t="s">
        <v>201</v>
      </c>
      <c r="E510" s="2" t="s">
        <v>4</v>
      </c>
      <c r="F510" s="2" t="s">
        <v>5</v>
      </c>
      <c r="G510" s="2" t="s">
        <v>82</v>
      </c>
      <c r="H510" s="2" t="s">
        <v>185</v>
      </c>
      <c r="I510" s="2" t="s">
        <v>3393</v>
      </c>
      <c r="J510" s="3">
        <v>16.829999999999998</v>
      </c>
      <c r="K510" s="3">
        <v>9.9499999999999993</v>
      </c>
      <c r="L510" s="2" t="s">
        <v>8</v>
      </c>
      <c r="M510" s="2" t="s">
        <v>9</v>
      </c>
      <c r="N510" s="3">
        <v>34</v>
      </c>
      <c r="O510" s="2" t="s">
        <v>98</v>
      </c>
      <c r="P510" s="2" t="s">
        <v>30</v>
      </c>
      <c r="Q510" s="3"/>
      <c r="R510" s="3"/>
      <c r="S510" s="2" t="s">
        <v>21</v>
      </c>
      <c r="T510" s="4">
        <v>44955</v>
      </c>
      <c r="U510" s="2" t="s">
        <v>202</v>
      </c>
      <c r="V510" s="6">
        <f>(Real_Sales[[#This Row],[Price_retail]]-Real_Sales[[#This Row],[Price_current]])/Real_Sales[[#This Row],[Price_retail]]</f>
        <v>0.40879382055852642</v>
      </c>
      <c r="W510" s="3" t="str" cm="1">
        <f t="array" ref="W51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10" s="2" t="str">
        <f>IF(Real_Sales[[#This Row],[Price_retail]]&gt;$AC$3,"Premium","Average")</f>
        <v>Average</v>
      </c>
      <c r="Y510" s="2" t="str">
        <f>IF(ISNUMBER(SEARCH("Basic",Real_Sales[[#This Row],[Product_name]])),"Yes","No")</f>
        <v>No</v>
      </c>
      <c r="Z510" s="2" cm="1">
        <f t="array" ref="Z510">_xlfn.IFS(Real_Sales[[#This Row],[Price_retail]]&lt;=15,1, Real_Sales[[#This Row],[Price_retail]]&lt;=30,2, Real_Sales[[#This Row],[Price_retail]]&lt;=50,3,Real_Sales[[#This Row],[Price_retail]]&gt;50,4)</f>
        <v>2</v>
      </c>
    </row>
    <row r="511" spans="1:26" x14ac:dyDescent="0.35">
      <c r="A511" s="2" t="s">
        <v>2935</v>
      </c>
      <c r="B511" s="2" t="s">
        <v>2936</v>
      </c>
      <c r="C511" s="2" t="s">
        <v>306</v>
      </c>
      <c r="D511" s="2" t="s">
        <v>2370</v>
      </c>
      <c r="E511" s="2" t="s">
        <v>4</v>
      </c>
      <c r="F511" s="2" t="s">
        <v>5</v>
      </c>
      <c r="G511" s="2" t="s">
        <v>82</v>
      </c>
      <c r="H511" s="2" t="s">
        <v>185</v>
      </c>
      <c r="I511" s="2" t="s">
        <v>3390</v>
      </c>
      <c r="J511" s="3">
        <v>16.88</v>
      </c>
      <c r="K511" s="3">
        <v>16.88</v>
      </c>
      <c r="L511" s="2" t="s">
        <v>3391</v>
      </c>
      <c r="M511" s="2" t="s">
        <v>9</v>
      </c>
      <c r="N511" s="3">
        <v>862</v>
      </c>
      <c r="O511" s="2" t="s">
        <v>43</v>
      </c>
      <c r="P511" s="2" t="s">
        <v>37</v>
      </c>
      <c r="Q511" s="3"/>
      <c r="R511" s="3"/>
      <c r="S511" s="2" t="s">
        <v>12</v>
      </c>
      <c r="T511" s="4">
        <v>44955</v>
      </c>
      <c r="U511" s="2" t="s">
        <v>2937</v>
      </c>
      <c r="V511" s="6">
        <f>(Real_Sales[[#This Row],[Price_retail]]-Real_Sales[[#This Row],[Price_current]])/Real_Sales[[#This Row],[Price_retail]]</f>
        <v>0</v>
      </c>
      <c r="W511" s="3" t="str" cm="1">
        <f t="array" ref="W5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11" s="2" t="str">
        <f>IF(Real_Sales[[#This Row],[Price_retail]]&gt;$AC$3,"Premium","Average")</f>
        <v>Average</v>
      </c>
      <c r="Y511" s="2" t="str">
        <f>IF(ISNUMBER(SEARCH("Basic",Real_Sales[[#This Row],[Product_name]])),"Yes","No")</f>
        <v>No</v>
      </c>
      <c r="Z511" s="2" cm="1">
        <f t="array" ref="Z511">_xlfn.IFS(Real_Sales[[#This Row],[Price_retail]]&lt;=15,1, Real_Sales[[#This Row],[Price_retail]]&lt;=30,2, Real_Sales[[#This Row],[Price_retail]]&lt;=50,3,Real_Sales[[#This Row],[Price_retail]]&gt;50,4)</f>
        <v>2</v>
      </c>
    </row>
    <row r="512" spans="1:26" x14ac:dyDescent="0.35">
      <c r="A512" s="2" t="s">
        <v>1534</v>
      </c>
      <c r="B512" s="2" t="s">
        <v>1535</v>
      </c>
      <c r="C512" s="2" t="s">
        <v>65</v>
      </c>
      <c r="D512" s="2" t="s">
        <v>557</v>
      </c>
      <c r="E512" s="2" t="s">
        <v>4</v>
      </c>
      <c r="F512" s="2" t="s">
        <v>5</v>
      </c>
      <c r="G512" s="2" t="s">
        <v>82</v>
      </c>
      <c r="H512" s="2"/>
      <c r="I512" s="2" t="s">
        <v>3393</v>
      </c>
      <c r="J512" s="3">
        <v>16.899999999999999</v>
      </c>
      <c r="K512" s="3">
        <v>16.899999999999999</v>
      </c>
      <c r="L512" s="2" t="s">
        <v>3391</v>
      </c>
      <c r="M512" s="2" t="s">
        <v>9</v>
      </c>
      <c r="N512" s="3">
        <v>619</v>
      </c>
      <c r="O512" s="2" t="s">
        <v>91</v>
      </c>
      <c r="P512" s="2" t="s">
        <v>92</v>
      </c>
      <c r="Q512" s="3"/>
      <c r="R512" s="3"/>
      <c r="S512" s="2" t="s">
        <v>21</v>
      </c>
      <c r="T512" s="4">
        <v>44955</v>
      </c>
      <c r="U512" s="2" t="s">
        <v>1536</v>
      </c>
      <c r="V512" s="6">
        <f>(Real_Sales[[#This Row],[Price_retail]]-Real_Sales[[#This Row],[Price_current]])/Real_Sales[[#This Row],[Price_retail]]</f>
        <v>0</v>
      </c>
      <c r="W512" s="3" t="str" cm="1">
        <f t="array" ref="W51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12" s="2" t="str">
        <f>IF(Real_Sales[[#This Row],[Price_retail]]&gt;$AC$3,"Premium","Average")</f>
        <v>Average</v>
      </c>
      <c r="Y512" s="2" t="str">
        <f>IF(ISNUMBER(SEARCH("Basic",Real_Sales[[#This Row],[Product_name]])),"Yes","No")</f>
        <v>No</v>
      </c>
      <c r="Z512" s="2" cm="1">
        <f t="array" ref="Z512">_xlfn.IFS(Real_Sales[[#This Row],[Price_retail]]&lt;=15,1, Real_Sales[[#This Row],[Price_retail]]&lt;=30,2, Real_Sales[[#This Row],[Price_retail]]&lt;=50,3,Real_Sales[[#This Row],[Price_retail]]&gt;50,4)</f>
        <v>2</v>
      </c>
    </row>
    <row r="513" spans="1:26" x14ac:dyDescent="0.35">
      <c r="A513" s="2" t="s">
        <v>2165</v>
      </c>
      <c r="B513" s="2" t="s">
        <v>2166</v>
      </c>
      <c r="C513" s="2" t="s">
        <v>2915</v>
      </c>
      <c r="D513" s="2" t="s">
        <v>573</v>
      </c>
      <c r="E513" s="2" t="s">
        <v>4</v>
      </c>
      <c r="F513" s="2" t="s">
        <v>5</v>
      </c>
      <c r="G513" s="2" t="s">
        <v>82</v>
      </c>
      <c r="H513" s="2" t="s">
        <v>68</v>
      </c>
      <c r="I513" s="2" t="s">
        <v>3395</v>
      </c>
      <c r="J513" s="3">
        <v>16.91</v>
      </c>
      <c r="K513" s="3">
        <v>16.91</v>
      </c>
      <c r="L513" s="2" t="s">
        <v>3391</v>
      </c>
      <c r="M513" s="2" t="s">
        <v>9</v>
      </c>
      <c r="N513" s="3">
        <v>742</v>
      </c>
      <c r="O513" s="2" t="s">
        <v>3392</v>
      </c>
      <c r="P513" s="2" t="s">
        <v>3392</v>
      </c>
      <c r="Q513" s="3"/>
      <c r="R513" s="3"/>
      <c r="S513" s="2" t="s">
        <v>12</v>
      </c>
      <c r="T513" s="4">
        <v>44955</v>
      </c>
      <c r="U513" s="2" t="s">
        <v>2167</v>
      </c>
      <c r="V513" s="6">
        <f>(Real_Sales[[#This Row],[Price_retail]]-Real_Sales[[#This Row],[Price_current]])/Real_Sales[[#This Row],[Price_retail]]</f>
        <v>0</v>
      </c>
      <c r="W513" s="3" t="str" cm="1">
        <f t="array" ref="W51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13" s="2" t="str">
        <f>IF(Real_Sales[[#This Row],[Price_retail]]&gt;$AC$3,"Premium","Average")</f>
        <v>Average</v>
      </c>
      <c r="Y513" s="2" t="str">
        <f>IF(ISNUMBER(SEARCH("Basic",Real_Sales[[#This Row],[Product_name]])),"Yes","No")</f>
        <v>No</v>
      </c>
      <c r="Z513" s="2" cm="1">
        <f t="array" ref="Z513">_xlfn.IFS(Real_Sales[[#This Row],[Price_retail]]&lt;=15,1, Real_Sales[[#This Row],[Price_retail]]&lt;=30,2, Real_Sales[[#This Row],[Price_retail]]&lt;=50,3,Real_Sales[[#This Row],[Price_retail]]&gt;50,4)</f>
        <v>2</v>
      </c>
    </row>
    <row r="514" spans="1:26" x14ac:dyDescent="0.35">
      <c r="A514" s="2" t="s">
        <v>340</v>
      </c>
      <c r="B514" s="2" t="s">
        <v>341</v>
      </c>
      <c r="C514" s="2" t="s">
        <v>3433</v>
      </c>
      <c r="D514" s="2" t="s">
        <v>342</v>
      </c>
      <c r="E514" s="2" t="s">
        <v>4</v>
      </c>
      <c r="F514" s="2" t="s">
        <v>17</v>
      </c>
      <c r="G514" s="2" t="s">
        <v>67</v>
      </c>
      <c r="H514" s="2" t="s">
        <v>237</v>
      </c>
      <c r="I514" s="2" t="s">
        <v>3393</v>
      </c>
      <c r="J514" s="3">
        <v>16.940000000000001</v>
      </c>
      <c r="K514" s="3">
        <v>16.940000000000001</v>
      </c>
      <c r="L514" s="2" t="s">
        <v>3391</v>
      </c>
      <c r="M514" s="2" t="s">
        <v>9</v>
      </c>
      <c r="N514" s="3">
        <v>956</v>
      </c>
      <c r="O514" s="2" t="s">
        <v>60</v>
      </c>
      <c r="P514" s="2" t="s">
        <v>53</v>
      </c>
      <c r="Q514" s="3"/>
      <c r="R514" s="3"/>
      <c r="S514" s="2" t="s">
        <v>21</v>
      </c>
      <c r="T514" s="4">
        <v>44955</v>
      </c>
      <c r="U514" s="2" t="s">
        <v>343</v>
      </c>
      <c r="V514" s="6">
        <f>(Real_Sales[[#This Row],[Price_retail]]-Real_Sales[[#This Row],[Price_current]])/Real_Sales[[#This Row],[Price_retail]]</f>
        <v>0</v>
      </c>
      <c r="W514" s="3" t="str" cm="1">
        <f t="array" ref="W5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14" s="2" t="str">
        <f>IF(Real_Sales[[#This Row],[Price_retail]]&gt;$AC$3,"Premium","Average")</f>
        <v>Average</v>
      </c>
      <c r="Y514" s="2" t="str">
        <f>IF(ISNUMBER(SEARCH("Basic",Real_Sales[[#This Row],[Product_name]])),"Yes","No")</f>
        <v>No</v>
      </c>
      <c r="Z514" s="2" cm="1">
        <f t="array" ref="Z514">_xlfn.IFS(Real_Sales[[#This Row],[Price_retail]]&lt;=15,1, Real_Sales[[#This Row],[Price_retail]]&lt;=30,2, Real_Sales[[#This Row],[Price_retail]]&lt;=50,3,Real_Sales[[#This Row],[Price_retail]]&gt;50,4)</f>
        <v>2</v>
      </c>
    </row>
    <row r="515" spans="1:26" x14ac:dyDescent="0.35">
      <c r="A515" s="2" t="s">
        <v>1120</v>
      </c>
      <c r="B515" s="2" t="s">
        <v>1121</v>
      </c>
      <c r="C515" s="2" t="s">
        <v>242</v>
      </c>
      <c r="D515" s="2" t="s">
        <v>625</v>
      </c>
      <c r="E515" s="2" t="s">
        <v>4</v>
      </c>
      <c r="F515" s="2" t="s">
        <v>17</v>
      </c>
      <c r="G515" s="2" t="s">
        <v>50</v>
      </c>
      <c r="H515" s="2" t="s">
        <v>333</v>
      </c>
      <c r="I515" s="2" t="s">
        <v>3390</v>
      </c>
      <c r="J515" s="3">
        <v>16.95</v>
      </c>
      <c r="K515" s="3">
        <v>16.95</v>
      </c>
      <c r="L515" s="2" t="s">
        <v>3391</v>
      </c>
      <c r="M515" s="2" t="s">
        <v>9</v>
      </c>
      <c r="N515" s="3">
        <v>540</v>
      </c>
      <c r="O515" s="2" t="s">
        <v>104</v>
      </c>
      <c r="P515" s="2" t="s">
        <v>221</v>
      </c>
      <c r="Q515" s="3"/>
      <c r="R515" s="3"/>
      <c r="S515" s="2" t="s">
        <v>12</v>
      </c>
      <c r="T515" s="4">
        <v>44955</v>
      </c>
      <c r="U515" s="2" t="s">
        <v>1122</v>
      </c>
      <c r="V515" s="6">
        <f>(Real_Sales[[#This Row],[Price_retail]]-Real_Sales[[#This Row],[Price_current]])/Real_Sales[[#This Row],[Price_retail]]</f>
        <v>0</v>
      </c>
      <c r="W515" s="3" t="str" cm="1">
        <f t="array" ref="W51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15" s="2" t="str">
        <f>IF(Real_Sales[[#This Row],[Price_retail]]&gt;$AC$3,"Premium","Average")</f>
        <v>Average</v>
      </c>
      <c r="Y515" s="2" t="str">
        <f>IF(ISNUMBER(SEARCH("Basic",Real_Sales[[#This Row],[Product_name]])),"Yes","No")</f>
        <v>No</v>
      </c>
      <c r="Z515" s="2" cm="1">
        <f t="array" ref="Z515">_xlfn.IFS(Real_Sales[[#This Row],[Price_retail]]&lt;=15,1, Real_Sales[[#This Row],[Price_retail]]&lt;=30,2, Real_Sales[[#This Row],[Price_retail]]&lt;=50,3,Real_Sales[[#This Row],[Price_retail]]&gt;50,4)</f>
        <v>2</v>
      </c>
    </row>
    <row r="516" spans="1:26" x14ac:dyDescent="0.35">
      <c r="A516" s="2" t="s">
        <v>1442</v>
      </c>
      <c r="B516" s="2" t="s">
        <v>1443</v>
      </c>
      <c r="C516" s="2" t="s">
        <v>25</v>
      </c>
      <c r="D516" s="2" t="s">
        <v>428</v>
      </c>
      <c r="E516" s="2" t="s">
        <v>4</v>
      </c>
      <c r="F516" s="2" t="s">
        <v>5</v>
      </c>
      <c r="G516" s="2" t="s">
        <v>6</v>
      </c>
      <c r="H516" s="2" t="s">
        <v>333</v>
      </c>
      <c r="I516" s="2" t="s">
        <v>3389</v>
      </c>
      <c r="J516" s="3">
        <v>16.98</v>
      </c>
      <c r="K516" s="3">
        <v>9.65</v>
      </c>
      <c r="L516" s="2" t="s">
        <v>8</v>
      </c>
      <c r="M516" s="2" t="s">
        <v>9</v>
      </c>
      <c r="N516" s="3">
        <v>748</v>
      </c>
      <c r="O516" s="2" t="s">
        <v>43</v>
      </c>
      <c r="P516" s="2" t="s">
        <v>128</v>
      </c>
      <c r="Q516" s="3"/>
      <c r="R516" s="3"/>
      <c r="S516" s="2" t="s">
        <v>21</v>
      </c>
      <c r="T516" s="4">
        <v>44955</v>
      </c>
      <c r="U516" s="2" t="s">
        <v>1444</v>
      </c>
      <c r="V516" s="6">
        <f>(Real_Sales[[#This Row],[Price_retail]]-Real_Sales[[#This Row],[Price_current]])/Real_Sales[[#This Row],[Price_retail]]</f>
        <v>0.43168433451118965</v>
      </c>
      <c r="W516" s="3" t="str" cm="1">
        <f t="array" ref="W51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16" s="2" t="str">
        <f>IF(Real_Sales[[#This Row],[Price_retail]]&gt;$AC$3,"Premium","Average")</f>
        <v>Average</v>
      </c>
      <c r="Y516" s="2" t="str">
        <f>IF(ISNUMBER(SEARCH("Basic",Real_Sales[[#This Row],[Product_name]])),"Yes","No")</f>
        <v>No</v>
      </c>
      <c r="Z516" s="2" cm="1">
        <f t="array" ref="Z516">_xlfn.IFS(Real_Sales[[#This Row],[Price_retail]]&lt;=15,1, Real_Sales[[#This Row],[Price_retail]]&lt;=30,2, Real_Sales[[#This Row],[Price_retail]]&lt;=50,3,Real_Sales[[#This Row],[Price_retail]]&gt;50,4)</f>
        <v>2</v>
      </c>
    </row>
    <row r="517" spans="1:26" x14ac:dyDescent="0.35">
      <c r="A517" s="2" t="s">
        <v>719</v>
      </c>
      <c r="B517" s="2" t="s">
        <v>720</v>
      </c>
      <c r="C517" s="2" t="s">
        <v>721</v>
      </c>
      <c r="D517" s="2" t="s">
        <v>557</v>
      </c>
      <c r="E517" s="2" t="s">
        <v>4</v>
      </c>
      <c r="F517" s="2" t="s">
        <v>5</v>
      </c>
      <c r="G517" s="2" t="s">
        <v>6</v>
      </c>
      <c r="H517" s="2" t="s">
        <v>28</v>
      </c>
      <c r="I517" s="2" t="s">
        <v>3390</v>
      </c>
      <c r="J517" s="3">
        <v>17</v>
      </c>
      <c r="K517" s="3">
        <v>12.84</v>
      </c>
      <c r="L517" s="2" t="s">
        <v>8</v>
      </c>
      <c r="M517" s="2" t="s">
        <v>9</v>
      </c>
      <c r="N517" s="3">
        <v>231</v>
      </c>
      <c r="O517" s="2" t="s">
        <v>43</v>
      </c>
      <c r="P517" s="2" t="s">
        <v>37</v>
      </c>
      <c r="Q517" s="3"/>
      <c r="R517" s="3"/>
      <c r="S517" s="2" t="s">
        <v>12</v>
      </c>
      <c r="T517" s="4">
        <v>44955</v>
      </c>
      <c r="U517" s="2" t="s">
        <v>722</v>
      </c>
      <c r="V517" s="6">
        <f>(Real_Sales[[#This Row],[Price_retail]]-Real_Sales[[#This Row],[Price_current]])/Real_Sales[[#This Row],[Price_retail]]</f>
        <v>0.24470588235294119</v>
      </c>
      <c r="W517" s="3" t="str" cm="1">
        <f t="array" ref="W51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17" s="2" t="str">
        <f>IF(Real_Sales[[#This Row],[Price_retail]]&gt;$AC$3,"Premium","Average")</f>
        <v>Average</v>
      </c>
      <c r="Y517" s="2" t="str">
        <f>IF(ISNUMBER(SEARCH("Basic",Real_Sales[[#This Row],[Product_name]])),"Yes","No")</f>
        <v>No</v>
      </c>
      <c r="Z517" s="2" cm="1">
        <f t="array" ref="Z517">_xlfn.IFS(Real_Sales[[#This Row],[Price_retail]]&lt;=15,1, Real_Sales[[#This Row],[Price_retail]]&lt;=30,2, Real_Sales[[#This Row],[Price_retail]]&lt;=50,3,Real_Sales[[#This Row],[Price_retail]]&gt;50,4)</f>
        <v>2</v>
      </c>
    </row>
    <row r="518" spans="1:26" x14ac:dyDescent="0.35">
      <c r="A518" s="2" t="s">
        <v>2368</v>
      </c>
      <c r="B518" s="2" t="s">
        <v>2369</v>
      </c>
      <c r="C518" s="2" t="s">
        <v>3394</v>
      </c>
      <c r="D518" s="2" t="s">
        <v>2370</v>
      </c>
      <c r="E518" s="2" t="s">
        <v>4</v>
      </c>
      <c r="F518" s="2" t="s">
        <v>5</v>
      </c>
      <c r="G518" s="2" t="s">
        <v>121</v>
      </c>
      <c r="H518" s="2" t="s">
        <v>185</v>
      </c>
      <c r="I518" s="2" t="s">
        <v>3390</v>
      </c>
      <c r="J518" s="3">
        <v>17.010000000000002</v>
      </c>
      <c r="K518" s="3">
        <v>17.010000000000002</v>
      </c>
      <c r="L518" s="2" t="s">
        <v>3391</v>
      </c>
      <c r="M518" s="2" t="s">
        <v>9</v>
      </c>
      <c r="N518" s="3">
        <v>710</v>
      </c>
      <c r="O518" s="2" t="s">
        <v>3392</v>
      </c>
      <c r="P518" s="2" t="s">
        <v>192</v>
      </c>
      <c r="Q518" s="3"/>
      <c r="R518" s="3"/>
      <c r="S518" s="2" t="s">
        <v>21</v>
      </c>
      <c r="T518" s="4">
        <v>44955</v>
      </c>
      <c r="U518" s="2" t="s">
        <v>2371</v>
      </c>
      <c r="V518" s="6">
        <f>(Real_Sales[[#This Row],[Price_retail]]-Real_Sales[[#This Row],[Price_current]])/Real_Sales[[#This Row],[Price_retail]]</f>
        <v>0</v>
      </c>
      <c r="W518" s="3" t="str" cm="1">
        <f t="array" ref="W5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18" s="2" t="str">
        <f>IF(Real_Sales[[#This Row],[Price_retail]]&gt;$AC$3,"Premium","Average")</f>
        <v>Average</v>
      </c>
      <c r="Y518" s="2" t="str">
        <f>IF(ISNUMBER(SEARCH("Basic",Real_Sales[[#This Row],[Product_name]])),"Yes","No")</f>
        <v>No</v>
      </c>
      <c r="Z518" s="2" cm="1">
        <f t="array" ref="Z518">_xlfn.IFS(Real_Sales[[#This Row],[Price_retail]]&lt;=15,1, Real_Sales[[#This Row],[Price_retail]]&lt;=30,2, Real_Sales[[#This Row],[Price_retail]]&lt;=50,3,Real_Sales[[#This Row],[Price_retail]]&gt;50,4)</f>
        <v>2</v>
      </c>
    </row>
    <row r="519" spans="1:26" x14ac:dyDescent="0.35">
      <c r="A519" s="2" t="s">
        <v>819</v>
      </c>
      <c r="B519" s="2" t="s">
        <v>820</v>
      </c>
      <c r="C519" s="2" t="s">
        <v>399</v>
      </c>
      <c r="D519" s="2" t="s">
        <v>205</v>
      </c>
      <c r="E519" s="2" t="s">
        <v>4</v>
      </c>
      <c r="F519" s="2" t="s">
        <v>17</v>
      </c>
      <c r="G519" s="2" t="s">
        <v>50</v>
      </c>
      <c r="H519" s="2" t="s">
        <v>145</v>
      </c>
      <c r="I519" s="2" t="s">
        <v>3393</v>
      </c>
      <c r="J519" s="3">
        <v>17.03</v>
      </c>
      <c r="K519" s="3">
        <v>13.41</v>
      </c>
      <c r="L519" s="2" t="s">
        <v>8</v>
      </c>
      <c r="M519" s="2" t="s">
        <v>9</v>
      </c>
      <c r="N519" s="3">
        <v>264</v>
      </c>
      <c r="O519" s="2" t="s">
        <v>29</v>
      </c>
      <c r="P519" s="2" t="s">
        <v>61</v>
      </c>
      <c r="Q519" s="3"/>
      <c r="R519" s="3"/>
      <c r="S519" s="2" t="s">
        <v>21</v>
      </c>
      <c r="T519" s="4">
        <v>44955</v>
      </c>
      <c r="U519" s="2" t="s">
        <v>821</v>
      </c>
      <c r="V519" s="6">
        <f>(Real_Sales[[#This Row],[Price_retail]]-Real_Sales[[#This Row],[Price_current]])/Real_Sales[[#This Row],[Price_retail]]</f>
        <v>0.21256605989430422</v>
      </c>
      <c r="W519" s="3" t="str" cm="1">
        <f t="array" ref="W51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19" s="2" t="str">
        <f>IF(Real_Sales[[#This Row],[Price_retail]]&gt;$AC$3,"Premium","Average")</f>
        <v>Average</v>
      </c>
      <c r="Y519" s="2" t="str">
        <f>IF(ISNUMBER(SEARCH("Basic",Real_Sales[[#This Row],[Product_name]])),"Yes","No")</f>
        <v>No</v>
      </c>
      <c r="Z519" s="2" cm="1">
        <f t="array" ref="Z519">_xlfn.IFS(Real_Sales[[#This Row],[Price_retail]]&lt;=15,1, Real_Sales[[#This Row],[Price_retail]]&lt;=30,2, Real_Sales[[#This Row],[Price_retail]]&lt;=50,3,Real_Sales[[#This Row],[Price_retail]]&gt;50,4)</f>
        <v>2</v>
      </c>
    </row>
    <row r="520" spans="1:26" x14ac:dyDescent="0.35">
      <c r="A520" s="2" t="s">
        <v>961</v>
      </c>
      <c r="B520" s="2" t="s">
        <v>962</v>
      </c>
      <c r="C520" s="2" t="s">
        <v>963</v>
      </c>
      <c r="D520" s="2" t="s">
        <v>964</v>
      </c>
      <c r="E520" s="2" t="s">
        <v>4</v>
      </c>
      <c r="F520" s="2" t="s">
        <v>17</v>
      </c>
      <c r="G520" s="2" t="s">
        <v>27</v>
      </c>
      <c r="H520" s="2" t="s">
        <v>333</v>
      </c>
      <c r="I520" s="2" t="s">
        <v>3395</v>
      </c>
      <c r="J520" s="3">
        <v>17.03</v>
      </c>
      <c r="K520" s="3">
        <v>17.03</v>
      </c>
      <c r="L520" s="2" t="s">
        <v>3391</v>
      </c>
      <c r="M520" s="2" t="s">
        <v>9</v>
      </c>
      <c r="N520" s="3">
        <v>911</v>
      </c>
      <c r="O520" s="2" t="s">
        <v>3392</v>
      </c>
      <c r="P520" s="2" t="s">
        <v>122</v>
      </c>
      <c r="Q520" s="3"/>
      <c r="R520" s="3"/>
      <c r="S520" s="2" t="s">
        <v>21</v>
      </c>
      <c r="T520" s="4">
        <v>44955</v>
      </c>
      <c r="U520" s="2" t="s">
        <v>965</v>
      </c>
      <c r="V520" s="6">
        <f>(Real_Sales[[#This Row],[Price_retail]]-Real_Sales[[#This Row],[Price_current]])/Real_Sales[[#This Row],[Price_retail]]</f>
        <v>0</v>
      </c>
      <c r="W520" s="3" t="str" cm="1">
        <f t="array" ref="W52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0" s="2" t="str">
        <f>IF(Real_Sales[[#This Row],[Price_retail]]&gt;$AC$3,"Premium","Average")</f>
        <v>Average</v>
      </c>
      <c r="Y520" s="2" t="str">
        <f>IF(ISNUMBER(SEARCH("Basic",Real_Sales[[#This Row],[Product_name]])),"Yes","No")</f>
        <v>Yes</v>
      </c>
      <c r="Z520" s="2" cm="1">
        <f t="array" ref="Z520">_xlfn.IFS(Real_Sales[[#This Row],[Price_retail]]&lt;=15,1, Real_Sales[[#This Row],[Price_retail]]&lt;=30,2, Real_Sales[[#This Row],[Price_retail]]&lt;=50,3,Real_Sales[[#This Row],[Price_retail]]&gt;50,4)</f>
        <v>2</v>
      </c>
    </row>
    <row r="521" spans="1:26" x14ac:dyDescent="0.35">
      <c r="A521" s="2" t="s">
        <v>1984</v>
      </c>
      <c r="B521" s="2" t="s">
        <v>1985</v>
      </c>
      <c r="C521" s="2" t="s">
        <v>200</v>
      </c>
      <c r="D521" s="2" t="s">
        <v>1748</v>
      </c>
      <c r="E521" s="2" t="s">
        <v>4</v>
      </c>
      <c r="F521" s="2" t="s">
        <v>17</v>
      </c>
      <c r="G521" s="2" t="s">
        <v>18</v>
      </c>
      <c r="H521" s="2" t="s">
        <v>110</v>
      </c>
      <c r="I521" s="2" t="s">
        <v>3393</v>
      </c>
      <c r="J521" s="3">
        <v>17.100000000000001</v>
      </c>
      <c r="K521" s="3">
        <v>17.100000000000001</v>
      </c>
      <c r="L521" s="2" t="s">
        <v>3391</v>
      </c>
      <c r="M521" s="2" t="s">
        <v>9</v>
      </c>
      <c r="N521" s="3">
        <v>203</v>
      </c>
      <c r="O521" s="2" t="s">
        <v>302</v>
      </c>
      <c r="P521" s="2" t="s">
        <v>30</v>
      </c>
      <c r="Q521" s="3"/>
      <c r="R521" s="3"/>
      <c r="S521" s="2" t="s">
        <v>21</v>
      </c>
      <c r="T521" s="4">
        <v>44955</v>
      </c>
      <c r="U521" s="2" t="s">
        <v>1986</v>
      </c>
      <c r="V521" s="6">
        <f>(Real_Sales[[#This Row],[Price_retail]]-Real_Sales[[#This Row],[Price_current]])/Real_Sales[[#This Row],[Price_retail]]</f>
        <v>0</v>
      </c>
      <c r="W521" s="3" t="str" cm="1">
        <f t="array" ref="W52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1" s="2" t="str">
        <f>IF(Real_Sales[[#This Row],[Price_retail]]&gt;$AC$3,"Premium","Average")</f>
        <v>Average</v>
      </c>
      <c r="Y521" s="2" t="str">
        <f>IF(ISNUMBER(SEARCH("Basic",Real_Sales[[#This Row],[Product_name]])),"Yes","No")</f>
        <v>No</v>
      </c>
      <c r="Z521" s="2" cm="1">
        <f t="array" ref="Z521">_xlfn.IFS(Real_Sales[[#This Row],[Price_retail]]&lt;=15,1, Real_Sales[[#This Row],[Price_retail]]&lt;=30,2, Real_Sales[[#This Row],[Price_retail]]&lt;=50,3,Real_Sales[[#This Row],[Price_retail]]&gt;50,4)</f>
        <v>2</v>
      </c>
    </row>
    <row r="522" spans="1:26" x14ac:dyDescent="0.35">
      <c r="A522" s="2" t="s">
        <v>1725</v>
      </c>
      <c r="B522" s="2" t="s">
        <v>1726</v>
      </c>
      <c r="C522" s="2" t="s">
        <v>3413</v>
      </c>
      <c r="D522" s="2" t="s">
        <v>1727</v>
      </c>
      <c r="E522" s="2" t="s">
        <v>4</v>
      </c>
      <c r="F522" s="2" t="s">
        <v>5</v>
      </c>
      <c r="G522" s="2" t="s">
        <v>82</v>
      </c>
      <c r="H522" s="2" t="s">
        <v>418</v>
      </c>
      <c r="I522" s="2" t="s">
        <v>3390</v>
      </c>
      <c r="J522" s="3">
        <v>17.11</v>
      </c>
      <c r="K522" s="3">
        <v>17.11</v>
      </c>
      <c r="L522" s="2" t="s">
        <v>3391</v>
      </c>
      <c r="M522" s="2" t="s">
        <v>9</v>
      </c>
      <c r="N522" s="3">
        <v>312</v>
      </c>
      <c r="O522" s="2" t="s">
        <v>347</v>
      </c>
      <c r="P522" s="2" t="s">
        <v>44</v>
      </c>
      <c r="Q522" s="3"/>
      <c r="R522" s="3"/>
      <c r="S522" s="2" t="s">
        <v>21</v>
      </c>
      <c r="T522" s="4">
        <v>44955</v>
      </c>
      <c r="U522" s="2" t="s">
        <v>1728</v>
      </c>
      <c r="V522" s="6">
        <f>(Real_Sales[[#This Row],[Price_retail]]-Real_Sales[[#This Row],[Price_current]])/Real_Sales[[#This Row],[Price_retail]]</f>
        <v>0</v>
      </c>
      <c r="W522" s="3" t="str" cm="1">
        <f t="array" ref="W5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2" s="2" t="str">
        <f>IF(Real_Sales[[#This Row],[Price_retail]]&gt;$AC$3,"Premium","Average")</f>
        <v>Average</v>
      </c>
      <c r="Y522" s="2" t="str">
        <f>IF(ISNUMBER(SEARCH("Basic",Real_Sales[[#This Row],[Product_name]])),"Yes","No")</f>
        <v>Yes</v>
      </c>
      <c r="Z522" s="2" cm="1">
        <f t="array" ref="Z522">_xlfn.IFS(Real_Sales[[#This Row],[Price_retail]]&lt;=15,1, Real_Sales[[#This Row],[Price_retail]]&lt;=30,2, Real_Sales[[#This Row],[Price_retail]]&lt;=50,3,Real_Sales[[#This Row],[Price_retail]]&gt;50,4)</f>
        <v>2</v>
      </c>
    </row>
    <row r="523" spans="1:26" x14ac:dyDescent="0.35">
      <c r="A523" s="2" t="s">
        <v>1874</v>
      </c>
      <c r="B523" s="2" t="s">
        <v>1875</v>
      </c>
      <c r="C523" s="2" t="s">
        <v>901</v>
      </c>
      <c r="D523" s="2" t="s">
        <v>428</v>
      </c>
      <c r="E523" s="2" t="s">
        <v>4</v>
      </c>
      <c r="F523" s="2" t="s">
        <v>5</v>
      </c>
      <c r="G523" s="2" t="s">
        <v>121</v>
      </c>
      <c r="H523" s="2" t="s">
        <v>333</v>
      </c>
      <c r="I523" s="2" t="s">
        <v>3390</v>
      </c>
      <c r="J523" s="3">
        <v>17.12</v>
      </c>
      <c r="K523" s="3">
        <v>17.12</v>
      </c>
      <c r="L523" s="2" t="s">
        <v>3391</v>
      </c>
      <c r="M523" s="2" t="s">
        <v>9</v>
      </c>
      <c r="N523" s="3">
        <v>139</v>
      </c>
      <c r="O523" s="2" t="s">
        <v>29</v>
      </c>
      <c r="P523" s="2" t="s">
        <v>3392</v>
      </c>
      <c r="Q523" s="3"/>
      <c r="R523" s="3"/>
      <c r="S523" s="2" t="s">
        <v>21</v>
      </c>
      <c r="T523" s="4">
        <v>44955</v>
      </c>
      <c r="U523" s="2" t="s">
        <v>1876</v>
      </c>
      <c r="V523" s="6">
        <f>(Real_Sales[[#This Row],[Price_retail]]-Real_Sales[[#This Row],[Price_current]])/Real_Sales[[#This Row],[Price_retail]]</f>
        <v>0</v>
      </c>
      <c r="W523" s="3" t="str" cm="1">
        <f t="array" ref="W52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3" s="2" t="str">
        <f>IF(Real_Sales[[#This Row],[Price_retail]]&gt;$AC$3,"Premium","Average")</f>
        <v>Average</v>
      </c>
      <c r="Y523" s="2" t="str">
        <f>IF(ISNUMBER(SEARCH("Basic",Real_Sales[[#This Row],[Product_name]])),"Yes","No")</f>
        <v>No</v>
      </c>
      <c r="Z523" s="2" cm="1">
        <f t="array" ref="Z523">_xlfn.IFS(Real_Sales[[#This Row],[Price_retail]]&lt;=15,1, Real_Sales[[#This Row],[Price_retail]]&lt;=30,2, Real_Sales[[#This Row],[Price_retail]]&lt;=50,3,Real_Sales[[#This Row],[Price_retail]]&gt;50,4)</f>
        <v>2</v>
      </c>
    </row>
    <row r="524" spans="1:26" x14ac:dyDescent="0.35">
      <c r="A524" s="2" t="s">
        <v>1521</v>
      </c>
      <c r="B524" s="2" t="s">
        <v>1522</v>
      </c>
      <c r="C524" s="2" t="s">
        <v>65</v>
      </c>
      <c r="D524" s="2" t="s">
        <v>1523</v>
      </c>
      <c r="E524" s="2" t="s">
        <v>4</v>
      </c>
      <c r="F524" s="2" t="s">
        <v>17</v>
      </c>
      <c r="G524" s="2" t="s">
        <v>27</v>
      </c>
      <c r="H524" s="2" t="s">
        <v>333</v>
      </c>
      <c r="I524" s="2" t="s">
        <v>3393</v>
      </c>
      <c r="J524" s="3">
        <v>17.149999999999999</v>
      </c>
      <c r="K524" s="3">
        <v>13.93</v>
      </c>
      <c r="L524" s="2" t="s">
        <v>8</v>
      </c>
      <c r="M524" s="2" t="s">
        <v>9</v>
      </c>
      <c r="N524" s="3">
        <v>246</v>
      </c>
      <c r="O524" s="2" t="s">
        <v>3392</v>
      </c>
      <c r="P524" s="2" t="s">
        <v>44</v>
      </c>
      <c r="Q524" s="3"/>
      <c r="R524" s="3"/>
      <c r="S524" s="2" t="s">
        <v>12</v>
      </c>
      <c r="T524" s="4">
        <v>44955</v>
      </c>
      <c r="U524" s="2" t="s">
        <v>1524</v>
      </c>
      <c r="V524" s="6">
        <f>(Real_Sales[[#This Row],[Price_retail]]-Real_Sales[[#This Row],[Price_current]])/Real_Sales[[#This Row],[Price_retail]]</f>
        <v>0.18775510204081627</v>
      </c>
      <c r="W524" s="3" t="str" cm="1">
        <f t="array" ref="W524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524" s="2" t="str">
        <f>IF(Real_Sales[[#This Row],[Price_retail]]&gt;$AC$3,"Premium","Average")</f>
        <v>Average</v>
      </c>
      <c r="Y524" s="2" t="str">
        <f>IF(ISNUMBER(SEARCH("Basic",Real_Sales[[#This Row],[Product_name]])),"Yes","No")</f>
        <v>No</v>
      </c>
      <c r="Z524" s="2" cm="1">
        <f t="array" ref="Z524">_xlfn.IFS(Real_Sales[[#This Row],[Price_retail]]&lt;=15,1, Real_Sales[[#This Row],[Price_retail]]&lt;=30,2, Real_Sales[[#This Row],[Price_retail]]&lt;=50,3,Real_Sales[[#This Row],[Price_retail]]&gt;50,4)</f>
        <v>2</v>
      </c>
    </row>
    <row r="525" spans="1:26" x14ac:dyDescent="0.35">
      <c r="A525" s="2" t="s">
        <v>1908</v>
      </c>
      <c r="B525" s="2" t="s">
        <v>1909</v>
      </c>
      <c r="C525" s="2" t="s">
        <v>3394</v>
      </c>
      <c r="D525" s="2" t="s">
        <v>66</v>
      </c>
      <c r="E525" s="2" t="s">
        <v>4</v>
      </c>
      <c r="F525" s="2" t="s">
        <v>17</v>
      </c>
      <c r="G525" s="2" t="s">
        <v>67</v>
      </c>
      <c r="H525" s="2" t="s">
        <v>68</v>
      </c>
      <c r="I525" s="2" t="s">
        <v>3393</v>
      </c>
      <c r="J525" s="3">
        <v>17.170000000000002</v>
      </c>
      <c r="K525" s="3">
        <v>11.34</v>
      </c>
      <c r="L525" s="2" t="s">
        <v>8</v>
      </c>
      <c r="M525" s="2" t="s">
        <v>9</v>
      </c>
      <c r="N525" s="3">
        <v>363</v>
      </c>
      <c r="O525" s="2" t="s">
        <v>347</v>
      </c>
      <c r="P525" s="2" t="s">
        <v>238</v>
      </c>
      <c r="Q525" s="3"/>
      <c r="R525" s="3"/>
      <c r="S525" s="2" t="s">
        <v>12</v>
      </c>
      <c r="T525" s="4">
        <v>44955</v>
      </c>
      <c r="U525" s="2" t="s">
        <v>1910</v>
      </c>
      <c r="V525" s="6">
        <f>(Real_Sales[[#This Row],[Price_retail]]-Real_Sales[[#This Row],[Price_current]])/Real_Sales[[#This Row],[Price_retail]]</f>
        <v>0.33954571927781019</v>
      </c>
      <c r="W525" s="3" t="str" cm="1">
        <f t="array" ref="W52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25" s="2" t="str">
        <f>IF(Real_Sales[[#This Row],[Price_retail]]&gt;$AC$3,"Premium","Average")</f>
        <v>Average</v>
      </c>
      <c r="Y525" s="2" t="str">
        <f>IF(ISNUMBER(SEARCH("Basic",Real_Sales[[#This Row],[Product_name]])),"Yes","No")</f>
        <v>Yes</v>
      </c>
      <c r="Z525" s="2" cm="1">
        <f t="array" ref="Z525">_xlfn.IFS(Real_Sales[[#This Row],[Price_retail]]&lt;=15,1, Real_Sales[[#This Row],[Price_retail]]&lt;=30,2, Real_Sales[[#This Row],[Price_retail]]&lt;=50,3,Real_Sales[[#This Row],[Price_retail]]&gt;50,4)</f>
        <v>2</v>
      </c>
    </row>
    <row r="526" spans="1:26" x14ac:dyDescent="0.35">
      <c r="A526" s="2" t="s">
        <v>1656</v>
      </c>
      <c r="B526" s="2" t="s">
        <v>1657</v>
      </c>
      <c r="C526" s="2" t="s">
        <v>505</v>
      </c>
      <c r="D526" s="2" t="s">
        <v>494</v>
      </c>
      <c r="E526" s="2" t="s">
        <v>4</v>
      </c>
      <c r="F526" s="2" t="s">
        <v>17</v>
      </c>
      <c r="G526" s="2" t="s">
        <v>27</v>
      </c>
      <c r="H526" s="2" t="s">
        <v>83</v>
      </c>
      <c r="I526" s="2" t="s">
        <v>3393</v>
      </c>
      <c r="J526" s="3">
        <v>17.18</v>
      </c>
      <c r="K526" s="3">
        <v>17.18</v>
      </c>
      <c r="L526" s="2" t="s">
        <v>248</v>
      </c>
      <c r="M526" s="2" t="s">
        <v>9</v>
      </c>
      <c r="N526" s="3">
        <v>846</v>
      </c>
      <c r="O526" s="2" t="s">
        <v>43</v>
      </c>
      <c r="P526" s="2" t="s">
        <v>30</v>
      </c>
      <c r="Q526" s="3"/>
      <c r="R526" s="3"/>
      <c r="S526" s="2" t="s">
        <v>21</v>
      </c>
      <c r="T526" s="4">
        <v>44955</v>
      </c>
      <c r="U526" s="2" t="s">
        <v>1658</v>
      </c>
      <c r="V526" s="6">
        <f>(Real_Sales[[#This Row],[Price_retail]]-Real_Sales[[#This Row],[Price_current]])/Real_Sales[[#This Row],[Price_retail]]</f>
        <v>0</v>
      </c>
      <c r="W526" s="3" t="str" cm="1">
        <f t="array" ref="W52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6" s="2" t="str">
        <f>IF(Real_Sales[[#This Row],[Price_retail]]&gt;$AC$3,"Premium","Average")</f>
        <v>Average</v>
      </c>
      <c r="Y526" s="2" t="str">
        <f>IF(ISNUMBER(SEARCH("Basic",Real_Sales[[#This Row],[Product_name]])),"Yes","No")</f>
        <v>Yes</v>
      </c>
      <c r="Z526" s="2" cm="1">
        <f t="array" ref="Z526">_xlfn.IFS(Real_Sales[[#This Row],[Price_retail]]&lt;=15,1, Real_Sales[[#This Row],[Price_retail]]&lt;=30,2, Real_Sales[[#This Row],[Price_retail]]&lt;=50,3,Real_Sales[[#This Row],[Price_retail]]&gt;50,4)</f>
        <v>2</v>
      </c>
    </row>
    <row r="527" spans="1:26" x14ac:dyDescent="0.35">
      <c r="A527" s="2" t="s">
        <v>2453</v>
      </c>
      <c r="B527" s="2" t="s">
        <v>2454</v>
      </c>
      <c r="C527" s="2" t="s">
        <v>525</v>
      </c>
      <c r="D527" s="2" t="s">
        <v>220</v>
      </c>
      <c r="E527" s="2" t="s">
        <v>4</v>
      </c>
      <c r="F527" s="2" t="s">
        <v>17</v>
      </c>
      <c r="G527" s="2" t="s">
        <v>67</v>
      </c>
      <c r="H527" s="2"/>
      <c r="I527" s="2" t="s">
        <v>3390</v>
      </c>
      <c r="J527" s="3">
        <v>17.21</v>
      </c>
      <c r="K527" s="3">
        <v>11.88</v>
      </c>
      <c r="L527" s="2" t="s">
        <v>8</v>
      </c>
      <c r="M527" s="2" t="s">
        <v>9</v>
      </c>
      <c r="N527" s="3">
        <v>179</v>
      </c>
      <c r="O527" s="2" t="s">
        <v>104</v>
      </c>
      <c r="P527" s="2" t="s">
        <v>169</v>
      </c>
      <c r="Q527" s="3"/>
      <c r="R527" s="3"/>
      <c r="S527" s="2" t="s">
        <v>21</v>
      </c>
      <c r="T527" s="4">
        <v>44955</v>
      </c>
      <c r="U527" s="2" t="s">
        <v>2455</v>
      </c>
      <c r="V527" s="6">
        <f>(Real_Sales[[#This Row],[Price_retail]]-Real_Sales[[#This Row],[Price_current]])/Real_Sales[[#This Row],[Price_retail]]</f>
        <v>0.30970366066240557</v>
      </c>
      <c r="W527" s="3" t="str" cm="1">
        <f t="array" ref="W52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27" s="2" t="str">
        <f>IF(Real_Sales[[#This Row],[Price_retail]]&gt;$AC$3,"Premium","Average")</f>
        <v>Average</v>
      </c>
      <c r="Y527" s="2" t="str">
        <f>IF(ISNUMBER(SEARCH("Basic",Real_Sales[[#This Row],[Product_name]])),"Yes","No")</f>
        <v>No</v>
      </c>
      <c r="Z527" s="2" cm="1">
        <f t="array" ref="Z527">_xlfn.IFS(Real_Sales[[#This Row],[Price_retail]]&lt;=15,1, Real_Sales[[#This Row],[Price_retail]]&lt;=30,2, Real_Sales[[#This Row],[Price_retail]]&lt;=50,3,Real_Sales[[#This Row],[Price_retail]]&gt;50,4)</f>
        <v>2</v>
      </c>
    </row>
    <row r="528" spans="1:26" x14ac:dyDescent="0.35">
      <c r="A528" s="2" t="s">
        <v>440</v>
      </c>
      <c r="B528" s="2" t="s">
        <v>441</v>
      </c>
      <c r="C528" s="2" t="s">
        <v>3394</v>
      </c>
      <c r="D528" s="2" t="s">
        <v>442</v>
      </c>
      <c r="E528" s="2" t="s">
        <v>4</v>
      </c>
      <c r="F528" s="2" t="s">
        <v>5</v>
      </c>
      <c r="G528" s="2" t="s">
        <v>82</v>
      </c>
      <c r="H528" s="2" t="s">
        <v>59</v>
      </c>
      <c r="I528" s="2" t="s">
        <v>3393</v>
      </c>
      <c r="J528" s="3">
        <v>17.23</v>
      </c>
      <c r="K528" s="3">
        <v>17.23</v>
      </c>
      <c r="L528" s="2" t="s">
        <v>3391</v>
      </c>
      <c r="M528" s="2" t="s">
        <v>9</v>
      </c>
      <c r="N528" s="3">
        <v>783</v>
      </c>
      <c r="O528" s="2" t="s">
        <v>36</v>
      </c>
      <c r="P528" s="2" t="s">
        <v>215</v>
      </c>
      <c r="Q528" s="3"/>
      <c r="R528" s="3"/>
      <c r="S528" s="2" t="s">
        <v>21</v>
      </c>
      <c r="T528" s="4">
        <v>44955</v>
      </c>
      <c r="U528" s="2" t="s">
        <v>443</v>
      </c>
      <c r="V528" s="6">
        <f>(Real_Sales[[#This Row],[Price_retail]]-Real_Sales[[#This Row],[Price_current]])/Real_Sales[[#This Row],[Price_retail]]</f>
        <v>0</v>
      </c>
      <c r="W528" s="3" t="str" cm="1">
        <f t="array" ref="W52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8" s="2" t="str">
        <f>IF(Real_Sales[[#This Row],[Price_retail]]&gt;$AC$3,"Premium","Average")</f>
        <v>Average</v>
      </c>
      <c r="Y528" s="2" t="str">
        <f>IF(ISNUMBER(SEARCH("Basic",Real_Sales[[#This Row],[Product_name]])),"Yes","No")</f>
        <v>Yes</v>
      </c>
      <c r="Z528" s="2" cm="1">
        <f t="array" ref="Z528">_xlfn.IFS(Real_Sales[[#This Row],[Price_retail]]&lt;=15,1, Real_Sales[[#This Row],[Price_retail]]&lt;=30,2, Real_Sales[[#This Row],[Price_retail]]&lt;=50,3,Real_Sales[[#This Row],[Price_retail]]&gt;50,4)</f>
        <v>2</v>
      </c>
    </row>
    <row r="529" spans="1:26" x14ac:dyDescent="0.35">
      <c r="A529" s="2" t="s">
        <v>1672</v>
      </c>
      <c r="B529" s="2" t="s">
        <v>1673</v>
      </c>
      <c r="C529" s="2" t="s">
        <v>242</v>
      </c>
      <c r="D529" s="2" t="s">
        <v>115</v>
      </c>
      <c r="E529" s="2" t="s">
        <v>4</v>
      </c>
      <c r="F529" s="2" t="s">
        <v>17</v>
      </c>
      <c r="G529" s="2" t="s">
        <v>27</v>
      </c>
      <c r="H529" s="2" t="s">
        <v>90</v>
      </c>
      <c r="I529" s="2" t="s">
        <v>3390</v>
      </c>
      <c r="J529" s="3">
        <v>17.260000000000002</v>
      </c>
      <c r="K529" s="3">
        <v>17.260000000000002</v>
      </c>
      <c r="L529" s="2" t="s">
        <v>3391</v>
      </c>
      <c r="M529" s="2" t="s">
        <v>9</v>
      </c>
      <c r="N529" s="3">
        <v>389</v>
      </c>
      <c r="O529" s="2" t="s">
        <v>91</v>
      </c>
      <c r="P529" s="2" t="s">
        <v>3392</v>
      </c>
      <c r="Q529" s="3"/>
      <c r="R529" s="3"/>
      <c r="S529" s="2" t="s">
        <v>21</v>
      </c>
      <c r="T529" s="4">
        <v>44955</v>
      </c>
      <c r="U529" s="2" t="s">
        <v>1674</v>
      </c>
      <c r="V529" s="6">
        <f>(Real_Sales[[#This Row],[Price_retail]]-Real_Sales[[#This Row],[Price_current]])/Real_Sales[[#This Row],[Price_retail]]</f>
        <v>0</v>
      </c>
      <c r="W529" s="3" t="str" cm="1">
        <f t="array" ref="W52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29" s="2" t="str">
        <f>IF(Real_Sales[[#This Row],[Price_retail]]&gt;$AC$3,"Premium","Average")</f>
        <v>Average</v>
      </c>
      <c r="Y529" s="2" t="str">
        <f>IF(ISNUMBER(SEARCH("Basic",Real_Sales[[#This Row],[Product_name]])),"Yes","No")</f>
        <v>No</v>
      </c>
      <c r="Z529" s="2" cm="1">
        <f t="array" ref="Z529">_xlfn.IFS(Real_Sales[[#This Row],[Price_retail]]&lt;=15,1, Real_Sales[[#This Row],[Price_retail]]&lt;=30,2, Real_Sales[[#This Row],[Price_retail]]&lt;=50,3,Real_Sales[[#This Row],[Price_retail]]&gt;50,4)</f>
        <v>2</v>
      </c>
    </row>
    <row r="530" spans="1:26" x14ac:dyDescent="0.35">
      <c r="A530" s="2" t="s">
        <v>3152</v>
      </c>
      <c r="B530" s="2" t="s">
        <v>3153</v>
      </c>
      <c r="C530" s="2" t="s">
        <v>2409</v>
      </c>
      <c r="D530" s="2" t="s">
        <v>765</v>
      </c>
      <c r="E530" s="2" t="s">
        <v>4</v>
      </c>
      <c r="F530" s="2" t="s">
        <v>17</v>
      </c>
      <c r="G530" s="2" t="s">
        <v>27</v>
      </c>
      <c r="H530" s="2" t="s">
        <v>51</v>
      </c>
      <c r="I530" s="2" t="s">
        <v>3390</v>
      </c>
      <c r="J530" s="3">
        <v>17.3</v>
      </c>
      <c r="K530" s="3">
        <v>17.3</v>
      </c>
      <c r="L530" s="2" t="s">
        <v>3391</v>
      </c>
      <c r="M530" s="2" t="s">
        <v>9</v>
      </c>
      <c r="N530" s="3">
        <v>41</v>
      </c>
      <c r="O530" s="2" t="s">
        <v>60</v>
      </c>
      <c r="P530" s="2" t="s">
        <v>70</v>
      </c>
      <c r="Q530" s="3"/>
      <c r="R530" s="3"/>
      <c r="S530" s="2" t="s">
        <v>21</v>
      </c>
      <c r="T530" s="4">
        <v>44955</v>
      </c>
      <c r="U530" s="2" t="s">
        <v>3154</v>
      </c>
      <c r="V530" s="6">
        <f>(Real_Sales[[#This Row],[Price_retail]]-Real_Sales[[#This Row],[Price_current]])/Real_Sales[[#This Row],[Price_retail]]</f>
        <v>0</v>
      </c>
      <c r="W530" s="3" t="str" cm="1">
        <f t="array" ref="W5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0" s="2" t="str">
        <f>IF(Real_Sales[[#This Row],[Price_retail]]&gt;$AC$3,"Premium","Average")</f>
        <v>Average</v>
      </c>
      <c r="Y530" s="2" t="str">
        <f>IF(ISNUMBER(SEARCH("Basic",Real_Sales[[#This Row],[Product_name]])),"Yes","No")</f>
        <v>No</v>
      </c>
      <c r="Z530" s="2" cm="1">
        <f t="array" ref="Z530">_xlfn.IFS(Real_Sales[[#This Row],[Price_retail]]&lt;=15,1, Real_Sales[[#This Row],[Price_retail]]&lt;=30,2, Real_Sales[[#This Row],[Price_retail]]&lt;=50,3,Real_Sales[[#This Row],[Price_retail]]&gt;50,4)</f>
        <v>2</v>
      </c>
    </row>
    <row r="531" spans="1:26" x14ac:dyDescent="0.35">
      <c r="A531" s="2" t="s">
        <v>1518</v>
      </c>
      <c r="B531" s="2" t="s">
        <v>1519</v>
      </c>
      <c r="C531" s="2" t="s">
        <v>999</v>
      </c>
      <c r="D531" s="2" t="s">
        <v>490</v>
      </c>
      <c r="E531" s="2" t="s">
        <v>4</v>
      </c>
      <c r="F531" s="2" t="s">
        <v>17</v>
      </c>
      <c r="G531" s="2" t="s">
        <v>67</v>
      </c>
      <c r="H531" s="2" t="s">
        <v>185</v>
      </c>
      <c r="I531" s="2" t="s">
        <v>3390</v>
      </c>
      <c r="J531" s="3">
        <v>17.309999999999999</v>
      </c>
      <c r="K531" s="3">
        <v>17.309999999999999</v>
      </c>
      <c r="L531" s="2" t="s">
        <v>3391</v>
      </c>
      <c r="M531" s="2" t="s">
        <v>9</v>
      </c>
      <c r="N531" s="3">
        <v>669</v>
      </c>
      <c r="O531" s="2" t="s">
        <v>69</v>
      </c>
      <c r="P531" s="2" t="s">
        <v>288</v>
      </c>
      <c r="Q531" s="3"/>
      <c r="R531" s="3"/>
      <c r="S531" s="2" t="s">
        <v>21</v>
      </c>
      <c r="T531" s="4">
        <v>44955</v>
      </c>
      <c r="U531" s="2" t="s">
        <v>1520</v>
      </c>
      <c r="V531" s="6">
        <f>(Real_Sales[[#This Row],[Price_retail]]-Real_Sales[[#This Row],[Price_current]])/Real_Sales[[#This Row],[Price_retail]]</f>
        <v>0</v>
      </c>
      <c r="W531" s="3" t="str" cm="1">
        <f t="array" ref="W53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1" s="2" t="str">
        <f>IF(Real_Sales[[#This Row],[Price_retail]]&gt;$AC$3,"Premium","Average")</f>
        <v>Average</v>
      </c>
      <c r="Y531" s="2" t="str">
        <f>IF(ISNUMBER(SEARCH("Basic",Real_Sales[[#This Row],[Product_name]])),"Yes","No")</f>
        <v>No</v>
      </c>
      <c r="Z531" s="2" cm="1">
        <f t="array" ref="Z531">_xlfn.IFS(Real_Sales[[#This Row],[Price_retail]]&lt;=15,1, Real_Sales[[#This Row],[Price_retail]]&lt;=30,2, Real_Sales[[#This Row],[Price_retail]]&lt;=50,3,Real_Sales[[#This Row],[Price_retail]]&gt;50,4)</f>
        <v>2</v>
      </c>
    </row>
    <row r="532" spans="1:26" x14ac:dyDescent="0.35">
      <c r="A532" s="2" t="s">
        <v>2438</v>
      </c>
      <c r="B532" s="2" t="s">
        <v>2439</v>
      </c>
      <c r="C532" s="2" t="s">
        <v>2915</v>
      </c>
      <c r="D532" s="2" t="s">
        <v>1574</v>
      </c>
      <c r="E532" s="2" t="s">
        <v>4</v>
      </c>
      <c r="F532" s="2" t="s">
        <v>17</v>
      </c>
      <c r="G532" s="2" t="s">
        <v>27</v>
      </c>
      <c r="H532" s="2" t="s">
        <v>237</v>
      </c>
      <c r="I532" s="2" t="s">
        <v>3390</v>
      </c>
      <c r="J532" s="3">
        <v>17.350000000000001</v>
      </c>
      <c r="K532" s="3">
        <v>11.86</v>
      </c>
      <c r="L532" s="2" t="s">
        <v>8</v>
      </c>
      <c r="M532" s="2" t="s">
        <v>9</v>
      </c>
      <c r="N532" s="3">
        <v>113</v>
      </c>
      <c r="O532" s="2" t="s">
        <v>75</v>
      </c>
      <c r="P532" s="2" t="s">
        <v>3392</v>
      </c>
      <c r="Q532" s="3"/>
      <c r="R532" s="3"/>
      <c r="S532" s="2" t="s">
        <v>12</v>
      </c>
      <c r="T532" s="4">
        <v>44955</v>
      </c>
      <c r="U532" s="2" t="s">
        <v>2440</v>
      </c>
      <c r="V532" s="6">
        <f>(Real_Sales[[#This Row],[Price_retail]]-Real_Sales[[#This Row],[Price_current]])/Real_Sales[[#This Row],[Price_retail]]</f>
        <v>0.31642651296829982</v>
      </c>
      <c r="W532" s="3" t="str" cm="1">
        <f t="array" ref="W53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32" s="2" t="str">
        <f>IF(Real_Sales[[#This Row],[Price_retail]]&gt;$AC$3,"Premium","Average")</f>
        <v>Average</v>
      </c>
      <c r="Y532" s="2" t="str">
        <f>IF(ISNUMBER(SEARCH("Basic",Real_Sales[[#This Row],[Product_name]])),"Yes","No")</f>
        <v>No</v>
      </c>
      <c r="Z532" s="2" cm="1">
        <f t="array" ref="Z532">_xlfn.IFS(Real_Sales[[#This Row],[Price_retail]]&lt;=15,1, Real_Sales[[#This Row],[Price_retail]]&lt;=30,2, Real_Sales[[#This Row],[Price_retail]]&lt;=50,3,Real_Sales[[#This Row],[Price_retail]]&gt;50,4)</f>
        <v>2</v>
      </c>
    </row>
    <row r="533" spans="1:26" x14ac:dyDescent="0.35">
      <c r="A533" s="2" t="s">
        <v>825</v>
      </c>
      <c r="B533" s="2" t="s">
        <v>826</v>
      </c>
      <c r="C533" s="2" t="s">
        <v>3394</v>
      </c>
      <c r="D533" s="2" t="s">
        <v>537</v>
      </c>
      <c r="E533" s="2" t="s">
        <v>4</v>
      </c>
      <c r="F533" s="2" t="s">
        <v>5</v>
      </c>
      <c r="G533" s="2" t="s">
        <v>121</v>
      </c>
      <c r="H533" s="2" t="s">
        <v>145</v>
      </c>
      <c r="I533" s="2" t="s">
        <v>3393</v>
      </c>
      <c r="J533" s="3">
        <v>17.36</v>
      </c>
      <c r="K533" s="3">
        <v>17.36</v>
      </c>
      <c r="L533" s="2" t="s">
        <v>3391</v>
      </c>
      <c r="M533" s="2" t="s">
        <v>9</v>
      </c>
      <c r="N533" s="3">
        <v>935</v>
      </c>
      <c r="O533" s="2" t="s">
        <v>347</v>
      </c>
      <c r="P533" s="2" t="s">
        <v>53</v>
      </c>
      <c r="Q533" s="3"/>
      <c r="R533" s="3"/>
      <c r="S533" s="2" t="s">
        <v>12</v>
      </c>
      <c r="T533" s="4">
        <v>44955</v>
      </c>
      <c r="U533" s="2" t="s">
        <v>827</v>
      </c>
      <c r="V533" s="6">
        <f>(Real_Sales[[#This Row],[Price_retail]]-Real_Sales[[#This Row],[Price_current]])/Real_Sales[[#This Row],[Price_retail]]</f>
        <v>0</v>
      </c>
      <c r="W533" s="3" t="str" cm="1">
        <f t="array" ref="W5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3" s="2" t="str">
        <f>IF(Real_Sales[[#This Row],[Price_retail]]&gt;$AC$3,"Premium","Average")</f>
        <v>Average</v>
      </c>
      <c r="Y533" s="2" t="str">
        <f>IF(ISNUMBER(SEARCH("Basic",Real_Sales[[#This Row],[Product_name]])),"Yes","No")</f>
        <v>No</v>
      </c>
      <c r="Z533" s="2" cm="1">
        <f t="array" ref="Z533">_xlfn.IFS(Real_Sales[[#This Row],[Price_retail]]&lt;=15,1, Real_Sales[[#This Row],[Price_retail]]&lt;=30,2, Real_Sales[[#This Row],[Price_retail]]&lt;=50,3,Real_Sales[[#This Row],[Price_retail]]&gt;50,4)</f>
        <v>2</v>
      </c>
    </row>
    <row r="534" spans="1:26" x14ac:dyDescent="0.35">
      <c r="A534" s="2" t="s">
        <v>774</v>
      </c>
      <c r="B534" s="2" t="s">
        <v>775</v>
      </c>
      <c r="C534" s="2" t="s">
        <v>525</v>
      </c>
      <c r="D534" s="2" t="s">
        <v>776</v>
      </c>
      <c r="E534" s="2" t="s">
        <v>4</v>
      </c>
      <c r="F534" s="2" t="s">
        <v>5</v>
      </c>
      <c r="G534" s="2" t="s">
        <v>82</v>
      </c>
      <c r="H534" s="2" t="s">
        <v>83</v>
      </c>
      <c r="I534" s="2" t="s">
        <v>3390</v>
      </c>
      <c r="J534" s="3">
        <v>17.41</v>
      </c>
      <c r="K534" s="3">
        <v>17.41</v>
      </c>
      <c r="L534" s="2" t="s">
        <v>3391</v>
      </c>
      <c r="M534" s="2" t="s">
        <v>9</v>
      </c>
      <c r="N534" s="3">
        <v>184</v>
      </c>
      <c r="O534" s="2" t="s">
        <v>36</v>
      </c>
      <c r="P534" s="2" t="s">
        <v>53</v>
      </c>
      <c r="Q534" s="3"/>
      <c r="R534" s="3"/>
      <c r="S534" s="2" t="s">
        <v>21</v>
      </c>
      <c r="T534" s="4">
        <v>44955</v>
      </c>
      <c r="U534" s="2" t="s">
        <v>777</v>
      </c>
      <c r="V534" s="6">
        <f>(Real_Sales[[#This Row],[Price_retail]]-Real_Sales[[#This Row],[Price_current]])/Real_Sales[[#This Row],[Price_retail]]</f>
        <v>0</v>
      </c>
      <c r="W534" s="3" t="str" cm="1">
        <f t="array" ref="W5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4" s="2" t="str">
        <f>IF(Real_Sales[[#This Row],[Price_retail]]&gt;$AC$3,"Premium","Average")</f>
        <v>Average</v>
      </c>
      <c r="Y534" s="2" t="str">
        <f>IF(ISNUMBER(SEARCH("Basic",Real_Sales[[#This Row],[Product_name]])),"Yes","No")</f>
        <v>No</v>
      </c>
      <c r="Z534" s="2" cm="1">
        <f t="array" ref="Z534">_xlfn.IFS(Real_Sales[[#This Row],[Price_retail]]&lt;=15,1, Real_Sales[[#This Row],[Price_retail]]&lt;=30,2, Real_Sales[[#This Row],[Price_retail]]&lt;=50,3,Real_Sales[[#This Row],[Price_retail]]&gt;50,4)</f>
        <v>2</v>
      </c>
    </row>
    <row r="535" spans="1:26" x14ac:dyDescent="0.35">
      <c r="A535" s="2" t="s">
        <v>1515</v>
      </c>
      <c r="B535" s="2" t="s">
        <v>1516</v>
      </c>
      <c r="C535" s="2" t="s">
        <v>65</v>
      </c>
      <c r="D535" s="2" t="s">
        <v>814</v>
      </c>
      <c r="E535" s="2" t="s">
        <v>4</v>
      </c>
      <c r="F535" s="2" t="s">
        <v>5</v>
      </c>
      <c r="G535" s="2" t="s">
        <v>121</v>
      </c>
      <c r="H535" s="2" t="s">
        <v>418</v>
      </c>
      <c r="I535" s="2" t="s">
        <v>3393</v>
      </c>
      <c r="J535" s="3">
        <v>17.43</v>
      </c>
      <c r="K535" s="3">
        <v>17.43</v>
      </c>
      <c r="L535" s="2" t="s">
        <v>3391</v>
      </c>
      <c r="M535" s="2" t="s">
        <v>9</v>
      </c>
      <c r="N535" s="3">
        <v>209</v>
      </c>
      <c r="O535" s="2" t="s">
        <v>10</v>
      </c>
      <c r="P535" s="2" t="s">
        <v>44</v>
      </c>
      <c r="Q535" s="3"/>
      <c r="R535" s="3"/>
      <c r="S535" s="2" t="s">
        <v>12</v>
      </c>
      <c r="T535" s="4">
        <v>44955</v>
      </c>
      <c r="U535" s="2" t="s">
        <v>1517</v>
      </c>
      <c r="V535" s="6">
        <f>(Real_Sales[[#This Row],[Price_retail]]-Real_Sales[[#This Row],[Price_current]])/Real_Sales[[#This Row],[Price_retail]]</f>
        <v>0</v>
      </c>
      <c r="W535" s="3" t="str" cm="1">
        <f t="array" ref="W53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5" s="2" t="str">
        <f>IF(Real_Sales[[#This Row],[Price_retail]]&gt;$AC$3,"Premium","Average")</f>
        <v>Average</v>
      </c>
      <c r="Y535" s="2" t="str">
        <f>IF(ISNUMBER(SEARCH("Basic",Real_Sales[[#This Row],[Product_name]])),"Yes","No")</f>
        <v>No</v>
      </c>
      <c r="Z535" s="2" cm="1">
        <f t="array" ref="Z535">_xlfn.IFS(Real_Sales[[#This Row],[Price_retail]]&lt;=15,1, Real_Sales[[#This Row],[Price_retail]]&lt;=30,2, Real_Sales[[#This Row],[Price_retail]]&lt;=50,3,Real_Sales[[#This Row],[Price_retail]]&gt;50,4)</f>
        <v>2</v>
      </c>
    </row>
    <row r="536" spans="1:26" x14ac:dyDescent="0.35">
      <c r="A536" s="2" t="s">
        <v>2608</v>
      </c>
      <c r="B536" s="2" t="s">
        <v>2609</v>
      </c>
      <c r="C536" s="2" t="s">
        <v>333</v>
      </c>
      <c r="D536" s="2" t="s">
        <v>158</v>
      </c>
      <c r="E536" s="2" t="s">
        <v>4</v>
      </c>
      <c r="F536" s="2" t="s">
        <v>5</v>
      </c>
      <c r="G536" s="2" t="s">
        <v>82</v>
      </c>
      <c r="H536" s="2" t="s">
        <v>145</v>
      </c>
      <c r="I536" s="2" t="s">
        <v>3390</v>
      </c>
      <c r="J536" s="3">
        <v>17.510000000000002</v>
      </c>
      <c r="K536" s="3">
        <v>17.510000000000002</v>
      </c>
      <c r="L536" s="2" t="s">
        <v>3391</v>
      </c>
      <c r="M536" s="2" t="s">
        <v>9</v>
      </c>
      <c r="N536" s="3">
        <v>175</v>
      </c>
      <c r="O536" s="2" t="s">
        <v>664</v>
      </c>
      <c r="P536" s="2" t="s">
        <v>419</v>
      </c>
      <c r="Q536" s="3"/>
      <c r="R536" s="3"/>
      <c r="S536" s="2" t="s">
        <v>21</v>
      </c>
      <c r="T536" s="4">
        <v>44955</v>
      </c>
      <c r="U536" s="2" t="s">
        <v>2610</v>
      </c>
      <c r="V536" s="6">
        <f>(Real_Sales[[#This Row],[Price_retail]]-Real_Sales[[#This Row],[Price_current]])/Real_Sales[[#This Row],[Price_retail]]</f>
        <v>0</v>
      </c>
      <c r="W536" s="3" t="str" cm="1">
        <f t="array" ref="W5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6" s="2" t="str">
        <f>IF(Real_Sales[[#This Row],[Price_retail]]&gt;$AC$3,"Premium","Average")</f>
        <v>Average</v>
      </c>
      <c r="Y536" s="2" t="str">
        <f>IF(ISNUMBER(SEARCH("Basic",Real_Sales[[#This Row],[Product_name]])),"Yes","No")</f>
        <v>No</v>
      </c>
      <c r="Z536" s="2" cm="1">
        <f t="array" ref="Z536">_xlfn.IFS(Real_Sales[[#This Row],[Price_retail]]&lt;=15,1, Real_Sales[[#This Row],[Price_retail]]&lt;=30,2, Real_Sales[[#This Row],[Price_retail]]&lt;=50,3,Real_Sales[[#This Row],[Price_retail]]&gt;50,4)</f>
        <v>2</v>
      </c>
    </row>
    <row r="537" spans="1:26" x14ac:dyDescent="0.35">
      <c r="A537" s="2" t="s">
        <v>2520</v>
      </c>
      <c r="B537" s="2" t="s">
        <v>2521</v>
      </c>
      <c r="C537" s="2" t="s">
        <v>1115</v>
      </c>
      <c r="D537" s="2" t="s">
        <v>1165</v>
      </c>
      <c r="E537" s="2" t="s">
        <v>4</v>
      </c>
      <c r="F537" s="2" t="s">
        <v>17</v>
      </c>
      <c r="G537" s="2" t="s">
        <v>50</v>
      </c>
      <c r="H537" s="2" t="s">
        <v>185</v>
      </c>
      <c r="I537" s="2" t="s">
        <v>3393</v>
      </c>
      <c r="J537" s="3">
        <v>17.559999999999999</v>
      </c>
      <c r="K537" s="3">
        <v>13.51</v>
      </c>
      <c r="L537" s="2" t="s">
        <v>8</v>
      </c>
      <c r="M537" s="2" t="s">
        <v>9</v>
      </c>
      <c r="N537" s="3">
        <v>483</v>
      </c>
      <c r="O537" s="2" t="s">
        <v>69</v>
      </c>
      <c r="P537" s="2" t="s">
        <v>186</v>
      </c>
      <c r="Q537" s="3"/>
      <c r="R537" s="3"/>
      <c r="S537" s="2" t="s">
        <v>21</v>
      </c>
      <c r="T537" s="4">
        <v>44955</v>
      </c>
      <c r="U537" s="2" t="s">
        <v>2522</v>
      </c>
      <c r="V537" s="6">
        <f>(Real_Sales[[#This Row],[Price_retail]]-Real_Sales[[#This Row],[Price_current]])/Real_Sales[[#This Row],[Price_retail]]</f>
        <v>0.23063781321184507</v>
      </c>
      <c r="W537" s="3" t="str" cm="1">
        <f t="array" ref="W5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37" s="2" t="str">
        <f>IF(Real_Sales[[#This Row],[Price_retail]]&gt;$AC$3,"Premium","Average")</f>
        <v>Average</v>
      </c>
      <c r="Y537" s="2" t="str">
        <f>IF(ISNUMBER(SEARCH("Basic",Real_Sales[[#This Row],[Product_name]])),"Yes","No")</f>
        <v>No</v>
      </c>
      <c r="Z537" s="2" cm="1">
        <f t="array" ref="Z537">_xlfn.IFS(Real_Sales[[#This Row],[Price_retail]]&lt;=15,1, Real_Sales[[#This Row],[Price_retail]]&lt;=30,2, Real_Sales[[#This Row],[Price_retail]]&lt;=50,3,Real_Sales[[#This Row],[Price_retail]]&gt;50,4)</f>
        <v>2</v>
      </c>
    </row>
    <row r="538" spans="1:26" x14ac:dyDescent="0.35">
      <c r="A538" s="2" t="s">
        <v>1103</v>
      </c>
      <c r="B538" s="2" t="s">
        <v>1104</v>
      </c>
      <c r="C538" s="2" t="s">
        <v>108</v>
      </c>
      <c r="D538" s="2" t="s">
        <v>694</v>
      </c>
      <c r="E538" s="2" t="s">
        <v>4</v>
      </c>
      <c r="F538" s="2" t="s">
        <v>5</v>
      </c>
      <c r="G538" s="2" t="s">
        <v>121</v>
      </c>
      <c r="H538" s="2" t="s">
        <v>139</v>
      </c>
      <c r="I538" s="2" t="s">
        <v>3390</v>
      </c>
      <c r="J538" s="3">
        <v>17.559999999999999</v>
      </c>
      <c r="K538" s="3">
        <v>17.559999999999999</v>
      </c>
      <c r="L538" s="2" t="s">
        <v>3391</v>
      </c>
      <c r="M538" s="2" t="s">
        <v>9</v>
      </c>
      <c r="N538" s="3">
        <v>755</v>
      </c>
      <c r="O538" s="2" t="s">
        <v>191</v>
      </c>
      <c r="P538" s="2" t="s">
        <v>221</v>
      </c>
      <c r="Q538" s="3"/>
      <c r="R538" s="3"/>
      <c r="S538" s="2" t="s">
        <v>21</v>
      </c>
      <c r="T538" s="4">
        <v>44955</v>
      </c>
      <c r="U538" s="2" t="s">
        <v>1105</v>
      </c>
      <c r="V538" s="6">
        <f>(Real_Sales[[#This Row],[Price_retail]]-Real_Sales[[#This Row],[Price_current]])/Real_Sales[[#This Row],[Price_retail]]</f>
        <v>0</v>
      </c>
      <c r="W538" s="3" t="str" cm="1">
        <f t="array" ref="W53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8" s="2" t="str">
        <f>IF(Real_Sales[[#This Row],[Price_retail]]&gt;$AC$3,"Premium","Average")</f>
        <v>Average</v>
      </c>
      <c r="Y538" s="2" t="str">
        <f>IF(ISNUMBER(SEARCH("Basic",Real_Sales[[#This Row],[Product_name]])),"Yes","No")</f>
        <v>No</v>
      </c>
      <c r="Z538" s="2" cm="1">
        <f t="array" ref="Z538">_xlfn.IFS(Real_Sales[[#This Row],[Price_retail]]&lt;=15,1, Real_Sales[[#This Row],[Price_retail]]&lt;=30,2, Real_Sales[[#This Row],[Price_retail]]&lt;=50,3,Real_Sales[[#This Row],[Price_retail]]&gt;50,4)</f>
        <v>2</v>
      </c>
    </row>
    <row r="539" spans="1:26" x14ac:dyDescent="0.35">
      <c r="A539" s="2" t="s">
        <v>2996</v>
      </c>
      <c r="B539" s="2" t="s">
        <v>2997</v>
      </c>
      <c r="C539" s="2" t="s">
        <v>1010</v>
      </c>
      <c r="D539" s="2" t="s">
        <v>162</v>
      </c>
      <c r="E539" s="2" t="s">
        <v>4</v>
      </c>
      <c r="F539" s="2" t="s">
        <v>17</v>
      </c>
      <c r="G539" s="2" t="s">
        <v>27</v>
      </c>
      <c r="H539" s="2" t="s">
        <v>35</v>
      </c>
      <c r="I539" s="2" t="s">
        <v>3393</v>
      </c>
      <c r="J539" s="3">
        <v>17.559999999999999</v>
      </c>
      <c r="K539" s="3">
        <v>17.559999999999999</v>
      </c>
      <c r="L539" s="2" t="s">
        <v>3391</v>
      </c>
      <c r="M539" s="2" t="s">
        <v>9</v>
      </c>
      <c r="N539" s="3">
        <v>707</v>
      </c>
      <c r="O539" s="2" t="s">
        <v>43</v>
      </c>
      <c r="P539" s="2" t="s">
        <v>128</v>
      </c>
      <c r="Q539" s="3"/>
      <c r="R539" s="3"/>
      <c r="S539" s="2" t="s">
        <v>21</v>
      </c>
      <c r="T539" s="4">
        <v>44955</v>
      </c>
      <c r="U539" s="2" t="s">
        <v>2998</v>
      </c>
      <c r="V539" s="6">
        <f>(Real_Sales[[#This Row],[Price_retail]]-Real_Sales[[#This Row],[Price_current]])/Real_Sales[[#This Row],[Price_retail]]</f>
        <v>0</v>
      </c>
      <c r="W539" s="3" t="str" cm="1">
        <f t="array" ref="W5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39" s="2" t="str">
        <f>IF(Real_Sales[[#This Row],[Price_retail]]&gt;$AC$3,"Premium","Average")</f>
        <v>Average</v>
      </c>
      <c r="Y539" s="2" t="str">
        <f>IF(ISNUMBER(SEARCH("Basic",Real_Sales[[#This Row],[Product_name]])),"Yes","No")</f>
        <v>No</v>
      </c>
      <c r="Z539" s="2" cm="1">
        <f t="array" ref="Z539">_xlfn.IFS(Real_Sales[[#This Row],[Price_retail]]&lt;=15,1, Real_Sales[[#This Row],[Price_retail]]&lt;=30,2, Real_Sales[[#This Row],[Price_retail]]&lt;=50,3,Real_Sales[[#This Row],[Price_retail]]&gt;50,4)</f>
        <v>2</v>
      </c>
    </row>
    <row r="540" spans="1:26" x14ac:dyDescent="0.35">
      <c r="A540" s="2" t="s">
        <v>3140</v>
      </c>
      <c r="B540" s="2" t="s">
        <v>3141</v>
      </c>
      <c r="C540" s="2" t="s">
        <v>300</v>
      </c>
      <c r="D540" s="2" t="s">
        <v>521</v>
      </c>
      <c r="E540" s="2" t="s">
        <v>4</v>
      </c>
      <c r="F540" s="2" t="s">
        <v>5</v>
      </c>
      <c r="G540" s="2" t="s">
        <v>82</v>
      </c>
      <c r="H540" s="2" t="s">
        <v>19</v>
      </c>
      <c r="I540" s="2" t="s">
        <v>3390</v>
      </c>
      <c r="J540" s="3">
        <v>17.579999999999998</v>
      </c>
      <c r="K540" s="3">
        <v>10.87</v>
      </c>
      <c r="L540" s="2" t="s">
        <v>8</v>
      </c>
      <c r="M540" s="2" t="s">
        <v>9</v>
      </c>
      <c r="N540" s="3">
        <v>193</v>
      </c>
      <c r="O540" s="2" t="s">
        <v>29</v>
      </c>
      <c r="P540" s="2" t="s">
        <v>186</v>
      </c>
      <c r="Q540" s="3"/>
      <c r="R540" s="3"/>
      <c r="S540" s="2" t="s">
        <v>12</v>
      </c>
      <c r="T540" s="4">
        <v>44955</v>
      </c>
      <c r="U540" s="2" t="s">
        <v>3142</v>
      </c>
      <c r="V540" s="6">
        <f>(Real_Sales[[#This Row],[Price_retail]]-Real_Sales[[#This Row],[Price_current]])/Real_Sales[[#This Row],[Price_retail]]</f>
        <v>0.38168373151308305</v>
      </c>
      <c r="W540" s="3" t="str" cm="1">
        <f t="array" ref="W54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40" s="2" t="str">
        <f>IF(Real_Sales[[#This Row],[Price_retail]]&gt;$AC$3,"Premium","Average")</f>
        <v>Average</v>
      </c>
      <c r="Y540" s="2" t="str">
        <f>IF(ISNUMBER(SEARCH("Basic",Real_Sales[[#This Row],[Product_name]])),"Yes","No")</f>
        <v>Yes</v>
      </c>
      <c r="Z540" s="2" cm="1">
        <f t="array" ref="Z540">_xlfn.IFS(Real_Sales[[#This Row],[Price_retail]]&lt;=15,1, Real_Sales[[#This Row],[Price_retail]]&lt;=30,2, Real_Sales[[#This Row],[Price_retail]]&lt;=50,3,Real_Sales[[#This Row],[Price_retail]]&gt;50,4)</f>
        <v>2</v>
      </c>
    </row>
    <row r="541" spans="1:26" x14ac:dyDescent="0.35">
      <c r="A541" s="2" t="s">
        <v>2495</v>
      </c>
      <c r="B541" s="2" t="s">
        <v>2496</v>
      </c>
      <c r="C541" s="2" t="s">
        <v>88</v>
      </c>
      <c r="D541" s="2" t="s">
        <v>266</v>
      </c>
      <c r="E541" s="2" t="s">
        <v>4</v>
      </c>
      <c r="F541" s="2" t="s">
        <v>17</v>
      </c>
      <c r="G541" s="2" t="s">
        <v>18</v>
      </c>
      <c r="H541" s="2" t="s">
        <v>237</v>
      </c>
      <c r="I541" s="2" t="s">
        <v>3393</v>
      </c>
      <c r="J541" s="3">
        <v>17.75</v>
      </c>
      <c r="K541" s="3">
        <v>17.75</v>
      </c>
      <c r="L541" s="2" t="s">
        <v>3391</v>
      </c>
      <c r="M541" s="2" t="s">
        <v>9</v>
      </c>
      <c r="N541" s="3">
        <v>95</v>
      </c>
      <c r="O541" s="2" t="s">
        <v>104</v>
      </c>
      <c r="P541" s="2" t="s">
        <v>215</v>
      </c>
      <c r="Q541" s="3"/>
      <c r="R541" s="3"/>
      <c r="S541" s="2" t="s">
        <v>12</v>
      </c>
      <c r="T541" s="4">
        <v>44955</v>
      </c>
      <c r="U541" s="2" t="s">
        <v>2497</v>
      </c>
      <c r="V541" s="6">
        <f>(Real_Sales[[#This Row],[Price_retail]]-Real_Sales[[#This Row],[Price_current]])/Real_Sales[[#This Row],[Price_retail]]</f>
        <v>0</v>
      </c>
      <c r="W541" s="3" t="str" cm="1">
        <f t="array" ref="W54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1" s="2" t="str">
        <f>IF(Real_Sales[[#This Row],[Price_retail]]&gt;$AC$3,"Premium","Average")</f>
        <v>Average</v>
      </c>
      <c r="Y541" s="2" t="str">
        <f>IF(ISNUMBER(SEARCH("Basic",Real_Sales[[#This Row],[Product_name]])),"Yes","No")</f>
        <v>No</v>
      </c>
      <c r="Z541" s="2" cm="1">
        <f t="array" ref="Z541">_xlfn.IFS(Real_Sales[[#This Row],[Price_retail]]&lt;=15,1, Real_Sales[[#This Row],[Price_retail]]&lt;=30,2, Real_Sales[[#This Row],[Price_retail]]&lt;=50,3,Real_Sales[[#This Row],[Price_retail]]&gt;50,4)</f>
        <v>2</v>
      </c>
    </row>
    <row r="542" spans="1:26" x14ac:dyDescent="0.35">
      <c r="A542" s="2" t="s">
        <v>183</v>
      </c>
      <c r="B542" s="2" t="s">
        <v>184</v>
      </c>
      <c r="C542" s="2" t="s">
        <v>3433</v>
      </c>
      <c r="D542" s="2" t="s">
        <v>3397</v>
      </c>
      <c r="E542" s="2" t="s">
        <v>4</v>
      </c>
      <c r="F542" s="2" t="s">
        <v>5</v>
      </c>
      <c r="G542" s="2" t="s">
        <v>6</v>
      </c>
      <c r="H542" s="2" t="s">
        <v>185</v>
      </c>
      <c r="I542" s="2" t="s">
        <v>3395</v>
      </c>
      <c r="J542" s="3">
        <v>17.760000000000002</v>
      </c>
      <c r="K542" s="3">
        <v>17.760000000000002</v>
      </c>
      <c r="L542" s="2" t="s">
        <v>3391</v>
      </c>
      <c r="M542" s="2" t="s">
        <v>9</v>
      </c>
      <c r="N542" s="3">
        <v>727</v>
      </c>
      <c r="O542" s="2" t="s">
        <v>98</v>
      </c>
      <c r="P542" s="2" t="s">
        <v>186</v>
      </c>
      <c r="Q542" s="3"/>
      <c r="R542" s="3"/>
      <c r="S542" s="2" t="s">
        <v>21</v>
      </c>
      <c r="T542" s="4">
        <v>44955</v>
      </c>
      <c r="U542" s="2" t="s">
        <v>187</v>
      </c>
      <c r="V542" s="6">
        <f>(Real_Sales[[#This Row],[Price_retail]]-Real_Sales[[#This Row],[Price_current]])/Real_Sales[[#This Row],[Price_retail]]</f>
        <v>0</v>
      </c>
      <c r="W542" s="3" t="str" cm="1">
        <f t="array" ref="W54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2" s="2" t="str">
        <f>IF(Real_Sales[[#This Row],[Price_retail]]&gt;$AC$3,"Premium","Average")</f>
        <v>Average</v>
      </c>
      <c r="Y542" s="2" t="str">
        <f>IF(ISNUMBER(SEARCH("Basic",Real_Sales[[#This Row],[Product_name]])),"Yes","No")</f>
        <v>No</v>
      </c>
      <c r="Z542" s="2" cm="1">
        <f t="array" ref="Z542">_xlfn.IFS(Real_Sales[[#This Row],[Price_retail]]&lt;=15,1, Real_Sales[[#This Row],[Price_retail]]&lt;=30,2, Real_Sales[[#This Row],[Price_retail]]&lt;=50,3,Real_Sales[[#This Row],[Price_retail]]&gt;50,4)</f>
        <v>2</v>
      </c>
    </row>
    <row r="543" spans="1:26" x14ac:dyDescent="0.35">
      <c r="A543" s="2" t="s">
        <v>1306</v>
      </c>
      <c r="B543" s="2" t="s">
        <v>1307</v>
      </c>
      <c r="C543" s="2" t="s">
        <v>741</v>
      </c>
      <c r="D543" s="2" t="s">
        <v>861</v>
      </c>
      <c r="E543" s="2" t="s">
        <v>4</v>
      </c>
      <c r="F543" s="2" t="s">
        <v>17</v>
      </c>
      <c r="G543" s="2" t="s">
        <v>18</v>
      </c>
      <c r="H543" s="2" t="s">
        <v>139</v>
      </c>
      <c r="I543" s="2" t="s">
        <v>3393</v>
      </c>
      <c r="J543" s="3">
        <v>17.760000000000002</v>
      </c>
      <c r="K543" s="3">
        <v>17.760000000000002</v>
      </c>
      <c r="L543" s="2" t="s">
        <v>3391</v>
      </c>
      <c r="M543" s="2" t="s">
        <v>9</v>
      </c>
      <c r="N543" s="3">
        <v>979</v>
      </c>
      <c r="O543" s="2" t="s">
        <v>3392</v>
      </c>
      <c r="P543" s="2" t="s">
        <v>30</v>
      </c>
      <c r="Q543" s="3"/>
      <c r="R543" s="3"/>
      <c r="S543" s="2" t="s">
        <v>21</v>
      </c>
      <c r="T543" s="4">
        <v>44955</v>
      </c>
      <c r="U543" s="2" t="s">
        <v>1308</v>
      </c>
      <c r="V543" s="6">
        <f>(Real_Sales[[#This Row],[Price_retail]]-Real_Sales[[#This Row],[Price_current]])/Real_Sales[[#This Row],[Price_retail]]</f>
        <v>0</v>
      </c>
      <c r="W543" s="3" t="str" cm="1">
        <f t="array" ref="W54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3" s="2" t="str">
        <f>IF(Real_Sales[[#This Row],[Price_retail]]&gt;$AC$3,"Premium","Average")</f>
        <v>Average</v>
      </c>
      <c r="Y543" s="2" t="str">
        <f>IF(ISNUMBER(SEARCH("Basic",Real_Sales[[#This Row],[Product_name]])),"Yes","No")</f>
        <v>No</v>
      </c>
      <c r="Z543" s="2" cm="1">
        <f t="array" ref="Z543">_xlfn.IFS(Real_Sales[[#This Row],[Price_retail]]&lt;=15,1, Real_Sales[[#This Row],[Price_retail]]&lt;=30,2, Real_Sales[[#This Row],[Price_retail]]&lt;=50,3,Real_Sales[[#This Row],[Price_retail]]&gt;50,4)</f>
        <v>2</v>
      </c>
    </row>
    <row r="544" spans="1:26" x14ac:dyDescent="0.35">
      <c r="A544" s="2" t="s">
        <v>2665</v>
      </c>
      <c r="B544" s="2" t="s">
        <v>2666</v>
      </c>
      <c r="C544" s="2" t="s">
        <v>1743</v>
      </c>
      <c r="D544" s="2" t="s">
        <v>66</v>
      </c>
      <c r="E544" s="2" t="s">
        <v>4</v>
      </c>
      <c r="F544" s="2" t="s">
        <v>17</v>
      </c>
      <c r="G544" s="2" t="s">
        <v>50</v>
      </c>
      <c r="H544" s="2" t="s">
        <v>68</v>
      </c>
      <c r="I544" s="2" t="s">
        <v>3390</v>
      </c>
      <c r="J544" s="3">
        <v>17.760000000000002</v>
      </c>
      <c r="K544" s="3">
        <v>17.760000000000002</v>
      </c>
      <c r="L544" s="2" t="s">
        <v>3391</v>
      </c>
      <c r="M544" s="2" t="s">
        <v>9</v>
      </c>
      <c r="N544" s="3">
        <v>852</v>
      </c>
      <c r="O544" s="2" t="s">
        <v>191</v>
      </c>
      <c r="P544" s="2" t="s">
        <v>221</v>
      </c>
      <c r="Q544" s="3"/>
      <c r="R544" s="3"/>
      <c r="S544" s="2" t="s">
        <v>12</v>
      </c>
      <c r="T544" s="4">
        <v>44955</v>
      </c>
      <c r="U544" s="2" t="s">
        <v>2667</v>
      </c>
      <c r="V544" s="6">
        <f>(Real_Sales[[#This Row],[Price_retail]]-Real_Sales[[#This Row],[Price_current]])/Real_Sales[[#This Row],[Price_retail]]</f>
        <v>0</v>
      </c>
      <c r="W544" s="3" t="str" cm="1">
        <f t="array" ref="W5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4" s="2" t="str">
        <f>IF(Real_Sales[[#This Row],[Price_retail]]&gt;$AC$3,"Premium","Average")</f>
        <v>Average</v>
      </c>
      <c r="Y544" s="2" t="str">
        <f>IF(ISNUMBER(SEARCH("Basic",Real_Sales[[#This Row],[Product_name]])),"Yes","No")</f>
        <v>Yes</v>
      </c>
      <c r="Z544" s="2" cm="1">
        <f t="array" ref="Z544">_xlfn.IFS(Real_Sales[[#This Row],[Price_retail]]&lt;=15,1, Real_Sales[[#This Row],[Price_retail]]&lt;=30,2, Real_Sales[[#This Row],[Price_retail]]&lt;=50,3,Real_Sales[[#This Row],[Price_retail]]&gt;50,4)</f>
        <v>2</v>
      </c>
    </row>
    <row r="545" spans="1:26" x14ac:dyDescent="0.35">
      <c r="A545" s="2" t="s">
        <v>2553</v>
      </c>
      <c r="B545" s="2" t="s">
        <v>2554</v>
      </c>
      <c r="C545" s="2" t="s">
        <v>3410</v>
      </c>
      <c r="D545" s="2" t="s">
        <v>725</v>
      </c>
      <c r="E545" s="2" t="s">
        <v>4</v>
      </c>
      <c r="F545" s="2" t="s">
        <v>17</v>
      </c>
      <c r="G545" s="2" t="s">
        <v>67</v>
      </c>
      <c r="H545" s="2" t="s">
        <v>110</v>
      </c>
      <c r="I545" s="2" t="s">
        <v>3393</v>
      </c>
      <c r="J545" s="3">
        <v>17.79</v>
      </c>
      <c r="K545" s="3">
        <v>17.79</v>
      </c>
      <c r="L545" s="2" t="s">
        <v>3391</v>
      </c>
      <c r="M545" s="2" t="s">
        <v>9</v>
      </c>
      <c r="N545" s="3">
        <v>992</v>
      </c>
      <c r="O545" s="2" t="s">
        <v>191</v>
      </c>
      <c r="P545" s="2" t="s">
        <v>186</v>
      </c>
      <c r="Q545" s="3"/>
      <c r="R545" s="3"/>
      <c r="S545" s="2" t="s">
        <v>12</v>
      </c>
      <c r="T545" s="4">
        <v>44955</v>
      </c>
      <c r="U545" s="2" t="s">
        <v>2555</v>
      </c>
      <c r="V545" s="6">
        <f>(Real_Sales[[#This Row],[Price_retail]]-Real_Sales[[#This Row],[Price_current]])/Real_Sales[[#This Row],[Price_retail]]</f>
        <v>0</v>
      </c>
      <c r="W545" s="3" t="str" cm="1">
        <f t="array" ref="W54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5" s="2" t="str">
        <f>IF(Real_Sales[[#This Row],[Price_retail]]&gt;$AC$3,"Premium","Average")</f>
        <v>Average</v>
      </c>
      <c r="Y545" s="2" t="str">
        <f>IF(ISNUMBER(SEARCH("Basic",Real_Sales[[#This Row],[Product_name]])),"Yes","No")</f>
        <v>Yes</v>
      </c>
      <c r="Z545" s="2" cm="1">
        <f t="array" ref="Z545">_xlfn.IFS(Real_Sales[[#This Row],[Price_retail]]&lt;=15,1, Real_Sales[[#This Row],[Price_retail]]&lt;=30,2, Real_Sales[[#This Row],[Price_retail]]&lt;=50,3,Real_Sales[[#This Row],[Price_retail]]&gt;50,4)</f>
        <v>2</v>
      </c>
    </row>
    <row r="546" spans="1:26" x14ac:dyDescent="0.35">
      <c r="A546" s="2" t="s">
        <v>2668</v>
      </c>
      <c r="B546" s="2" t="s">
        <v>2669</v>
      </c>
      <c r="C546" s="2" t="s">
        <v>1355</v>
      </c>
      <c r="D546" s="2" t="s">
        <v>905</v>
      </c>
      <c r="E546" s="2" t="s">
        <v>4</v>
      </c>
      <c r="F546" s="2" t="s">
        <v>5</v>
      </c>
      <c r="G546" s="2" t="s">
        <v>82</v>
      </c>
      <c r="H546" s="2" t="s">
        <v>28</v>
      </c>
      <c r="I546" s="2" t="s">
        <v>3390</v>
      </c>
      <c r="J546" s="3">
        <v>17.809999999999999</v>
      </c>
      <c r="K546" s="3">
        <v>17.809999999999999</v>
      </c>
      <c r="L546" s="2" t="s">
        <v>3391</v>
      </c>
      <c r="M546" s="2" t="s">
        <v>9</v>
      </c>
      <c r="N546" s="3">
        <v>167</v>
      </c>
      <c r="O546" s="2" t="s">
        <v>163</v>
      </c>
      <c r="P546" s="2" t="s">
        <v>192</v>
      </c>
      <c r="Q546" s="3"/>
      <c r="R546" s="3"/>
      <c r="S546" s="2" t="s">
        <v>21</v>
      </c>
      <c r="T546" s="4">
        <v>44955</v>
      </c>
      <c r="U546" s="2" t="s">
        <v>2670</v>
      </c>
      <c r="V546" s="6">
        <f>(Real_Sales[[#This Row],[Price_retail]]-Real_Sales[[#This Row],[Price_current]])/Real_Sales[[#This Row],[Price_retail]]</f>
        <v>0</v>
      </c>
      <c r="W546" s="3" t="str" cm="1">
        <f t="array" ref="W5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6" s="2" t="str">
        <f>IF(Real_Sales[[#This Row],[Price_retail]]&gt;$AC$3,"Premium","Average")</f>
        <v>Average</v>
      </c>
      <c r="Y546" s="2" t="str">
        <f>IF(ISNUMBER(SEARCH("Basic",Real_Sales[[#This Row],[Product_name]])),"Yes","No")</f>
        <v>No</v>
      </c>
      <c r="Z546" s="2" cm="1">
        <f t="array" ref="Z546">_xlfn.IFS(Real_Sales[[#This Row],[Price_retail]]&lt;=15,1, Real_Sales[[#This Row],[Price_retail]]&lt;=30,2, Real_Sales[[#This Row],[Price_retail]]&lt;=50,3,Real_Sales[[#This Row],[Price_retail]]&gt;50,4)</f>
        <v>2</v>
      </c>
    </row>
    <row r="547" spans="1:26" x14ac:dyDescent="0.35">
      <c r="A547" s="2" t="s">
        <v>567</v>
      </c>
      <c r="B547" s="2" t="s">
        <v>568</v>
      </c>
      <c r="C547" s="2" t="s">
        <v>569</v>
      </c>
      <c r="D547" s="2" t="s">
        <v>521</v>
      </c>
      <c r="E547" s="2" t="s">
        <v>4</v>
      </c>
      <c r="F547" s="2" t="s">
        <v>5</v>
      </c>
      <c r="G547" s="2" t="s">
        <v>82</v>
      </c>
      <c r="H547" s="2" t="s">
        <v>19</v>
      </c>
      <c r="I547" s="2" t="s">
        <v>3395</v>
      </c>
      <c r="J547" s="3">
        <v>17.88</v>
      </c>
      <c r="K547" s="3">
        <v>17.88</v>
      </c>
      <c r="L547" s="2" t="s">
        <v>3391</v>
      </c>
      <c r="M547" s="2" t="s">
        <v>9</v>
      </c>
      <c r="N547" s="3">
        <v>865</v>
      </c>
      <c r="O547" s="2" t="s">
        <v>163</v>
      </c>
      <c r="P547" s="2" t="s">
        <v>186</v>
      </c>
      <c r="Q547" s="3"/>
      <c r="R547" s="3"/>
      <c r="S547" s="2" t="s">
        <v>12</v>
      </c>
      <c r="T547" s="4">
        <v>44955</v>
      </c>
      <c r="U547" s="2" t="s">
        <v>570</v>
      </c>
      <c r="V547" s="6">
        <f>(Real_Sales[[#This Row],[Price_retail]]-Real_Sales[[#This Row],[Price_current]])/Real_Sales[[#This Row],[Price_retail]]</f>
        <v>0</v>
      </c>
      <c r="W547" s="3" t="str" cm="1">
        <f t="array" ref="W54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7" s="2" t="str">
        <f>IF(Real_Sales[[#This Row],[Price_retail]]&gt;$AC$3,"Premium","Average")</f>
        <v>Average</v>
      </c>
      <c r="Y547" s="2" t="str">
        <f>IF(ISNUMBER(SEARCH("Basic",Real_Sales[[#This Row],[Product_name]])),"Yes","No")</f>
        <v>Yes</v>
      </c>
      <c r="Z547" s="2" cm="1">
        <f t="array" ref="Z547">_xlfn.IFS(Real_Sales[[#This Row],[Price_retail]]&lt;=15,1, Real_Sales[[#This Row],[Price_retail]]&lt;=30,2, Real_Sales[[#This Row],[Price_retail]]&lt;=50,3,Real_Sales[[#This Row],[Price_retail]]&gt;50,4)</f>
        <v>2</v>
      </c>
    </row>
    <row r="548" spans="1:26" x14ac:dyDescent="0.35">
      <c r="A548" s="2" t="s">
        <v>2602</v>
      </c>
      <c r="B548" s="2" t="s">
        <v>2603</v>
      </c>
      <c r="C548" s="2" t="s">
        <v>484</v>
      </c>
      <c r="D548" s="2" t="s">
        <v>537</v>
      </c>
      <c r="E548" s="2" t="s">
        <v>4</v>
      </c>
      <c r="F548" s="2" t="s">
        <v>5</v>
      </c>
      <c r="G548" s="2" t="s">
        <v>121</v>
      </c>
      <c r="H548" s="2" t="s">
        <v>145</v>
      </c>
      <c r="I548" s="2" t="s">
        <v>3390</v>
      </c>
      <c r="J548" s="3">
        <v>17.89</v>
      </c>
      <c r="K548" s="3">
        <v>17.89</v>
      </c>
      <c r="L548" s="2" t="s">
        <v>3391</v>
      </c>
      <c r="M548" s="2" t="s">
        <v>9</v>
      </c>
      <c r="N548" s="3">
        <v>183</v>
      </c>
      <c r="O548" s="2" t="s">
        <v>20</v>
      </c>
      <c r="P548" s="2" t="s">
        <v>3392</v>
      </c>
      <c r="Q548" s="3"/>
      <c r="R548" s="3"/>
      <c r="S548" s="2" t="s">
        <v>21</v>
      </c>
      <c r="T548" s="4">
        <v>44955</v>
      </c>
      <c r="U548" s="2" t="s">
        <v>2604</v>
      </c>
      <c r="V548" s="6">
        <f>(Real_Sales[[#This Row],[Price_retail]]-Real_Sales[[#This Row],[Price_current]])/Real_Sales[[#This Row],[Price_retail]]</f>
        <v>0</v>
      </c>
      <c r="W548" s="3" t="str" cm="1">
        <f t="array" ref="W54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8" s="2" t="str">
        <f>IF(Real_Sales[[#This Row],[Price_retail]]&gt;$AC$3,"Premium","Average")</f>
        <v>Average</v>
      </c>
      <c r="Y548" s="2" t="str">
        <f>IF(ISNUMBER(SEARCH("Basic",Real_Sales[[#This Row],[Product_name]])),"Yes","No")</f>
        <v>No</v>
      </c>
      <c r="Z548" s="2" cm="1">
        <f t="array" ref="Z548">_xlfn.IFS(Real_Sales[[#This Row],[Price_retail]]&lt;=15,1, Real_Sales[[#This Row],[Price_retail]]&lt;=30,2, Real_Sales[[#This Row],[Price_retail]]&lt;=50,3,Real_Sales[[#This Row],[Price_retail]]&gt;50,4)</f>
        <v>2</v>
      </c>
    </row>
    <row r="549" spans="1:26" x14ac:dyDescent="0.35">
      <c r="A549" s="2" t="s">
        <v>3245</v>
      </c>
      <c r="B549" s="2" t="s">
        <v>3246</v>
      </c>
      <c r="C549" s="2" t="s">
        <v>1115</v>
      </c>
      <c r="D549" s="2" t="s">
        <v>769</v>
      </c>
      <c r="E549" s="2" t="s">
        <v>4</v>
      </c>
      <c r="F549" s="2" t="s">
        <v>17</v>
      </c>
      <c r="G549" s="2" t="s">
        <v>27</v>
      </c>
      <c r="H549" s="2" t="s">
        <v>35</v>
      </c>
      <c r="I549" s="2" t="s">
        <v>3390</v>
      </c>
      <c r="J549" s="3">
        <v>17.89</v>
      </c>
      <c r="K549" s="3">
        <v>17.89</v>
      </c>
      <c r="L549" s="2" t="s">
        <v>3391</v>
      </c>
      <c r="M549" s="2" t="s">
        <v>9</v>
      </c>
      <c r="N549" s="3">
        <v>835</v>
      </c>
      <c r="O549" s="2" t="s">
        <v>60</v>
      </c>
      <c r="P549" s="2" t="s">
        <v>92</v>
      </c>
      <c r="Q549" s="3"/>
      <c r="R549" s="3"/>
      <c r="S549" s="2" t="s">
        <v>12</v>
      </c>
      <c r="T549" s="4">
        <v>44955</v>
      </c>
      <c r="U549" s="2" t="s">
        <v>3247</v>
      </c>
      <c r="V549" s="6">
        <f>(Real_Sales[[#This Row],[Price_retail]]-Real_Sales[[#This Row],[Price_current]])/Real_Sales[[#This Row],[Price_retail]]</f>
        <v>0</v>
      </c>
      <c r="W549" s="3" t="str" cm="1">
        <f t="array" ref="W54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49" s="2" t="str">
        <f>IF(Real_Sales[[#This Row],[Price_retail]]&gt;$AC$3,"Premium","Average")</f>
        <v>Average</v>
      </c>
      <c r="Y549" s="2" t="str">
        <f>IF(ISNUMBER(SEARCH("Basic",Real_Sales[[#This Row],[Product_name]])),"Yes","No")</f>
        <v>Yes</v>
      </c>
      <c r="Z549" s="2" cm="1">
        <f t="array" ref="Z549">_xlfn.IFS(Real_Sales[[#This Row],[Price_retail]]&lt;=15,1, Real_Sales[[#This Row],[Price_retail]]&lt;=30,2, Real_Sales[[#This Row],[Price_retail]]&lt;=50,3,Real_Sales[[#This Row],[Price_retail]]&gt;50,4)</f>
        <v>2</v>
      </c>
    </row>
    <row r="550" spans="1:26" x14ac:dyDescent="0.35">
      <c r="A550" s="2" t="s">
        <v>2892</v>
      </c>
      <c r="B550" s="2" t="s">
        <v>2893</v>
      </c>
      <c r="C550" s="2" t="s">
        <v>469</v>
      </c>
      <c r="D550" s="2" t="s">
        <v>506</v>
      </c>
      <c r="E550" s="2" t="s">
        <v>4</v>
      </c>
      <c r="F550" s="2" t="s">
        <v>5</v>
      </c>
      <c r="G550" s="2" t="s">
        <v>82</v>
      </c>
      <c r="H550" s="2" t="s">
        <v>237</v>
      </c>
      <c r="I550" s="2" t="s">
        <v>3390</v>
      </c>
      <c r="J550" s="3">
        <v>17.899999999999999</v>
      </c>
      <c r="K550" s="3">
        <v>17.899999999999999</v>
      </c>
      <c r="L550" s="2" t="s">
        <v>3391</v>
      </c>
      <c r="M550" s="2" t="s">
        <v>9</v>
      </c>
      <c r="N550" s="3">
        <v>884</v>
      </c>
      <c r="O550" s="2" t="s">
        <v>359</v>
      </c>
      <c r="P550" s="2" t="s">
        <v>186</v>
      </c>
      <c r="Q550" s="3"/>
      <c r="R550" s="3"/>
      <c r="S550" s="2" t="s">
        <v>12</v>
      </c>
      <c r="T550" s="4">
        <v>44955</v>
      </c>
      <c r="U550" s="2" t="s">
        <v>2894</v>
      </c>
      <c r="V550" s="6">
        <f>(Real_Sales[[#This Row],[Price_retail]]-Real_Sales[[#This Row],[Price_current]])/Real_Sales[[#This Row],[Price_retail]]</f>
        <v>0</v>
      </c>
      <c r="W550" s="3" t="str" cm="1">
        <f t="array" ref="W55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0" s="2" t="str">
        <f>IF(Real_Sales[[#This Row],[Price_retail]]&gt;$AC$3,"Premium","Average")</f>
        <v>Average</v>
      </c>
      <c r="Y550" s="2" t="str">
        <f>IF(ISNUMBER(SEARCH("Basic",Real_Sales[[#This Row],[Product_name]])),"Yes","No")</f>
        <v>Yes</v>
      </c>
      <c r="Z550" s="2" cm="1">
        <f t="array" ref="Z550">_xlfn.IFS(Real_Sales[[#This Row],[Price_retail]]&lt;=15,1, Real_Sales[[#This Row],[Price_retail]]&lt;=30,2, Real_Sales[[#This Row],[Price_retail]]&lt;=50,3,Real_Sales[[#This Row],[Price_retail]]&gt;50,4)</f>
        <v>2</v>
      </c>
    </row>
    <row r="551" spans="1:26" x14ac:dyDescent="0.35">
      <c r="A551" s="2" t="s">
        <v>2456</v>
      </c>
      <c r="B551" s="2" t="s">
        <v>2457</v>
      </c>
      <c r="C551" s="2" t="s">
        <v>423</v>
      </c>
      <c r="D551" s="2" t="s">
        <v>1015</v>
      </c>
      <c r="E551" s="2" t="s">
        <v>4</v>
      </c>
      <c r="F551" s="2" t="s">
        <v>5</v>
      </c>
      <c r="G551" s="2" t="s">
        <v>6</v>
      </c>
      <c r="H551" s="2" t="s">
        <v>7</v>
      </c>
      <c r="I551" s="2" t="s">
        <v>3390</v>
      </c>
      <c r="J551" s="3">
        <v>17.91</v>
      </c>
      <c r="K551" s="3">
        <v>13.61</v>
      </c>
      <c r="L551" s="2" t="s">
        <v>8</v>
      </c>
      <c r="M551" s="2" t="s">
        <v>9</v>
      </c>
      <c r="N551" s="3">
        <v>595</v>
      </c>
      <c r="O551" s="2" t="s">
        <v>29</v>
      </c>
      <c r="P551" s="2" t="s">
        <v>186</v>
      </c>
      <c r="Q551" s="3"/>
      <c r="R551" s="3"/>
      <c r="S551" s="2" t="s">
        <v>21</v>
      </c>
      <c r="T551" s="4">
        <v>44955</v>
      </c>
      <c r="U551" s="2" t="s">
        <v>2458</v>
      </c>
      <c r="V551" s="6">
        <f>(Real_Sales[[#This Row],[Price_retail]]-Real_Sales[[#This Row],[Price_current]])/Real_Sales[[#This Row],[Price_retail]]</f>
        <v>0.24008933556672254</v>
      </c>
      <c r="W551" s="3" t="str" cm="1">
        <f t="array" ref="W55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51" s="2" t="str">
        <f>IF(Real_Sales[[#This Row],[Price_retail]]&gt;$AC$3,"Premium","Average")</f>
        <v>Average</v>
      </c>
      <c r="Y551" s="2" t="str">
        <f>IF(ISNUMBER(SEARCH("Basic",Real_Sales[[#This Row],[Product_name]])),"Yes","No")</f>
        <v>Yes</v>
      </c>
      <c r="Z551" s="2" cm="1">
        <f t="array" ref="Z551">_xlfn.IFS(Real_Sales[[#This Row],[Price_retail]]&lt;=15,1, Real_Sales[[#This Row],[Price_retail]]&lt;=30,2, Real_Sales[[#This Row],[Price_retail]]&lt;=50,3,Real_Sales[[#This Row],[Price_retail]]&gt;50,4)</f>
        <v>2</v>
      </c>
    </row>
    <row r="552" spans="1:26" x14ac:dyDescent="0.35">
      <c r="A552" s="2" t="s">
        <v>1775</v>
      </c>
      <c r="B552" s="2" t="s">
        <v>1776</v>
      </c>
      <c r="C552" s="2" t="s">
        <v>484</v>
      </c>
      <c r="D552" s="2" t="s">
        <v>1184</v>
      </c>
      <c r="E552" s="2" t="s">
        <v>4</v>
      </c>
      <c r="F552" s="2" t="s">
        <v>17</v>
      </c>
      <c r="G552" s="2" t="s">
        <v>50</v>
      </c>
      <c r="H552" s="2" t="s">
        <v>90</v>
      </c>
      <c r="I552" s="2" t="s">
        <v>3390</v>
      </c>
      <c r="J552" s="3">
        <v>17.920000000000002</v>
      </c>
      <c r="K552" s="3">
        <v>17.920000000000002</v>
      </c>
      <c r="L552" s="2" t="s">
        <v>248</v>
      </c>
      <c r="M552" s="2" t="s">
        <v>9</v>
      </c>
      <c r="N552" s="3">
        <v>735</v>
      </c>
      <c r="O552" s="2" t="s">
        <v>75</v>
      </c>
      <c r="P552" s="2" t="s">
        <v>70</v>
      </c>
      <c r="Q552" s="3"/>
      <c r="R552" s="3"/>
      <c r="S552" s="2" t="s">
        <v>21</v>
      </c>
      <c r="T552" s="4">
        <v>44955</v>
      </c>
      <c r="U552" s="2" t="s">
        <v>1777</v>
      </c>
      <c r="V552" s="6">
        <f>(Real_Sales[[#This Row],[Price_retail]]-Real_Sales[[#This Row],[Price_current]])/Real_Sales[[#This Row],[Price_retail]]</f>
        <v>0</v>
      </c>
      <c r="W552" s="3" t="str" cm="1">
        <f t="array" ref="W5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2" s="2" t="str">
        <f>IF(Real_Sales[[#This Row],[Price_retail]]&gt;$AC$3,"Premium","Average")</f>
        <v>Average</v>
      </c>
      <c r="Y552" s="2" t="str">
        <f>IF(ISNUMBER(SEARCH("Basic",Real_Sales[[#This Row],[Product_name]])),"Yes","No")</f>
        <v>No</v>
      </c>
      <c r="Z552" s="2" cm="1">
        <f t="array" ref="Z552">_xlfn.IFS(Real_Sales[[#This Row],[Price_retail]]&lt;=15,1, Real_Sales[[#This Row],[Price_retail]]&lt;=30,2, Real_Sales[[#This Row],[Price_retail]]&lt;=50,3,Real_Sales[[#This Row],[Price_retail]]&gt;50,4)</f>
        <v>2</v>
      </c>
    </row>
    <row r="553" spans="1:26" x14ac:dyDescent="0.35">
      <c r="A553" s="2" t="s">
        <v>2620</v>
      </c>
      <c r="B553" s="2" t="s">
        <v>2621</v>
      </c>
      <c r="C553" s="2" t="s">
        <v>750</v>
      </c>
      <c r="D553" s="2" t="s">
        <v>678</v>
      </c>
      <c r="E553" s="2" t="s">
        <v>4</v>
      </c>
      <c r="F553" s="2" t="s">
        <v>17</v>
      </c>
      <c r="G553" s="2" t="s">
        <v>67</v>
      </c>
      <c r="H553" s="2" t="s">
        <v>134</v>
      </c>
      <c r="I553" s="2" t="s">
        <v>3390</v>
      </c>
      <c r="J553" s="3">
        <v>17.920000000000002</v>
      </c>
      <c r="K553" s="3">
        <v>17.920000000000002</v>
      </c>
      <c r="L553" s="2" t="s">
        <v>3391</v>
      </c>
      <c r="M553" s="2" t="s">
        <v>9</v>
      </c>
      <c r="N553" s="3">
        <v>337</v>
      </c>
      <c r="O553" s="2" t="s">
        <v>191</v>
      </c>
      <c r="P553" s="2" t="s">
        <v>92</v>
      </c>
      <c r="Q553" s="3"/>
      <c r="R553" s="3"/>
      <c r="S553" s="2" t="s">
        <v>21</v>
      </c>
      <c r="T553" s="4">
        <v>44955</v>
      </c>
      <c r="U553" s="2" t="s">
        <v>2622</v>
      </c>
      <c r="V553" s="6">
        <f>(Real_Sales[[#This Row],[Price_retail]]-Real_Sales[[#This Row],[Price_current]])/Real_Sales[[#This Row],[Price_retail]]</f>
        <v>0</v>
      </c>
      <c r="W553" s="3" t="str" cm="1">
        <f t="array" ref="W55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3" s="2" t="str">
        <f>IF(Real_Sales[[#This Row],[Price_retail]]&gt;$AC$3,"Premium","Average")</f>
        <v>Average</v>
      </c>
      <c r="Y553" s="2" t="str">
        <f>IF(ISNUMBER(SEARCH("Basic",Real_Sales[[#This Row],[Product_name]])),"Yes","No")</f>
        <v>No</v>
      </c>
      <c r="Z553" s="2" cm="1">
        <f t="array" ref="Z553">_xlfn.IFS(Real_Sales[[#This Row],[Price_retail]]&lt;=15,1, Real_Sales[[#This Row],[Price_retail]]&lt;=30,2, Real_Sales[[#This Row],[Price_retail]]&lt;=50,3,Real_Sales[[#This Row],[Price_retail]]&gt;50,4)</f>
        <v>2</v>
      </c>
    </row>
    <row r="554" spans="1:26" x14ac:dyDescent="0.35">
      <c r="A554" s="2" t="s">
        <v>1911</v>
      </c>
      <c r="B554" s="2" t="s">
        <v>1912</v>
      </c>
      <c r="C554" s="2" t="s">
        <v>469</v>
      </c>
      <c r="D554" s="2" t="s">
        <v>3418</v>
      </c>
      <c r="E554" s="2" t="s">
        <v>4</v>
      </c>
      <c r="F554" s="2" t="s">
        <v>5</v>
      </c>
      <c r="G554" s="2" t="s">
        <v>82</v>
      </c>
      <c r="H554" s="2" t="s">
        <v>68</v>
      </c>
      <c r="I554" s="2" t="s">
        <v>3390</v>
      </c>
      <c r="J554" s="3">
        <v>17.96</v>
      </c>
      <c r="K554" s="3">
        <v>17.96</v>
      </c>
      <c r="L554" s="2" t="s">
        <v>3391</v>
      </c>
      <c r="M554" s="2" t="s">
        <v>9</v>
      </c>
      <c r="N554" s="3">
        <v>445</v>
      </c>
      <c r="O554" s="2" t="s">
        <v>3392</v>
      </c>
      <c r="P554" s="2" t="s">
        <v>37</v>
      </c>
      <c r="Q554" s="3"/>
      <c r="R554" s="3"/>
      <c r="S554" s="2" t="s">
        <v>21</v>
      </c>
      <c r="T554" s="4">
        <v>44955</v>
      </c>
      <c r="U554" s="2" t="s">
        <v>1913</v>
      </c>
      <c r="V554" s="6">
        <f>(Real_Sales[[#This Row],[Price_retail]]-Real_Sales[[#This Row],[Price_current]])/Real_Sales[[#This Row],[Price_retail]]</f>
        <v>0</v>
      </c>
      <c r="W554" s="3" t="str" cm="1">
        <f t="array" ref="W55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4" s="2" t="str">
        <f>IF(Real_Sales[[#This Row],[Price_retail]]&gt;$AC$3,"Premium","Average")</f>
        <v>Average</v>
      </c>
      <c r="Y554" s="2" t="str">
        <f>IF(ISNUMBER(SEARCH("Basic",Real_Sales[[#This Row],[Product_name]])),"Yes","No")</f>
        <v>Yes</v>
      </c>
      <c r="Z554" s="2" cm="1">
        <f t="array" ref="Z554">_xlfn.IFS(Real_Sales[[#This Row],[Price_retail]]&lt;=15,1, Real_Sales[[#This Row],[Price_retail]]&lt;=30,2, Real_Sales[[#This Row],[Price_retail]]&lt;=50,3,Real_Sales[[#This Row],[Price_retail]]&gt;50,4)</f>
        <v>2</v>
      </c>
    </row>
    <row r="555" spans="1:26" x14ac:dyDescent="0.35">
      <c r="A555" s="2" t="s">
        <v>472</v>
      </c>
      <c r="B555" s="2" t="s">
        <v>473</v>
      </c>
      <c r="C555" s="2" t="s">
        <v>25</v>
      </c>
      <c r="D555" s="2" t="s">
        <v>474</v>
      </c>
      <c r="E555" s="2" t="s">
        <v>4</v>
      </c>
      <c r="F555" s="2" t="s">
        <v>17</v>
      </c>
      <c r="G555" s="2" t="s">
        <v>18</v>
      </c>
      <c r="H555" s="2" t="s">
        <v>83</v>
      </c>
      <c r="I555" s="2" t="s">
        <v>3390</v>
      </c>
      <c r="J555" s="3">
        <v>18.010000000000002</v>
      </c>
      <c r="K555" s="3">
        <v>13.08</v>
      </c>
      <c r="L555" s="2" t="s">
        <v>8</v>
      </c>
      <c r="M555" s="2" t="s">
        <v>9</v>
      </c>
      <c r="N555" s="3">
        <v>952</v>
      </c>
      <c r="O555" s="2" t="s">
        <v>104</v>
      </c>
      <c r="P555" s="2" t="s">
        <v>128</v>
      </c>
      <c r="Q555" s="3"/>
      <c r="R555" s="3"/>
      <c r="S555" s="2" t="s">
        <v>21</v>
      </c>
      <c r="T555" s="4">
        <v>44955</v>
      </c>
      <c r="U555" s="2" t="s">
        <v>475</v>
      </c>
      <c r="V555" s="6">
        <f>(Real_Sales[[#This Row],[Price_retail]]-Real_Sales[[#This Row],[Price_current]])/Real_Sales[[#This Row],[Price_retail]]</f>
        <v>0.27373681288173241</v>
      </c>
      <c r="W555" s="3" t="str" cm="1">
        <f t="array" ref="W55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55" s="2" t="str">
        <f>IF(Real_Sales[[#This Row],[Price_retail]]&gt;$AC$3,"Premium","Average")</f>
        <v>Average</v>
      </c>
      <c r="Y555" s="2" t="str">
        <f>IF(ISNUMBER(SEARCH("Basic",Real_Sales[[#This Row],[Product_name]])),"Yes","No")</f>
        <v>No</v>
      </c>
      <c r="Z555" s="2" cm="1">
        <f t="array" ref="Z555">_xlfn.IFS(Real_Sales[[#This Row],[Price_retail]]&lt;=15,1, Real_Sales[[#This Row],[Price_retail]]&lt;=30,2, Real_Sales[[#This Row],[Price_retail]]&lt;=50,3,Real_Sales[[#This Row],[Price_retail]]&gt;50,4)</f>
        <v>2</v>
      </c>
    </row>
    <row r="556" spans="1:26" x14ac:dyDescent="0.35">
      <c r="A556" s="2" t="s">
        <v>2401</v>
      </c>
      <c r="B556" s="2" t="s">
        <v>2402</v>
      </c>
      <c r="C556" s="2" t="s">
        <v>569</v>
      </c>
      <c r="D556" s="2" t="s">
        <v>149</v>
      </c>
      <c r="E556" s="2" t="s">
        <v>4</v>
      </c>
      <c r="F556" s="2" t="s">
        <v>5</v>
      </c>
      <c r="G556" s="2" t="s">
        <v>82</v>
      </c>
      <c r="H556" s="2" t="s">
        <v>28</v>
      </c>
      <c r="I556" s="2" t="s">
        <v>3395</v>
      </c>
      <c r="J556" s="3">
        <v>18.04</v>
      </c>
      <c r="K556" s="3">
        <v>18.04</v>
      </c>
      <c r="L556" s="2" t="s">
        <v>3391</v>
      </c>
      <c r="M556" s="2" t="s">
        <v>9</v>
      </c>
      <c r="N556" s="3">
        <v>118</v>
      </c>
      <c r="O556" s="2" t="s">
        <v>302</v>
      </c>
      <c r="P556" s="2" t="s">
        <v>44</v>
      </c>
      <c r="Q556" s="3"/>
      <c r="R556" s="3"/>
      <c r="S556" s="2" t="s">
        <v>21</v>
      </c>
      <c r="T556" s="4">
        <v>44955</v>
      </c>
      <c r="U556" s="2" t="s">
        <v>2403</v>
      </c>
      <c r="V556" s="6">
        <f>(Real_Sales[[#This Row],[Price_retail]]-Real_Sales[[#This Row],[Price_current]])/Real_Sales[[#This Row],[Price_retail]]</f>
        <v>0</v>
      </c>
      <c r="W556" s="3" t="str" cm="1">
        <f t="array" ref="W5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6" s="2" t="str">
        <f>IF(Real_Sales[[#This Row],[Price_retail]]&gt;$AC$3,"Premium","Average")</f>
        <v>Average</v>
      </c>
      <c r="Y556" s="2" t="str">
        <f>IF(ISNUMBER(SEARCH("Basic",Real_Sales[[#This Row],[Product_name]])),"Yes","No")</f>
        <v>Yes</v>
      </c>
      <c r="Z556" s="2" cm="1">
        <f t="array" ref="Z556">_xlfn.IFS(Real_Sales[[#This Row],[Price_retail]]&lt;=15,1, Real_Sales[[#This Row],[Price_retail]]&lt;=30,2, Real_Sales[[#This Row],[Price_retail]]&lt;=50,3,Real_Sales[[#This Row],[Price_retail]]&gt;50,4)</f>
        <v>2</v>
      </c>
    </row>
    <row r="557" spans="1:26" x14ac:dyDescent="0.35">
      <c r="A557" s="2" t="s">
        <v>2099</v>
      </c>
      <c r="B557" s="2" t="s">
        <v>2100</v>
      </c>
      <c r="C557" s="2" t="s">
        <v>3434</v>
      </c>
      <c r="D557" s="2" t="s">
        <v>190</v>
      </c>
      <c r="E557" s="2" t="s">
        <v>4</v>
      </c>
      <c r="F557" s="2" t="s">
        <v>5</v>
      </c>
      <c r="G557" s="2" t="s">
        <v>82</v>
      </c>
      <c r="H557" s="2" t="s">
        <v>134</v>
      </c>
      <c r="I557" s="2" t="s">
        <v>3393</v>
      </c>
      <c r="J557" s="3">
        <v>18.05</v>
      </c>
      <c r="K557" s="3">
        <v>10.73</v>
      </c>
      <c r="L557" s="2" t="s">
        <v>8</v>
      </c>
      <c r="M557" s="2" t="s">
        <v>9</v>
      </c>
      <c r="N557" s="3">
        <v>870</v>
      </c>
      <c r="O557" s="2" t="s">
        <v>3392</v>
      </c>
      <c r="P557" s="2" t="s">
        <v>3392</v>
      </c>
      <c r="Q557" s="3"/>
      <c r="R557" s="3"/>
      <c r="S557" s="2" t="s">
        <v>21</v>
      </c>
      <c r="T557" s="4">
        <v>44955</v>
      </c>
      <c r="U557" s="2" t="s">
        <v>2101</v>
      </c>
      <c r="V557" s="6">
        <f>(Real_Sales[[#This Row],[Price_retail]]-Real_Sales[[#This Row],[Price_current]])/Real_Sales[[#This Row],[Price_retail]]</f>
        <v>0.40554016620498617</v>
      </c>
      <c r="W557" s="3" t="str" cm="1">
        <f t="array" ref="W55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57" s="2" t="str">
        <f>IF(Real_Sales[[#This Row],[Price_retail]]&gt;$AC$3,"Premium","Average")</f>
        <v>Average</v>
      </c>
      <c r="Y557" s="2" t="str">
        <f>IF(ISNUMBER(SEARCH("Basic",Real_Sales[[#This Row],[Product_name]])),"Yes","No")</f>
        <v>Yes</v>
      </c>
      <c r="Z557" s="2" cm="1">
        <f t="array" ref="Z557">_xlfn.IFS(Real_Sales[[#This Row],[Price_retail]]&lt;=15,1, Real_Sales[[#This Row],[Price_retail]]&lt;=30,2, Real_Sales[[#This Row],[Price_retail]]&lt;=50,3,Real_Sales[[#This Row],[Price_retail]]&gt;50,4)</f>
        <v>2</v>
      </c>
    </row>
    <row r="558" spans="1:26" x14ac:dyDescent="0.35">
      <c r="A558" s="2" t="s">
        <v>2974</v>
      </c>
      <c r="B558" s="2" t="s">
        <v>2975</v>
      </c>
      <c r="C558" s="2" t="s">
        <v>1143</v>
      </c>
      <c r="D558" s="2" t="s">
        <v>319</v>
      </c>
      <c r="E558" s="2" t="s">
        <v>4</v>
      </c>
      <c r="F558" s="2" t="s">
        <v>5</v>
      </c>
      <c r="G558" s="2" t="s">
        <v>82</v>
      </c>
      <c r="H558" s="2" t="s">
        <v>90</v>
      </c>
      <c r="I558" s="2" t="s">
        <v>3390</v>
      </c>
      <c r="J558" s="3">
        <v>18.09</v>
      </c>
      <c r="K558" s="3">
        <v>18.09</v>
      </c>
      <c r="L558" s="2" t="s">
        <v>3391</v>
      </c>
      <c r="M558" s="2" t="s">
        <v>9</v>
      </c>
      <c r="N558" s="3">
        <v>536</v>
      </c>
      <c r="O558" s="2" t="s">
        <v>29</v>
      </c>
      <c r="P558" s="2" t="s">
        <v>238</v>
      </c>
      <c r="Q558" s="3"/>
      <c r="R558" s="3"/>
      <c r="S558" s="2" t="s">
        <v>12</v>
      </c>
      <c r="T558" s="4">
        <v>44955</v>
      </c>
      <c r="U558" s="2" t="s">
        <v>2976</v>
      </c>
      <c r="V558" s="6">
        <f>(Real_Sales[[#This Row],[Price_retail]]-Real_Sales[[#This Row],[Price_current]])/Real_Sales[[#This Row],[Price_retail]]</f>
        <v>0</v>
      </c>
      <c r="W558" s="3" t="str" cm="1">
        <f t="array" ref="W55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8" s="2" t="str">
        <f>IF(Real_Sales[[#This Row],[Price_retail]]&gt;$AC$3,"Premium","Average")</f>
        <v>Average</v>
      </c>
      <c r="Y558" s="2" t="str">
        <f>IF(ISNUMBER(SEARCH("Basic",Real_Sales[[#This Row],[Product_name]])),"Yes","No")</f>
        <v>No</v>
      </c>
      <c r="Z558" s="2" cm="1">
        <f t="array" ref="Z558">_xlfn.IFS(Real_Sales[[#This Row],[Price_retail]]&lt;=15,1, Real_Sales[[#This Row],[Price_retail]]&lt;=30,2, Real_Sales[[#This Row],[Price_retail]]&lt;=50,3,Real_Sales[[#This Row],[Price_retail]]&gt;50,4)</f>
        <v>2</v>
      </c>
    </row>
    <row r="559" spans="1:26" x14ac:dyDescent="0.35">
      <c r="A559" s="2" t="s">
        <v>1338</v>
      </c>
      <c r="B559" s="2" t="s">
        <v>1339</v>
      </c>
      <c r="C559" s="2" t="s">
        <v>242</v>
      </c>
      <c r="D559" s="2" t="s">
        <v>144</v>
      </c>
      <c r="E559" s="2" t="s">
        <v>4</v>
      </c>
      <c r="F559" s="2" t="s">
        <v>17</v>
      </c>
      <c r="G559" s="2" t="s">
        <v>27</v>
      </c>
      <c r="H559" s="2" t="s">
        <v>145</v>
      </c>
      <c r="I559" s="2" t="s">
        <v>3393</v>
      </c>
      <c r="J559" s="3">
        <v>18.13</v>
      </c>
      <c r="K559" s="3">
        <v>18.13</v>
      </c>
      <c r="L559" s="2" t="s">
        <v>3391</v>
      </c>
      <c r="M559" s="2" t="s">
        <v>9</v>
      </c>
      <c r="N559" s="3">
        <v>241</v>
      </c>
      <c r="O559" s="2" t="s">
        <v>20</v>
      </c>
      <c r="P559" s="2" t="s">
        <v>3392</v>
      </c>
      <c r="Q559" s="3"/>
      <c r="R559" s="3"/>
      <c r="S559" s="2" t="s">
        <v>12</v>
      </c>
      <c r="T559" s="4">
        <v>44955</v>
      </c>
      <c r="U559" s="2" t="s">
        <v>1340</v>
      </c>
      <c r="V559" s="6">
        <f>(Real_Sales[[#This Row],[Price_retail]]-Real_Sales[[#This Row],[Price_current]])/Real_Sales[[#This Row],[Price_retail]]</f>
        <v>0</v>
      </c>
      <c r="W559" s="3" t="str" cm="1">
        <f t="array" ref="W55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59" s="2" t="str">
        <f>IF(Real_Sales[[#This Row],[Price_retail]]&gt;$AC$3,"Premium","Average")</f>
        <v>Average</v>
      </c>
      <c r="Y559" s="2" t="str">
        <f>IF(ISNUMBER(SEARCH("Basic",Real_Sales[[#This Row],[Product_name]])),"Yes","No")</f>
        <v>No</v>
      </c>
      <c r="Z559" s="2" cm="1">
        <f t="array" ref="Z559">_xlfn.IFS(Real_Sales[[#This Row],[Price_retail]]&lt;=15,1, Real_Sales[[#This Row],[Price_retail]]&lt;=30,2, Real_Sales[[#This Row],[Price_retail]]&lt;=50,3,Real_Sales[[#This Row],[Price_retail]]&gt;50,4)</f>
        <v>2</v>
      </c>
    </row>
    <row r="560" spans="1:26" x14ac:dyDescent="0.35">
      <c r="A560" s="2" t="s">
        <v>2020</v>
      </c>
      <c r="B560" s="2" t="s">
        <v>2021</v>
      </c>
      <c r="C560" s="2" t="s">
        <v>1242</v>
      </c>
      <c r="D560" s="2" t="s">
        <v>319</v>
      </c>
      <c r="E560" s="2" t="s">
        <v>4</v>
      </c>
      <c r="F560" s="2" t="s">
        <v>5</v>
      </c>
      <c r="G560" s="2" t="s">
        <v>121</v>
      </c>
      <c r="H560" s="2" t="s">
        <v>90</v>
      </c>
      <c r="I560" s="2" t="s">
        <v>3393</v>
      </c>
      <c r="J560" s="3">
        <v>18.18</v>
      </c>
      <c r="K560" s="3">
        <v>18.18</v>
      </c>
      <c r="L560" s="2" t="s">
        <v>3391</v>
      </c>
      <c r="M560" s="2" t="s">
        <v>9</v>
      </c>
      <c r="N560" s="3">
        <v>493</v>
      </c>
      <c r="O560" s="2" t="s">
        <v>20</v>
      </c>
      <c r="P560" s="2" t="s">
        <v>128</v>
      </c>
      <c r="Q560" s="3"/>
      <c r="R560" s="3"/>
      <c r="S560" s="2" t="s">
        <v>12</v>
      </c>
      <c r="T560" s="4">
        <v>44955</v>
      </c>
      <c r="U560" s="2" t="s">
        <v>2022</v>
      </c>
      <c r="V560" s="6">
        <f>(Real_Sales[[#This Row],[Price_retail]]-Real_Sales[[#This Row],[Price_current]])/Real_Sales[[#This Row],[Price_retail]]</f>
        <v>0</v>
      </c>
      <c r="W560" s="3" t="str" cm="1">
        <f t="array" ref="W56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0" s="2" t="str">
        <f>IF(Real_Sales[[#This Row],[Price_retail]]&gt;$AC$3,"Premium","Average")</f>
        <v>Average</v>
      </c>
      <c r="Y560" s="2" t="str">
        <f>IF(ISNUMBER(SEARCH("Basic",Real_Sales[[#This Row],[Product_name]])),"Yes","No")</f>
        <v>No</v>
      </c>
      <c r="Z560" s="2" cm="1">
        <f t="array" ref="Z560">_xlfn.IFS(Real_Sales[[#This Row],[Price_retail]]&lt;=15,1, Real_Sales[[#This Row],[Price_retail]]&lt;=30,2, Real_Sales[[#This Row],[Price_retail]]&lt;=50,3,Real_Sales[[#This Row],[Price_retail]]&gt;50,4)</f>
        <v>2</v>
      </c>
    </row>
    <row r="561" spans="1:26" x14ac:dyDescent="0.35">
      <c r="A561" s="2" t="s">
        <v>559</v>
      </c>
      <c r="B561" s="2" t="s">
        <v>560</v>
      </c>
      <c r="C561" s="2" t="s">
        <v>561</v>
      </c>
      <c r="D561" s="2" t="s">
        <v>247</v>
      </c>
      <c r="E561" s="2" t="s">
        <v>4</v>
      </c>
      <c r="F561" s="2" t="s">
        <v>17</v>
      </c>
      <c r="G561" s="2" t="s">
        <v>27</v>
      </c>
      <c r="H561" s="2" t="s">
        <v>68</v>
      </c>
      <c r="I561" s="2" t="s">
        <v>3395</v>
      </c>
      <c r="J561" s="3">
        <v>18.190000000000001</v>
      </c>
      <c r="K561" s="3">
        <v>6.76</v>
      </c>
      <c r="L561" s="2" t="s">
        <v>8</v>
      </c>
      <c r="M561" s="2" t="s">
        <v>9</v>
      </c>
      <c r="N561" s="3">
        <v>893</v>
      </c>
      <c r="O561" s="2" t="s">
        <v>29</v>
      </c>
      <c r="P561" s="2" t="s">
        <v>221</v>
      </c>
      <c r="Q561" s="3"/>
      <c r="R561" s="3"/>
      <c r="S561" s="2" t="s">
        <v>21</v>
      </c>
      <c r="T561" s="4">
        <v>44955</v>
      </c>
      <c r="U561" s="2" t="s">
        <v>562</v>
      </c>
      <c r="V561" s="6">
        <f>(Real_Sales[[#This Row],[Price_retail]]-Real_Sales[[#This Row],[Price_current]])/Real_Sales[[#This Row],[Price_retail]]</f>
        <v>0.62836723474436507</v>
      </c>
      <c r="W561" s="3" t="str" cm="1">
        <f t="array" ref="W561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561" s="2" t="str">
        <f>IF(Real_Sales[[#This Row],[Price_retail]]&gt;$AC$3,"Premium","Average")</f>
        <v>Average</v>
      </c>
      <c r="Y561" s="2" t="str">
        <f>IF(ISNUMBER(SEARCH("Basic",Real_Sales[[#This Row],[Product_name]])),"Yes","No")</f>
        <v>No</v>
      </c>
      <c r="Z561" s="2" cm="1">
        <f t="array" ref="Z561">_xlfn.IFS(Real_Sales[[#This Row],[Price_retail]]&lt;=15,1, Real_Sales[[#This Row],[Price_retail]]&lt;=30,2, Real_Sales[[#This Row],[Price_retail]]&lt;=50,3,Real_Sales[[#This Row],[Price_retail]]&gt;50,4)</f>
        <v>2</v>
      </c>
    </row>
    <row r="562" spans="1:26" x14ac:dyDescent="0.35">
      <c r="A562" s="2" t="s">
        <v>3200</v>
      </c>
      <c r="B562" s="2" t="s">
        <v>3201</v>
      </c>
      <c r="C562" s="2" t="s">
        <v>750</v>
      </c>
      <c r="D562" s="2" t="s">
        <v>617</v>
      </c>
      <c r="E562" s="2" t="s">
        <v>4</v>
      </c>
      <c r="F562" s="2" t="s">
        <v>5</v>
      </c>
      <c r="G562" s="2" t="s">
        <v>82</v>
      </c>
      <c r="H562" s="2" t="s">
        <v>83</v>
      </c>
      <c r="I562" s="2" t="s">
        <v>3395</v>
      </c>
      <c r="J562" s="3">
        <v>18.22</v>
      </c>
      <c r="K562" s="3">
        <v>18.22</v>
      </c>
      <c r="L562" s="2" t="s">
        <v>3391</v>
      </c>
      <c r="M562" s="2" t="s">
        <v>9</v>
      </c>
      <c r="N562" s="3">
        <v>861</v>
      </c>
      <c r="O562" s="2" t="s">
        <v>267</v>
      </c>
      <c r="P562" s="2" t="s">
        <v>37</v>
      </c>
      <c r="Q562" s="3"/>
      <c r="R562" s="3"/>
      <c r="S562" s="2" t="s">
        <v>21</v>
      </c>
      <c r="T562" s="4">
        <v>44955</v>
      </c>
      <c r="U562" s="2" t="s">
        <v>3202</v>
      </c>
      <c r="V562" s="6">
        <f>(Real_Sales[[#This Row],[Price_retail]]-Real_Sales[[#This Row],[Price_current]])/Real_Sales[[#This Row],[Price_retail]]</f>
        <v>0</v>
      </c>
      <c r="W562" s="3" t="str" cm="1">
        <f t="array" ref="W5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2" s="2" t="str">
        <f>IF(Real_Sales[[#This Row],[Price_retail]]&gt;$AC$3,"Premium","Average")</f>
        <v>Average</v>
      </c>
      <c r="Y562" s="2" t="str">
        <f>IF(ISNUMBER(SEARCH("Basic",Real_Sales[[#This Row],[Product_name]])),"Yes","No")</f>
        <v>No</v>
      </c>
      <c r="Z562" s="2" cm="1">
        <f t="array" ref="Z562">_xlfn.IFS(Real_Sales[[#This Row],[Price_retail]]&lt;=15,1, Real_Sales[[#This Row],[Price_retail]]&lt;=30,2, Real_Sales[[#This Row],[Price_retail]]&lt;=50,3,Real_Sales[[#This Row],[Price_retail]]&gt;50,4)</f>
        <v>2</v>
      </c>
    </row>
    <row r="563" spans="1:26" x14ac:dyDescent="0.35">
      <c r="A563" s="2" t="s">
        <v>1712</v>
      </c>
      <c r="B563" s="2" t="s">
        <v>1713</v>
      </c>
      <c r="C563" s="2" t="s">
        <v>333</v>
      </c>
      <c r="D563" s="2" t="s">
        <v>89</v>
      </c>
      <c r="E563" s="2" t="s">
        <v>4</v>
      </c>
      <c r="F563" s="2" t="s">
        <v>5</v>
      </c>
      <c r="G563" s="2" t="s">
        <v>6</v>
      </c>
      <c r="H563" s="2" t="s">
        <v>90</v>
      </c>
      <c r="I563" s="2" t="s">
        <v>3390</v>
      </c>
      <c r="J563" s="3">
        <v>18.23</v>
      </c>
      <c r="K563" s="3">
        <v>10.59</v>
      </c>
      <c r="L563" s="2" t="s">
        <v>8</v>
      </c>
      <c r="M563" s="2" t="s">
        <v>9</v>
      </c>
      <c r="N563" s="3">
        <v>277</v>
      </c>
      <c r="O563" s="2" t="s">
        <v>69</v>
      </c>
      <c r="P563" s="2" t="s">
        <v>629</v>
      </c>
      <c r="Q563" s="3"/>
      <c r="R563" s="3"/>
      <c r="S563" s="2" t="s">
        <v>21</v>
      </c>
      <c r="T563" s="4">
        <v>44955</v>
      </c>
      <c r="U563" s="2" t="s">
        <v>1714</v>
      </c>
      <c r="V563" s="6">
        <f>(Real_Sales[[#This Row],[Price_retail]]-Real_Sales[[#This Row],[Price_current]])/Real_Sales[[#This Row],[Price_retail]]</f>
        <v>0.4190894130554032</v>
      </c>
      <c r="W563" s="3" t="str" cm="1">
        <f t="array" ref="W56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63" s="2" t="str">
        <f>IF(Real_Sales[[#This Row],[Price_retail]]&gt;$AC$3,"Premium","Average")</f>
        <v>Average</v>
      </c>
      <c r="Y563" s="2" t="str">
        <f>IF(ISNUMBER(SEARCH("Basic",Real_Sales[[#This Row],[Product_name]])),"Yes","No")</f>
        <v>No</v>
      </c>
      <c r="Z563" s="2" cm="1">
        <f t="array" ref="Z563">_xlfn.IFS(Real_Sales[[#This Row],[Price_retail]]&lt;=15,1, Real_Sales[[#This Row],[Price_retail]]&lt;=30,2, Real_Sales[[#This Row],[Price_retail]]&lt;=50,3,Real_Sales[[#This Row],[Price_retail]]&gt;50,4)</f>
        <v>2</v>
      </c>
    </row>
    <row r="564" spans="1:26" x14ac:dyDescent="0.35">
      <c r="A564" s="2" t="s">
        <v>2190</v>
      </c>
      <c r="B564" s="2" t="s">
        <v>2191</v>
      </c>
      <c r="C564" s="2" t="s">
        <v>1743</v>
      </c>
      <c r="D564" s="2" t="s">
        <v>392</v>
      </c>
      <c r="E564" s="2" t="s">
        <v>4</v>
      </c>
      <c r="F564" s="2" t="s">
        <v>17</v>
      </c>
      <c r="G564" s="2" t="s">
        <v>50</v>
      </c>
      <c r="H564" s="2" t="s">
        <v>19</v>
      </c>
      <c r="I564" s="2" t="s">
        <v>3390</v>
      </c>
      <c r="J564" s="3">
        <v>18.23</v>
      </c>
      <c r="K564" s="3">
        <v>18.23</v>
      </c>
      <c r="L564" s="2" t="s">
        <v>3391</v>
      </c>
      <c r="M564" s="2" t="s">
        <v>9</v>
      </c>
      <c r="N564" s="3">
        <v>134</v>
      </c>
      <c r="O564" s="2" t="s">
        <v>191</v>
      </c>
      <c r="P564" s="2" t="s">
        <v>92</v>
      </c>
      <c r="Q564" s="3"/>
      <c r="R564" s="3"/>
      <c r="S564" s="2" t="s">
        <v>21</v>
      </c>
      <c r="T564" s="4">
        <v>44955</v>
      </c>
      <c r="U564" s="2" t="s">
        <v>2192</v>
      </c>
      <c r="V564" s="6">
        <f>(Real_Sales[[#This Row],[Price_retail]]-Real_Sales[[#This Row],[Price_current]])/Real_Sales[[#This Row],[Price_retail]]</f>
        <v>0</v>
      </c>
      <c r="W564" s="3" t="str" cm="1">
        <f t="array" ref="W56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4" s="2" t="str">
        <f>IF(Real_Sales[[#This Row],[Price_retail]]&gt;$AC$3,"Premium","Average")</f>
        <v>Average</v>
      </c>
      <c r="Y564" s="2" t="str">
        <f>IF(ISNUMBER(SEARCH("Basic",Real_Sales[[#This Row],[Product_name]])),"Yes","No")</f>
        <v>No</v>
      </c>
      <c r="Z564" s="2" cm="1">
        <f t="array" ref="Z564">_xlfn.IFS(Real_Sales[[#This Row],[Price_retail]]&lt;=15,1, Real_Sales[[#This Row],[Price_retail]]&lt;=30,2, Real_Sales[[#This Row],[Price_retail]]&lt;=50,3,Real_Sales[[#This Row],[Price_retail]]&gt;50,4)</f>
        <v>2</v>
      </c>
    </row>
    <row r="565" spans="1:26" x14ac:dyDescent="0.35">
      <c r="A565" s="2" t="s">
        <v>1528</v>
      </c>
      <c r="B565" s="2" t="s">
        <v>1529</v>
      </c>
      <c r="C565" s="2" t="s">
        <v>1154</v>
      </c>
      <c r="D565" s="2" t="s">
        <v>653</v>
      </c>
      <c r="E565" s="2" t="s">
        <v>4</v>
      </c>
      <c r="F565" s="2" t="s">
        <v>17</v>
      </c>
      <c r="G565" s="2" t="s">
        <v>27</v>
      </c>
      <c r="H565" s="2" t="s">
        <v>110</v>
      </c>
      <c r="I565" s="2" t="s">
        <v>3393</v>
      </c>
      <c r="J565" s="3">
        <v>18.239999999999998</v>
      </c>
      <c r="K565" s="3">
        <v>18.239999999999998</v>
      </c>
      <c r="L565" s="2" t="s">
        <v>3391</v>
      </c>
      <c r="M565" s="2" t="s">
        <v>9</v>
      </c>
      <c r="N565" s="3">
        <v>94</v>
      </c>
      <c r="O565" s="2" t="s">
        <v>43</v>
      </c>
      <c r="P565" s="2" t="s">
        <v>61</v>
      </c>
      <c r="Q565" s="3"/>
      <c r="R565" s="3"/>
      <c r="S565" s="2" t="s">
        <v>12</v>
      </c>
      <c r="T565" s="4">
        <v>44955</v>
      </c>
      <c r="U565" s="2" t="s">
        <v>1530</v>
      </c>
      <c r="V565" s="6">
        <f>(Real_Sales[[#This Row],[Price_retail]]-Real_Sales[[#This Row],[Price_current]])/Real_Sales[[#This Row],[Price_retail]]</f>
        <v>0</v>
      </c>
      <c r="W565" s="3" t="str" cm="1">
        <f t="array" ref="W56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5" s="2" t="str">
        <f>IF(Real_Sales[[#This Row],[Price_retail]]&gt;$AC$3,"Premium","Average")</f>
        <v>Average</v>
      </c>
      <c r="Y565" s="2" t="str">
        <f>IF(ISNUMBER(SEARCH("Basic",Real_Sales[[#This Row],[Product_name]])),"Yes","No")</f>
        <v>No</v>
      </c>
      <c r="Z565" s="2" cm="1">
        <f t="array" ref="Z565">_xlfn.IFS(Real_Sales[[#This Row],[Price_retail]]&lt;=15,1, Real_Sales[[#This Row],[Price_retail]]&lt;=30,2, Real_Sales[[#This Row],[Price_retail]]&lt;=50,3,Real_Sales[[#This Row],[Price_retail]]&gt;50,4)</f>
        <v>2</v>
      </c>
    </row>
    <row r="566" spans="1:26" x14ac:dyDescent="0.35">
      <c r="A566" s="2" t="s">
        <v>3317</v>
      </c>
      <c r="B566" s="2" t="s">
        <v>3318</v>
      </c>
      <c r="C566" s="2" t="s">
        <v>1314</v>
      </c>
      <c r="D566" s="2" t="s">
        <v>861</v>
      </c>
      <c r="E566" s="2" t="s">
        <v>4</v>
      </c>
      <c r="F566" s="2" t="s">
        <v>17</v>
      </c>
      <c r="G566" s="2" t="s">
        <v>18</v>
      </c>
      <c r="H566" s="2" t="s">
        <v>139</v>
      </c>
      <c r="I566" s="2" t="s">
        <v>3390</v>
      </c>
      <c r="J566" s="3">
        <v>18.27</v>
      </c>
      <c r="K566" s="3">
        <v>12.28</v>
      </c>
      <c r="L566" s="2" t="s">
        <v>8</v>
      </c>
      <c r="M566" s="2" t="s">
        <v>9</v>
      </c>
      <c r="N566" s="3">
        <v>790</v>
      </c>
      <c r="O566" s="2" t="s">
        <v>29</v>
      </c>
      <c r="P566" s="2" t="s">
        <v>169</v>
      </c>
      <c r="Q566" s="3"/>
      <c r="R566" s="3"/>
      <c r="S566" s="2" t="s">
        <v>21</v>
      </c>
      <c r="T566" s="4">
        <v>44955</v>
      </c>
      <c r="U566" s="2" t="s">
        <v>3319</v>
      </c>
      <c r="V566" s="6">
        <f>(Real_Sales[[#This Row],[Price_retail]]-Real_Sales[[#This Row],[Price_current]])/Real_Sales[[#This Row],[Price_retail]]</f>
        <v>0.32785987958401752</v>
      </c>
      <c r="W566" s="3" t="str" cm="1">
        <f t="array" ref="W56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66" s="2" t="str">
        <f>IF(Real_Sales[[#This Row],[Price_retail]]&gt;$AC$3,"Premium","Average")</f>
        <v>Average</v>
      </c>
      <c r="Y566" s="2" t="str">
        <f>IF(ISNUMBER(SEARCH("Basic",Real_Sales[[#This Row],[Product_name]])),"Yes","No")</f>
        <v>No</v>
      </c>
      <c r="Z566" s="2" cm="1">
        <f t="array" ref="Z566">_xlfn.IFS(Real_Sales[[#This Row],[Price_retail]]&lt;=15,1, Real_Sales[[#This Row],[Price_retail]]&lt;=30,2, Real_Sales[[#This Row],[Price_retail]]&lt;=50,3,Real_Sales[[#This Row],[Price_retail]]&gt;50,4)</f>
        <v>2</v>
      </c>
    </row>
    <row r="567" spans="1:26" x14ac:dyDescent="0.35">
      <c r="A567" s="2" t="s">
        <v>231</v>
      </c>
      <c r="B567" s="2" t="s">
        <v>232</v>
      </c>
      <c r="C567" s="2" t="s">
        <v>3398</v>
      </c>
      <c r="D567" s="2" t="s">
        <v>181</v>
      </c>
      <c r="E567" s="2" t="s">
        <v>4</v>
      </c>
      <c r="F567" s="2" t="s">
        <v>5</v>
      </c>
      <c r="G567" s="2" t="s">
        <v>121</v>
      </c>
      <c r="H567" s="2" t="s">
        <v>68</v>
      </c>
      <c r="I567" s="2" t="s">
        <v>3390</v>
      </c>
      <c r="J567" s="3">
        <v>18.28</v>
      </c>
      <c r="K567" s="3">
        <v>18.28</v>
      </c>
      <c r="L567" s="2" t="s">
        <v>3391</v>
      </c>
      <c r="M567" s="2" t="s">
        <v>9</v>
      </c>
      <c r="N567" s="3">
        <v>763</v>
      </c>
      <c r="O567" s="2" t="s">
        <v>60</v>
      </c>
      <c r="P567" s="2" t="s">
        <v>37</v>
      </c>
      <c r="Q567" s="3"/>
      <c r="R567" s="3"/>
      <c r="S567" s="2" t="s">
        <v>21</v>
      </c>
      <c r="T567" s="4">
        <v>44955</v>
      </c>
      <c r="U567" s="2" t="s">
        <v>233</v>
      </c>
      <c r="V567" s="6">
        <f>(Real_Sales[[#This Row],[Price_retail]]-Real_Sales[[#This Row],[Price_current]])/Real_Sales[[#This Row],[Price_retail]]</f>
        <v>0</v>
      </c>
      <c r="W567" s="3" t="str" cm="1">
        <f t="array" ref="W56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7" s="2" t="str">
        <f>IF(Real_Sales[[#This Row],[Price_retail]]&gt;$AC$3,"Premium","Average")</f>
        <v>Average</v>
      </c>
      <c r="Y567" s="2" t="str">
        <f>IF(ISNUMBER(SEARCH("Basic",Real_Sales[[#This Row],[Product_name]])),"Yes","No")</f>
        <v>No</v>
      </c>
      <c r="Z567" s="2" cm="1">
        <f t="array" ref="Z567">_xlfn.IFS(Real_Sales[[#This Row],[Price_retail]]&lt;=15,1, Real_Sales[[#This Row],[Price_retail]]&lt;=30,2, Real_Sales[[#This Row],[Price_retail]]&lt;=50,3,Real_Sales[[#This Row],[Price_retail]]&gt;50,4)</f>
        <v>2</v>
      </c>
    </row>
    <row r="568" spans="1:26" x14ac:dyDescent="0.35">
      <c r="A568" s="2" t="s">
        <v>3215</v>
      </c>
      <c r="B568" s="2" t="s">
        <v>3216</v>
      </c>
      <c r="C568" s="2" t="s">
        <v>1747</v>
      </c>
      <c r="D568" s="2" t="s">
        <v>314</v>
      </c>
      <c r="E568" s="2" t="s">
        <v>4</v>
      </c>
      <c r="F568" s="2" t="s">
        <v>17</v>
      </c>
      <c r="G568" s="2" t="s">
        <v>67</v>
      </c>
      <c r="H568" s="2" t="s">
        <v>59</v>
      </c>
      <c r="I568" s="2" t="s">
        <v>3390</v>
      </c>
      <c r="J568" s="3">
        <v>18.309999999999999</v>
      </c>
      <c r="K568" s="3">
        <v>18.309999999999999</v>
      </c>
      <c r="L568" s="2" t="s">
        <v>3391</v>
      </c>
      <c r="M568" s="2" t="s">
        <v>9</v>
      </c>
      <c r="N568" s="3">
        <v>718</v>
      </c>
      <c r="O568" s="2" t="s">
        <v>261</v>
      </c>
      <c r="P568" s="2" t="s">
        <v>53</v>
      </c>
      <c r="Q568" s="3"/>
      <c r="R568" s="3"/>
      <c r="S568" s="2" t="s">
        <v>21</v>
      </c>
      <c r="T568" s="4">
        <v>44955</v>
      </c>
      <c r="U568" s="2" t="s">
        <v>3217</v>
      </c>
      <c r="V568" s="6">
        <f>(Real_Sales[[#This Row],[Price_retail]]-Real_Sales[[#This Row],[Price_current]])/Real_Sales[[#This Row],[Price_retail]]</f>
        <v>0</v>
      </c>
      <c r="W568" s="3" t="str" cm="1">
        <f t="array" ref="W5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8" s="2" t="str">
        <f>IF(Real_Sales[[#This Row],[Price_retail]]&gt;$AC$3,"Premium","Average")</f>
        <v>Average</v>
      </c>
      <c r="Y568" s="2" t="str">
        <f>IF(ISNUMBER(SEARCH("Basic",Real_Sales[[#This Row],[Product_name]])),"Yes","No")</f>
        <v>No</v>
      </c>
      <c r="Z568" s="2" cm="1">
        <f t="array" ref="Z568">_xlfn.IFS(Real_Sales[[#This Row],[Price_retail]]&lt;=15,1, Real_Sales[[#This Row],[Price_retail]]&lt;=30,2, Real_Sales[[#This Row],[Price_retail]]&lt;=50,3,Real_Sales[[#This Row],[Price_retail]]&gt;50,4)</f>
        <v>2</v>
      </c>
    </row>
    <row r="569" spans="1:26" x14ac:dyDescent="0.35">
      <c r="A569" s="2" t="s">
        <v>513</v>
      </c>
      <c r="B569" s="2" t="s">
        <v>514</v>
      </c>
      <c r="C569" s="2" t="s">
        <v>3409</v>
      </c>
      <c r="D569" s="2" t="s">
        <v>296</v>
      </c>
      <c r="E569" s="2" t="s">
        <v>4</v>
      </c>
      <c r="F569" s="2" t="s">
        <v>5</v>
      </c>
      <c r="G569" s="2" t="s">
        <v>121</v>
      </c>
      <c r="H569" s="2" t="s">
        <v>145</v>
      </c>
      <c r="I569" s="2" t="s">
        <v>3389</v>
      </c>
      <c r="J569" s="3">
        <v>18.32</v>
      </c>
      <c r="K569" s="3">
        <v>18.32</v>
      </c>
      <c r="L569" s="2" t="s">
        <v>3391</v>
      </c>
      <c r="M569" s="2" t="s">
        <v>9</v>
      </c>
      <c r="N569" s="3">
        <v>623</v>
      </c>
      <c r="O569" s="2" t="s">
        <v>163</v>
      </c>
      <c r="P569" s="2" t="s">
        <v>3392</v>
      </c>
      <c r="Q569" s="3"/>
      <c r="R569" s="3"/>
      <c r="S569" s="2" t="s">
        <v>12</v>
      </c>
      <c r="T569" s="4">
        <v>44955</v>
      </c>
      <c r="U569" s="2" t="s">
        <v>515</v>
      </c>
      <c r="V569" s="6">
        <f>(Real_Sales[[#This Row],[Price_retail]]-Real_Sales[[#This Row],[Price_current]])/Real_Sales[[#This Row],[Price_retail]]</f>
        <v>0</v>
      </c>
      <c r="W569" s="3" t="str" cm="1">
        <f t="array" ref="W56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69" s="2" t="str">
        <f>IF(Real_Sales[[#This Row],[Price_retail]]&gt;$AC$3,"Premium","Average")</f>
        <v>Average</v>
      </c>
      <c r="Y569" s="2" t="str">
        <f>IF(ISNUMBER(SEARCH("Basic",Real_Sales[[#This Row],[Product_name]])),"Yes","No")</f>
        <v>Yes</v>
      </c>
      <c r="Z569" s="2" cm="1">
        <f t="array" ref="Z569">_xlfn.IFS(Real_Sales[[#This Row],[Price_retail]]&lt;=15,1, Real_Sales[[#This Row],[Price_retail]]&lt;=30,2, Real_Sales[[#This Row],[Price_retail]]&lt;=50,3,Real_Sales[[#This Row],[Price_retail]]&gt;50,4)</f>
        <v>2</v>
      </c>
    </row>
    <row r="570" spans="1:26" x14ac:dyDescent="0.35">
      <c r="A570" s="2" t="s">
        <v>2353</v>
      </c>
      <c r="B570" s="2" t="s">
        <v>2354</v>
      </c>
      <c r="C570" s="2" t="s">
        <v>271</v>
      </c>
      <c r="D570" s="2" t="s">
        <v>432</v>
      </c>
      <c r="E570" s="2" t="s">
        <v>4</v>
      </c>
      <c r="F570" s="2" t="s">
        <v>5</v>
      </c>
      <c r="G570" s="2" t="s">
        <v>121</v>
      </c>
      <c r="H570" s="2" t="s">
        <v>35</v>
      </c>
      <c r="I570" s="2" t="s">
        <v>3393</v>
      </c>
      <c r="J570" s="3">
        <v>18.36</v>
      </c>
      <c r="K570" s="3">
        <v>10.35</v>
      </c>
      <c r="L570" s="2" t="s">
        <v>8</v>
      </c>
      <c r="M570" s="2" t="s">
        <v>9</v>
      </c>
      <c r="N570" s="3">
        <v>591</v>
      </c>
      <c r="O570" s="2" t="s">
        <v>43</v>
      </c>
      <c r="P570" s="2" t="s">
        <v>3392</v>
      </c>
      <c r="Q570" s="3"/>
      <c r="R570" s="3"/>
      <c r="S570" s="2" t="s">
        <v>21</v>
      </c>
      <c r="T570" s="4">
        <v>44955</v>
      </c>
      <c r="U570" s="2" t="s">
        <v>2355</v>
      </c>
      <c r="V570" s="6">
        <f>(Real_Sales[[#This Row],[Price_retail]]-Real_Sales[[#This Row],[Price_current]])/Real_Sales[[#This Row],[Price_retail]]</f>
        <v>0.43627450980392157</v>
      </c>
      <c r="W570" s="3" t="str" cm="1">
        <f t="array" ref="W57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70" s="2" t="str">
        <f>IF(Real_Sales[[#This Row],[Price_retail]]&gt;$AC$3,"Premium","Average")</f>
        <v>Average</v>
      </c>
      <c r="Y570" s="2" t="str">
        <f>IF(ISNUMBER(SEARCH("Basic",Real_Sales[[#This Row],[Product_name]])),"Yes","No")</f>
        <v>Yes</v>
      </c>
      <c r="Z570" s="2" cm="1">
        <f t="array" ref="Z570">_xlfn.IFS(Real_Sales[[#This Row],[Price_retail]]&lt;=15,1, Real_Sales[[#This Row],[Price_retail]]&lt;=30,2, Real_Sales[[#This Row],[Price_retail]]&lt;=50,3,Real_Sales[[#This Row],[Price_retail]]&gt;50,4)</f>
        <v>2</v>
      </c>
    </row>
    <row r="571" spans="1:26" x14ac:dyDescent="0.35">
      <c r="A571" s="2" t="s">
        <v>1476</v>
      </c>
      <c r="B571" s="2" t="s">
        <v>1477</v>
      </c>
      <c r="C571" s="2" t="s">
        <v>616</v>
      </c>
      <c r="D571" s="2" t="s">
        <v>586</v>
      </c>
      <c r="E571" s="2" t="s">
        <v>4</v>
      </c>
      <c r="F571" s="2" t="s">
        <v>5</v>
      </c>
      <c r="G571" s="2" t="s">
        <v>82</v>
      </c>
      <c r="H571" s="2" t="s">
        <v>83</v>
      </c>
      <c r="I571" s="2" t="s">
        <v>3390</v>
      </c>
      <c r="J571" s="3">
        <v>18.38</v>
      </c>
      <c r="K571" s="3">
        <v>18.38</v>
      </c>
      <c r="L571" s="2" t="s">
        <v>3391</v>
      </c>
      <c r="M571" s="2" t="s">
        <v>9</v>
      </c>
      <c r="N571" s="3">
        <v>768</v>
      </c>
      <c r="O571" s="2" t="s">
        <v>29</v>
      </c>
      <c r="P571" s="2" t="s">
        <v>238</v>
      </c>
      <c r="Q571" s="3"/>
      <c r="R571" s="3"/>
      <c r="S571" s="2" t="s">
        <v>21</v>
      </c>
      <c r="T571" s="4">
        <v>44955</v>
      </c>
      <c r="U571" s="2" t="s">
        <v>1478</v>
      </c>
      <c r="V571" s="6">
        <f>(Real_Sales[[#This Row],[Price_retail]]-Real_Sales[[#This Row],[Price_current]])/Real_Sales[[#This Row],[Price_retail]]</f>
        <v>0</v>
      </c>
      <c r="W571" s="3" t="str" cm="1">
        <f t="array" ref="W5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71" s="2" t="str">
        <f>IF(Real_Sales[[#This Row],[Price_retail]]&gt;$AC$3,"Premium","Average")</f>
        <v>Average</v>
      </c>
      <c r="Y571" s="2" t="str">
        <f>IF(ISNUMBER(SEARCH("Basic",Real_Sales[[#This Row],[Product_name]])),"Yes","No")</f>
        <v>No</v>
      </c>
      <c r="Z571" s="2" cm="1">
        <f t="array" ref="Z571">_xlfn.IFS(Real_Sales[[#This Row],[Price_retail]]&lt;=15,1, Real_Sales[[#This Row],[Price_retail]]&lt;=30,2, Real_Sales[[#This Row],[Price_retail]]&lt;=50,3,Real_Sales[[#This Row],[Price_retail]]&gt;50,4)</f>
        <v>2</v>
      </c>
    </row>
    <row r="572" spans="1:26" x14ac:dyDescent="0.35">
      <c r="A572" s="2" t="s">
        <v>1023</v>
      </c>
      <c r="B572" s="2" t="s">
        <v>1024</v>
      </c>
      <c r="C572" s="2" t="s">
        <v>65</v>
      </c>
      <c r="D572" s="2" t="s">
        <v>332</v>
      </c>
      <c r="E572" s="2" t="s">
        <v>4</v>
      </c>
      <c r="F572" s="2" t="s">
        <v>5</v>
      </c>
      <c r="G572" s="2" t="s">
        <v>121</v>
      </c>
      <c r="H572" s="2" t="s">
        <v>333</v>
      </c>
      <c r="I572" s="2" t="s">
        <v>3393</v>
      </c>
      <c r="J572" s="3">
        <v>18.41</v>
      </c>
      <c r="K572" s="3">
        <v>14.03</v>
      </c>
      <c r="L572" s="2" t="s">
        <v>8</v>
      </c>
      <c r="M572" s="2" t="s">
        <v>9</v>
      </c>
      <c r="N572" s="3">
        <v>694</v>
      </c>
      <c r="O572" s="2" t="s">
        <v>287</v>
      </c>
      <c r="P572" s="2" t="s">
        <v>215</v>
      </c>
      <c r="Q572" s="3"/>
      <c r="R572" s="3"/>
      <c r="S572" s="2" t="s">
        <v>12</v>
      </c>
      <c r="T572" s="4">
        <v>44955</v>
      </c>
      <c r="U572" s="2" t="s">
        <v>1025</v>
      </c>
      <c r="V572" s="6">
        <f>(Real_Sales[[#This Row],[Price_retail]]-Real_Sales[[#This Row],[Price_current]])/Real_Sales[[#This Row],[Price_retail]]</f>
        <v>0.2379141770776752</v>
      </c>
      <c r="W572" s="3" t="str" cm="1">
        <f t="array" ref="W57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72" s="2" t="str">
        <f>IF(Real_Sales[[#This Row],[Price_retail]]&gt;$AC$3,"Premium","Average")</f>
        <v>Average</v>
      </c>
      <c r="Y572" s="2" t="str">
        <f>IF(ISNUMBER(SEARCH("Basic",Real_Sales[[#This Row],[Product_name]])),"Yes","No")</f>
        <v>No</v>
      </c>
      <c r="Z572" s="2" cm="1">
        <f t="array" ref="Z572">_xlfn.IFS(Real_Sales[[#This Row],[Price_retail]]&lt;=15,1, Real_Sales[[#This Row],[Price_retail]]&lt;=30,2, Real_Sales[[#This Row],[Price_retail]]&lt;=50,3,Real_Sales[[#This Row],[Price_retail]]&gt;50,4)</f>
        <v>2</v>
      </c>
    </row>
    <row r="573" spans="1:26" x14ac:dyDescent="0.35">
      <c r="A573" s="2" t="s">
        <v>3284</v>
      </c>
      <c r="B573" s="2" t="s">
        <v>3285</v>
      </c>
      <c r="C573" s="2" t="s">
        <v>484</v>
      </c>
      <c r="D573" s="2" t="s">
        <v>158</v>
      </c>
      <c r="E573" s="2" t="s">
        <v>4</v>
      </c>
      <c r="F573" s="2" t="s">
        <v>5</v>
      </c>
      <c r="G573" s="2" t="s">
        <v>121</v>
      </c>
      <c r="H573" s="2" t="s">
        <v>145</v>
      </c>
      <c r="I573" s="2" t="s">
        <v>3389</v>
      </c>
      <c r="J573" s="3">
        <v>18.420000000000002</v>
      </c>
      <c r="K573" s="3">
        <v>18.420000000000002</v>
      </c>
      <c r="L573" s="2" t="s">
        <v>3391</v>
      </c>
      <c r="M573" s="2" t="s">
        <v>9</v>
      </c>
      <c r="N573" s="3">
        <v>265</v>
      </c>
      <c r="O573" s="2" t="s">
        <v>104</v>
      </c>
      <c r="P573" s="2" t="s">
        <v>3392</v>
      </c>
      <c r="Q573" s="3"/>
      <c r="R573" s="3"/>
      <c r="S573" s="2" t="s">
        <v>21</v>
      </c>
      <c r="T573" s="4">
        <v>44955</v>
      </c>
      <c r="U573" s="2" t="s">
        <v>3286</v>
      </c>
      <c r="V573" s="6">
        <f>(Real_Sales[[#This Row],[Price_retail]]-Real_Sales[[#This Row],[Price_current]])/Real_Sales[[#This Row],[Price_retail]]</f>
        <v>0</v>
      </c>
      <c r="W573" s="3" t="str" cm="1">
        <f t="array" ref="W57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73" s="2" t="str">
        <f>IF(Real_Sales[[#This Row],[Price_retail]]&gt;$AC$3,"Premium","Average")</f>
        <v>Average</v>
      </c>
      <c r="Y573" s="2" t="str">
        <f>IF(ISNUMBER(SEARCH("Basic",Real_Sales[[#This Row],[Product_name]])),"Yes","No")</f>
        <v>No</v>
      </c>
      <c r="Z573" s="2" cm="1">
        <f t="array" ref="Z573">_xlfn.IFS(Real_Sales[[#This Row],[Price_retail]]&lt;=15,1, Real_Sales[[#This Row],[Price_retail]]&lt;=30,2, Real_Sales[[#This Row],[Price_retail]]&lt;=50,3,Real_Sales[[#This Row],[Price_retail]]&gt;50,4)</f>
        <v>2</v>
      </c>
    </row>
    <row r="574" spans="1:26" x14ac:dyDescent="0.35">
      <c r="A574" s="2" t="s">
        <v>223</v>
      </c>
      <c r="B574" s="2" t="s">
        <v>224</v>
      </c>
      <c r="C574" s="2" t="s">
        <v>25</v>
      </c>
      <c r="D574" s="2" t="s">
        <v>225</v>
      </c>
      <c r="E574" s="2" t="s">
        <v>4</v>
      </c>
      <c r="F574" s="2" t="s">
        <v>17</v>
      </c>
      <c r="G574" s="2" t="s">
        <v>67</v>
      </c>
      <c r="H574" s="2" t="s">
        <v>110</v>
      </c>
      <c r="I574" s="2" t="s">
        <v>3393</v>
      </c>
      <c r="J574" s="3">
        <v>18.43</v>
      </c>
      <c r="K574" s="3">
        <v>18.43</v>
      </c>
      <c r="L574" s="2" t="s">
        <v>3391</v>
      </c>
      <c r="M574" s="2" t="s">
        <v>9</v>
      </c>
      <c r="N574" s="3">
        <v>866</v>
      </c>
      <c r="O574" s="2" t="s">
        <v>98</v>
      </c>
      <c r="P574" s="2" t="s">
        <v>30</v>
      </c>
      <c r="Q574" s="3"/>
      <c r="R574" s="3"/>
      <c r="S574" s="2" t="s">
        <v>21</v>
      </c>
      <c r="T574" s="4">
        <v>44955</v>
      </c>
      <c r="U574" s="2" t="s">
        <v>226</v>
      </c>
      <c r="V574" s="6">
        <f>(Real_Sales[[#This Row],[Price_retail]]-Real_Sales[[#This Row],[Price_current]])/Real_Sales[[#This Row],[Price_retail]]</f>
        <v>0</v>
      </c>
      <c r="W574" s="3" t="str" cm="1">
        <f t="array" ref="W5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74" s="2" t="str">
        <f>IF(Real_Sales[[#This Row],[Price_retail]]&gt;$AC$3,"Premium","Average")</f>
        <v>Average</v>
      </c>
      <c r="Y574" s="2" t="str">
        <f>IF(ISNUMBER(SEARCH("Basic",Real_Sales[[#This Row],[Product_name]])),"Yes","No")</f>
        <v>No</v>
      </c>
      <c r="Z574" s="2" cm="1">
        <f t="array" ref="Z574">_xlfn.IFS(Real_Sales[[#This Row],[Price_retail]]&lt;=15,1, Real_Sales[[#This Row],[Price_retail]]&lt;=30,2, Real_Sales[[#This Row],[Price_retail]]&lt;=50,3,Real_Sales[[#This Row],[Price_retail]]&gt;50,4)</f>
        <v>2</v>
      </c>
    </row>
    <row r="575" spans="1:26" x14ac:dyDescent="0.35">
      <c r="A575" s="2" t="s">
        <v>2029</v>
      </c>
      <c r="B575" s="2" t="s">
        <v>2030</v>
      </c>
      <c r="C575" s="2" t="s">
        <v>484</v>
      </c>
      <c r="D575" s="2" t="s">
        <v>319</v>
      </c>
      <c r="E575" s="2" t="s">
        <v>4</v>
      </c>
      <c r="F575" s="2" t="s">
        <v>5</v>
      </c>
      <c r="G575" s="2" t="s">
        <v>82</v>
      </c>
      <c r="H575" s="2" t="s">
        <v>90</v>
      </c>
      <c r="I575" s="2" t="s">
        <v>3390</v>
      </c>
      <c r="J575" s="3">
        <v>18.43</v>
      </c>
      <c r="K575" s="3">
        <v>18.43</v>
      </c>
      <c r="L575" s="2" t="s">
        <v>3391</v>
      </c>
      <c r="M575" s="2" t="s">
        <v>9</v>
      </c>
      <c r="N575" s="3">
        <v>928</v>
      </c>
      <c r="O575" s="2" t="s">
        <v>302</v>
      </c>
      <c r="P575" s="2" t="s">
        <v>186</v>
      </c>
      <c r="Q575" s="3"/>
      <c r="R575" s="3"/>
      <c r="S575" s="2" t="s">
        <v>12</v>
      </c>
      <c r="T575" s="4">
        <v>44955</v>
      </c>
      <c r="U575" s="2" t="s">
        <v>2031</v>
      </c>
      <c r="V575" s="6">
        <f>(Real_Sales[[#This Row],[Price_retail]]-Real_Sales[[#This Row],[Price_current]])/Real_Sales[[#This Row],[Price_retail]]</f>
        <v>0</v>
      </c>
      <c r="W575" s="3" t="str" cm="1">
        <f t="array" ref="W57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75" s="2" t="str">
        <f>IF(Real_Sales[[#This Row],[Price_retail]]&gt;$AC$3,"Premium","Average")</f>
        <v>Average</v>
      </c>
      <c r="Y575" s="2" t="str">
        <f>IF(ISNUMBER(SEARCH("Basic",Real_Sales[[#This Row],[Product_name]])),"Yes","No")</f>
        <v>No</v>
      </c>
      <c r="Z575" s="2" cm="1">
        <f t="array" ref="Z575">_xlfn.IFS(Real_Sales[[#This Row],[Price_retail]]&lt;=15,1, Real_Sales[[#This Row],[Price_retail]]&lt;=30,2, Real_Sales[[#This Row],[Price_retail]]&lt;=50,3,Real_Sales[[#This Row],[Price_retail]]&gt;50,4)</f>
        <v>2</v>
      </c>
    </row>
    <row r="576" spans="1:26" x14ac:dyDescent="0.35">
      <c r="A576" s="2" t="s">
        <v>3314</v>
      </c>
      <c r="B576" s="2" t="s">
        <v>3315</v>
      </c>
      <c r="C576" s="2" t="s">
        <v>1010</v>
      </c>
      <c r="D576" s="2" t="s">
        <v>913</v>
      </c>
      <c r="E576" s="2" t="s">
        <v>4</v>
      </c>
      <c r="F576" s="2" t="s">
        <v>17</v>
      </c>
      <c r="G576" s="2" t="s">
        <v>18</v>
      </c>
      <c r="H576" s="2" t="s">
        <v>51</v>
      </c>
      <c r="I576" s="2" t="s">
        <v>3393</v>
      </c>
      <c r="J576" s="3">
        <v>18.45</v>
      </c>
      <c r="K576" s="3">
        <v>15.84</v>
      </c>
      <c r="L576" s="2" t="s">
        <v>8</v>
      </c>
      <c r="M576" s="2" t="s">
        <v>9</v>
      </c>
      <c r="N576" s="3">
        <v>613</v>
      </c>
      <c r="O576" s="2" t="s">
        <v>75</v>
      </c>
      <c r="P576" s="2" t="s">
        <v>76</v>
      </c>
      <c r="Q576" s="3"/>
      <c r="R576" s="3"/>
      <c r="S576" s="2" t="s">
        <v>21</v>
      </c>
      <c r="T576" s="4">
        <v>44955</v>
      </c>
      <c r="U576" s="2" t="s">
        <v>3316</v>
      </c>
      <c r="V576" s="6">
        <f>(Real_Sales[[#This Row],[Price_retail]]-Real_Sales[[#This Row],[Price_current]])/Real_Sales[[#This Row],[Price_retail]]</f>
        <v>0.14146341463414633</v>
      </c>
      <c r="W576" s="3" t="str" cm="1">
        <f t="array" ref="W57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576" s="2" t="str">
        <f>IF(Real_Sales[[#This Row],[Price_retail]]&gt;$AC$3,"Premium","Average")</f>
        <v>Average</v>
      </c>
      <c r="Y576" s="2" t="str">
        <f>IF(ISNUMBER(SEARCH("Basic",Real_Sales[[#This Row],[Product_name]])),"Yes","No")</f>
        <v>No</v>
      </c>
      <c r="Z576" s="2" cm="1">
        <f t="array" ref="Z576">_xlfn.IFS(Real_Sales[[#This Row],[Price_retail]]&lt;=15,1, Real_Sales[[#This Row],[Price_retail]]&lt;=30,2, Real_Sales[[#This Row],[Price_retail]]&lt;=50,3,Real_Sales[[#This Row],[Price_retail]]&gt;50,4)</f>
        <v>2</v>
      </c>
    </row>
    <row r="577" spans="1:26" x14ac:dyDescent="0.35">
      <c r="A577" s="2" t="s">
        <v>2572</v>
      </c>
      <c r="B577" s="2" t="s">
        <v>2573</v>
      </c>
      <c r="C577" s="2" t="s">
        <v>1115</v>
      </c>
      <c r="D577" s="2" t="s">
        <v>1495</v>
      </c>
      <c r="E577" s="2" t="s">
        <v>4</v>
      </c>
      <c r="F577" s="2" t="s">
        <v>5</v>
      </c>
      <c r="G577" s="2" t="s">
        <v>82</v>
      </c>
      <c r="H577" s="2" t="s">
        <v>35</v>
      </c>
      <c r="I577" s="2" t="s">
        <v>3390</v>
      </c>
      <c r="J577" s="3">
        <v>18.45</v>
      </c>
      <c r="K577" s="3">
        <v>18.45</v>
      </c>
      <c r="L577" s="2" t="s">
        <v>3391</v>
      </c>
      <c r="M577" s="2" t="s">
        <v>9</v>
      </c>
      <c r="N577" s="3">
        <v>419</v>
      </c>
      <c r="O577" s="2" t="s">
        <v>91</v>
      </c>
      <c r="P577" s="2" t="s">
        <v>221</v>
      </c>
      <c r="Q577" s="3"/>
      <c r="R577" s="3"/>
      <c r="S577" s="2" t="s">
        <v>12</v>
      </c>
      <c r="T577" s="4">
        <v>44955</v>
      </c>
      <c r="U577" s="2" t="s">
        <v>2574</v>
      </c>
      <c r="V577" s="6">
        <f>(Real_Sales[[#This Row],[Price_retail]]-Real_Sales[[#This Row],[Price_current]])/Real_Sales[[#This Row],[Price_retail]]</f>
        <v>0</v>
      </c>
      <c r="W577" s="3" t="str" cm="1">
        <f t="array" ref="W5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77" s="2" t="str">
        <f>IF(Real_Sales[[#This Row],[Price_retail]]&gt;$AC$3,"Premium","Average")</f>
        <v>Average</v>
      </c>
      <c r="Y577" s="2" t="str">
        <f>IF(ISNUMBER(SEARCH("Basic",Real_Sales[[#This Row],[Product_name]])),"Yes","No")</f>
        <v>No</v>
      </c>
      <c r="Z577" s="2" cm="1">
        <f t="array" ref="Z577">_xlfn.IFS(Real_Sales[[#This Row],[Price_retail]]&lt;=15,1, Real_Sales[[#This Row],[Price_retail]]&lt;=30,2, Real_Sales[[#This Row],[Price_retail]]&lt;=50,3,Real_Sales[[#This Row],[Price_retail]]&gt;50,4)</f>
        <v>2</v>
      </c>
    </row>
    <row r="578" spans="1:26" x14ac:dyDescent="0.35">
      <c r="A578" s="2" t="s">
        <v>2159</v>
      </c>
      <c r="B578" s="2" t="s">
        <v>2160</v>
      </c>
      <c r="C578" s="2" t="s">
        <v>265</v>
      </c>
      <c r="D578" s="2" t="s">
        <v>408</v>
      </c>
      <c r="E578" s="2" t="s">
        <v>4</v>
      </c>
      <c r="F578" s="2" t="s">
        <v>5</v>
      </c>
      <c r="G578" s="2" t="s">
        <v>6</v>
      </c>
      <c r="H578" s="2" t="s">
        <v>28</v>
      </c>
      <c r="I578" s="2" t="s">
        <v>3395</v>
      </c>
      <c r="J578" s="3">
        <v>18.47</v>
      </c>
      <c r="K578" s="3">
        <v>12.24</v>
      </c>
      <c r="L578" s="2" t="s">
        <v>8</v>
      </c>
      <c r="M578" s="2" t="s">
        <v>9</v>
      </c>
      <c r="N578" s="3">
        <v>508</v>
      </c>
      <c r="O578" s="2" t="s">
        <v>3392</v>
      </c>
      <c r="P578" s="2" t="s">
        <v>186</v>
      </c>
      <c r="Q578" s="3"/>
      <c r="R578" s="3"/>
      <c r="S578" s="2" t="s">
        <v>21</v>
      </c>
      <c r="T578" s="4">
        <v>44955</v>
      </c>
      <c r="U578" s="2" t="s">
        <v>2161</v>
      </c>
      <c r="V578" s="6">
        <f>(Real_Sales[[#This Row],[Price_retail]]-Real_Sales[[#This Row],[Price_current]])/Real_Sales[[#This Row],[Price_retail]]</f>
        <v>0.3373037357877639</v>
      </c>
      <c r="W578" s="3" t="str" cm="1">
        <f t="array" ref="W57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78" s="2" t="str">
        <f>IF(Real_Sales[[#This Row],[Price_retail]]&gt;$AC$3,"Premium","Average")</f>
        <v>Average</v>
      </c>
      <c r="Y578" s="2" t="str">
        <f>IF(ISNUMBER(SEARCH("Basic",Real_Sales[[#This Row],[Product_name]])),"Yes","No")</f>
        <v>No</v>
      </c>
      <c r="Z578" s="2" cm="1">
        <f t="array" ref="Z578">_xlfn.IFS(Real_Sales[[#This Row],[Price_retail]]&lt;=15,1, Real_Sales[[#This Row],[Price_retail]]&lt;=30,2, Real_Sales[[#This Row],[Price_retail]]&lt;=50,3,Real_Sales[[#This Row],[Price_retail]]&gt;50,4)</f>
        <v>2</v>
      </c>
    </row>
    <row r="579" spans="1:26" x14ac:dyDescent="0.35">
      <c r="A579" s="2" t="s">
        <v>1569</v>
      </c>
      <c r="B579" s="2" t="s">
        <v>1570</v>
      </c>
      <c r="C579" s="2" t="s">
        <v>41</v>
      </c>
      <c r="D579" s="2" t="s">
        <v>66</v>
      </c>
      <c r="E579" s="2" t="s">
        <v>4</v>
      </c>
      <c r="F579" s="2" t="s">
        <v>17</v>
      </c>
      <c r="G579" s="2" t="s">
        <v>50</v>
      </c>
      <c r="H579" s="2" t="s">
        <v>68</v>
      </c>
      <c r="I579" s="2" t="s">
        <v>3393</v>
      </c>
      <c r="J579" s="3">
        <v>18.47</v>
      </c>
      <c r="K579" s="3">
        <v>18.47</v>
      </c>
      <c r="L579" s="2" t="s">
        <v>3391</v>
      </c>
      <c r="M579" s="2" t="s">
        <v>9</v>
      </c>
      <c r="N579" s="3">
        <v>160</v>
      </c>
      <c r="O579" s="2" t="s">
        <v>29</v>
      </c>
      <c r="P579" s="2" t="s">
        <v>30</v>
      </c>
      <c r="Q579" s="3"/>
      <c r="R579" s="3"/>
      <c r="S579" s="2" t="s">
        <v>21</v>
      </c>
      <c r="T579" s="4">
        <v>44955</v>
      </c>
      <c r="U579" s="2" t="s">
        <v>1571</v>
      </c>
      <c r="V579" s="6">
        <f>(Real_Sales[[#This Row],[Price_retail]]-Real_Sales[[#This Row],[Price_current]])/Real_Sales[[#This Row],[Price_retail]]</f>
        <v>0</v>
      </c>
      <c r="W579" s="3" t="str" cm="1">
        <f t="array" ref="W5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79" s="2" t="str">
        <f>IF(Real_Sales[[#This Row],[Price_retail]]&gt;$AC$3,"Premium","Average")</f>
        <v>Average</v>
      </c>
      <c r="Y579" s="2" t="str">
        <f>IF(ISNUMBER(SEARCH("Basic",Real_Sales[[#This Row],[Product_name]])),"Yes","No")</f>
        <v>Yes</v>
      </c>
      <c r="Z579" s="2" cm="1">
        <f t="array" ref="Z579">_xlfn.IFS(Real_Sales[[#This Row],[Price_retail]]&lt;=15,1, Real_Sales[[#This Row],[Price_retail]]&lt;=30,2, Real_Sales[[#This Row],[Price_retail]]&lt;=50,3,Real_Sales[[#This Row],[Price_retail]]&gt;50,4)</f>
        <v>2</v>
      </c>
    </row>
    <row r="580" spans="1:26" x14ac:dyDescent="0.35">
      <c r="A580" s="2" t="s">
        <v>2817</v>
      </c>
      <c r="B580" s="2" t="s">
        <v>2818</v>
      </c>
      <c r="C580" s="2" t="s">
        <v>252</v>
      </c>
      <c r="D580" s="2" t="s">
        <v>474</v>
      </c>
      <c r="E580" s="2" t="s">
        <v>4</v>
      </c>
      <c r="F580" s="2" t="s">
        <v>17</v>
      </c>
      <c r="G580" s="2" t="s">
        <v>50</v>
      </c>
      <c r="H580" s="2" t="s">
        <v>83</v>
      </c>
      <c r="I580" s="2" t="s">
        <v>3390</v>
      </c>
      <c r="J580" s="3">
        <v>18.489999999999998</v>
      </c>
      <c r="K580" s="3">
        <v>12.21</v>
      </c>
      <c r="L580" s="2" t="s">
        <v>8</v>
      </c>
      <c r="M580" s="2" t="s">
        <v>9</v>
      </c>
      <c r="N580" s="3">
        <v>496</v>
      </c>
      <c r="O580" s="2" t="s">
        <v>267</v>
      </c>
      <c r="P580" s="2" t="s">
        <v>92</v>
      </c>
      <c r="Q580" s="3"/>
      <c r="R580" s="3"/>
      <c r="S580" s="2" t="s">
        <v>21</v>
      </c>
      <c r="T580" s="4">
        <v>44955</v>
      </c>
      <c r="U580" s="2" t="s">
        <v>2819</v>
      </c>
      <c r="V580" s="6">
        <f>(Real_Sales[[#This Row],[Price_retail]]-Real_Sales[[#This Row],[Price_current]])/Real_Sales[[#This Row],[Price_retail]]</f>
        <v>0.339643050297458</v>
      </c>
      <c r="W580" s="3" t="str" cm="1">
        <f t="array" ref="W58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80" s="2" t="str">
        <f>IF(Real_Sales[[#This Row],[Price_retail]]&gt;$AC$3,"Premium","Average")</f>
        <v>Average</v>
      </c>
      <c r="Y580" s="2" t="str">
        <f>IF(ISNUMBER(SEARCH("Basic",Real_Sales[[#This Row],[Product_name]])),"Yes","No")</f>
        <v>No</v>
      </c>
      <c r="Z580" s="2" cm="1">
        <f t="array" ref="Z580">_xlfn.IFS(Real_Sales[[#This Row],[Price_retail]]&lt;=15,1, Real_Sales[[#This Row],[Price_retail]]&lt;=30,2, Real_Sales[[#This Row],[Price_retail]]&lt;=50,3,Real_Sales[[#This Row],[Price_retail]]&gt;50,4)</f>
        <v>2</v>
      </c>
    </row>
    <row r="581" spans="1:26" x14ac:dyDescent="0.35">
      <c r="A581" s="2" t="s">
        <v>1637</v>
      </c>
      <c r="B581" s="2" t="s">
        <v>1638</v>
      </c>
      <c r="C581" s="2" t="s">
        <v>102</v>
      </c>
      <c r="D581" s="2" t="s">
        <v>1147</v>
      </c>
      <c r="E581" s="2" t="s">
        <v>4</v>
      </c>
      <c r="F581" s="2" t="s">
        <v>5</v>
      </c>
      <c r="G581" s="2" t="s">
        <v>121</v>
      </c>
      <c r="H581" s="2" t="s">
        <v>51</v>
      </c>
      <c r="I581" s="2" t="s">
        <v>3395</v>
      </c>
      <c r="J581" s="3">
        <v>18.57</v>
      </c>
      <c r="K581" s="3">
        <v>18.57</v>
      </c>
      <c r="L581" s="2" t="s">
        <v>3391</v>
      </c>
      <c r="M581" s="2" t="s">
        <v>9</v>
      </c>
      <c r="N581" s="3">
        <v>840</v>
      </c>
      <c r="O581" s="2" t="s">
        <v>91</v>
      </c>
      <c r="P581" s="2" t="s">
        <v>177</v>
      </c>
      <c r="Q581" s="3"/>
      <c r="R581" s="3"/>
      <c r="S581" s="2" t="s">
        <v>21</v>
      </c>
      <c r="T581" s="4">
        <v>44955</v>
      </c>
      <c r="U581" s="2" t="s">
        <v>1639</v>
      </c>
      <c r="V581" s="6">
        <f>(Real_Sales[[#This Row],[Price_retail]]-Real_Sales[[#This Row],[Price_current]])/Real_Sales[[#This Row],[Price_retail]]</f>
        <v>0</v>
      </c>
      <c r="W581" s="3" t="str" cm="1">
        <f t="array" ref="W58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81" s="2" t="str">
        <f>IF(Real_Sales[[#This Row],[Price_retail]]&gt;$AC$3,"Premium","Average")</f>
        <v>Average</v>
      </c>
      <c r="Y581" s="2" t="str">
        <f>IF(ISNUMBER(SEARCH("Basic",Real_Sales[[#This Row],[Product_name]])),"Yes","No")</f>
        <v>Yes</v>
      </c>
      <c r="Z581" s="2" cm="1">
        <f t="array" ref="Z581">_xlfn.IFS(Real_Sales[[#This Row],[Price_retail]]&lt;=15,1, Real_Sales[[#This Row],[Price_retail]]&lt;=30,2, Real_Sales[[#This Row],[Price_retail]]&lt;=50,3,Real_Sales[[#This Row],[Price_retail]]&gt;50,4)</f>
        <v>2</v>
      </c>
    </row>
    <row r="582" spans="1:26" x14ac:dyDescent="0.35">
      <c r="A582" s="2" t="s">
        <v>94</v>
      </c>
      <c r="B582" s="2" t="s">
        <v>95</v>
      </c>
      <c r="C582" s="2" t="s">
        <v>96</v>
      </c>
      <c r="D582" s="2" t="s">
        <v>97</v>
      </c>
      <c r="E582" s="2" t="s">
        <v>4</v>
      </c>
      <c r="F582" s="2" t="s">
        <v>5</v>
      </c>
      <c r="G582" s="2" t="s">
        <v>82</v>
      </c>
      <c r="H582" s="2" t="s">
        <v>90</v>
      </c>
      <c r="I582" s="2" t="s">
        <v>3393</v>
      </c>
      <c r="J582" s="3">
        <v>18.59</v>
      </c>
      <c r="K582" s="3">
        <v>13.08</v>
      </c>
      <c r="L582" s="2" t="s">
        <v>8</v>
      </c>
      <c r="M582" s="2" t="s">
        <v>9</v>
      </c>
      <c r="N582" s="3">
        <v>793</v>
      </c>
      <c r="O582" s="2" t="s">
        <v>98</v>
      </c>
      <c r="P582" s="2" t="s">
        <v>76</v>
      </c>
      <c r="Q582" s="3"/>
      <c r="R582" s="3"/>
      <c r="S582" s="2" t="s">
        <v>21</v>
      </c>
      <c r="T582" s="4">
        <v>44955</v>
      </c>
      <c r="U582" s="2" t="s">
        <v>99</v>
      </c>
      <c r="V582" s="6">
        <f>(Real_Sales[[#This Row],[Price_retail]]-Real_Sales[[#This Row],[Price_current]])/Real_Sales[[#This Row],[Price_retail]]</f>
        <v>0.29639591178052715</v>
      </c>
      <c r="W582" s="3" t="str" cm="1">
        <f t="array" ref="W58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82" s="2" t="str">
        <f>IF(Real_Sales[[#This Row],[Price_retail]]&gt;$AC$3,"Premium","Average")</f>
        <v>Average</v>
      </c>
      <c r="Y582" s="2" t="str">
        <f>IF(ISNUMBER(SEARCH("Basic",Real_Sales[[#This Row],[Product_name]])),"Yes","No")</f>
        <v>No</v>
      </c>
      <c r="Z582" s="2" cm="1">
        <f t="array" ref="Z582">_xlfn.IFS(Real_Sales[[#This Row],[Price_retail]]&lt;=15,1, Real_Sales[[#This Row],[Price_retail]]&lt;=30,2, Real_Sales[[#This Row],[Price_retail]]&lt;=50,3,Real_Sales[[#This Row],[Price_retail]]&gt;50,4)</f>
        <v>2</v>
      </c>
    </row>
    <row r="583" spans="1:26" x14ac:dyDescent="0.35">
      <c r="A583" s="2" t="s">
        <v>1802</v>
      </c>
      <c r="B583" s="2" t="s">
        <v>1803</v>
      </c>
      <c r="C583" s="2" t="s">
        <v>412</v>
      </c>
      <c r="D583" s="2" t="s">
        <v>327</v>
      </c>
      <c r="E583" s="2" t="s">
        <v>4</v>
      </c>
      <c r="F583" s="2" t="s">
        <v>5</v>
      </c>
      <c r="G583" s="2" t="s">
        <v>121</v>
      </c>
      <c r="H583" s="2" t="s">
        <v>110</v>
      </c>
      <c r="I583" s="2" t="s">
        <v>3393</v>
      </c>
      <c r="J583" s="3">
        <v>18.62</v>
      </c>
      <c r="K583" s="3">
        <v>7.76</v>
      </c>
      <c r="L583" s="2" t="s">
        <v>8</v>
      </c>
      <c r="M583" s="2" t="s">
        <v>9</v>
      </c>
      <c r="N583" s="3">
        <v>784</v>
      </c>
      <c r="O583" s="2" t="s">
        <v>52</v>
      </c>
      <c r="P583" s="2" t="s">
        <v>169</v>
      </c>
      <c r="Q583" s="3"/>
      <c r="R583" s="3"/>
      <c r="S583" s="2" t="s">
        <v>12</v>
      </c>
      <c r="T583" s="4">
        <v>44955</v>
      </c>
      <c r="U583" s="2" t="s">
        <v>1804</v>
      </c>
      <c r="V583" s="6">
        <f>(Real_Sales[[#This Row],[Price_retail]]-Real_Sales[[#This Row],[Price_current]])/Real_Sales[[#This Row],[Price_retail]]</f>
        <v>0.58324382384532769</v>
      </c>
      <c r="W583" s="3" t="str" cm="1">
        <f t="array" ref="W58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583" s="2" t="str">
        <f>IF(Real_Sales[[#This Row],[Price_retail]]&gt;$AC$3,"Premium","Average")</f>
        <v>Average</v>
      </c>
      <c r="Y583" s="2" t="str">
        <f>IF(ISNUMBER(SEARCH("Basic",Real_Sales[[#This Row],[Product_name]])),"Yes","No")</f>
        <v>No</v>
      </c>
      <c r="Z583" s="2" cm="1">
        <f t="array" ref="Z583">_xlfn.IFS(Real_Sales[[#This Row],[Price_retail]]&lt;=15,1, Real_Sales[[#This Row],[Price_retail]]&lt;=30,2, Real_Sales[[#This Row],[Price_retail]]&lt;=50,3,Real_Sales[[#This Row],[Price_retail]]&gt;50,4)</f>
        <v>2</v>
      </c>
    </row>
    <row r="584" spans="1:26" x14ac:dyDescent="0.35">
      <c r="A584" s="2" t="s">
        <v>1005</v>
      </c>
      <c r="B584" s="2" t="s">
        <v>1006</v>
      </c>
      <c r="C584" s="2" t="s">
        <v>108</v>
      </c>
      <c r="D584" s="2" t="s">
        <v>388</v>
      </c>
      <c r="E584" s="2" t="s">
        <v>4</v>
      </c>
      <c r="F584" s="2" t="s">
        <v>17</v>
      </c>
      <c r="G584" s="2" t="s">
        <v>27</v>
      </c>
      <c r="H584" s="2" t="s">
        <v>168</v>
      </c>
      <c r="I584" s="2" t="s">
        <v>3390</v>
      </c>
      <c r="J584" s="3">
        <v>18.62</v>
      </c>
      <c r="K584" s="3">
        <v>18.62</v>
      </c>
      <c r="L584" s="2" t="s">
        <v>3391</v>
      </c>
      <c r="M584" s="2" t="s">
        <v>9</v>
      </c>
      <c r="N584" s="3">
        <v>909</v>
      </c>
      <c r="O584" s="2" t="s">
        <v>302</v>
      </c>
      <c r="P584" s="2" t="s">
        <v>3392</v>
      </c>
      <c r="Q584" s="3"/>
      <c r="R584" s="3"/>
      <c r="S584" s="2" t="s">
        <v>21</v>
      </c>
      <c r="T584" s="4">
        <v>44955</v>
      </c>
      <c r="U584" s="2" t="s">
        <v>1007</v>
      </c>
      <c r="V584" s="6">
        <f>(Real_Sales[[#This Row],[Price_retail]]-Real_Sales[[#This Row],[Price_current]])/Real_Sales[[#This Row],[Price_retail]]</f>
        <v>0</v>
      </c>
      <c r="W584" s="3" t="str" cm="1">
        <f t="array" ref="W5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84" s="2" t="str">
        <f>IF(Real_Sales[[#This Row],[Price_retail]]&gt;$AC$3,"Premium","Average")</f>
        <v>Average</v>
      </c>
      <c r="Y584" s="2" t="str">
        <f>IF(ISNUMBER(SEARCH("Basic",Real_Sales[[#This Row],[Product_name]])),"Yes","No")</f>
        <v>No</v>
      </c>
      <c r="Z584" s="2" cm="1">
        <f t="array" ref="Z584">_xlfn.IFS(Real_Sales[[#This Row],[Price_retail]]&lt;=15,1, Real_Sales[[#This Row],[Price_retail]]&lt;=30,2, Real_Sales[[#This Row],[Price_retail]]&lt;=50,3,Real_Sales[[#This Row],[Price_retail]]&gt;50,4)</f>
        <v>2</v>
      </c>
    </row>
    <row r="585" spans="1:26" x14ac:dyDescent="0.35">
      <c r="A585" s="2" t="s">
        <v>767</v>
      </c>
      <c r="B585" s="2" t="s">
        <v>768</v>
      </c>
      <c r="C585" s="2" t="s">
        <v>569</v>
      </c>
      <c r="D585" s="2" t="s">
        <v>769</v>
      </c>
      <c r="E585" s="2" t="s">
        <v>4</v>
      </c>
      <c r="F585" s="2" t="s">
        <v>17</v>
      </c>
      <c r="G585" s="2" t="s">
        <v>27</v>
      </c>
      <c r="H585" s="2" t="s">
        <v>35</v>
      </c>
      <c r="I585" s="2" t="s">
        <v>3390</v>
      </c>
      <c r="J585" s="3">
        <v>18.63</v>
      </c>
      <c r="K585" s="3">
        <v>18.63</v>
      </c>
      <c r="L585" s="2" t="s">
        <v>3391</v>
      </c>
      <c r="M585" s="2" t="s">
        <v>9</v>
      </c>
      <c r="N585" s="3">
        <v>673</v>
      </c>
      <c r="O585" s="2" t="s">
        <v>104</v>
      </c>
      <c r="P585" s="2" t="s">
        <v>84</v>
      </c>
      <c r="Q585" s="3"/>
      <c r="R585" s="3"/>
      <c r="S585" s="2" t="s">
        <v>21</v>
      </c>
      <c r="T585" s="4">
        <v>44955</v>
      </c>
      <c r="U585" s="2" t="s">
        <v>770</v>
      </c>
      <c r="V585" s="6">
        <f>(Real_Sales[[#This Row],[Price_retail]]-Real_Sales[[#This Row],[Price_current]])/Real_Sales[[#This Row],[Price_retail]]</f>
        <v>0</v>
      </c>
      <c r="W585" s="3" t="str" cm="1">
        <f t="array" ref="W58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85" s="2" t="str">
        <f>IF(Real_Sales[[#This Row],[Price_retail]]&gt;$AC$3,"Premium","Average")</f>
        <v>Average</v>
      </c>
      <c r="Y585" s="2" t="str">
        <f>IF(ISNUMBER(SEARCH("Basic",Real_Sales[[#This Row],[Product_name]])),"Yes","No")</f>
        <v>Yes</v>
      </c>
      <c r="Z585" s="2" cm="1">
        <f t="array" ref="Z585">_xlfn.IFS(Real_Sales[[#This Row],[Price_retail]]&lt;=15,1, Real_Sales[[#This Row],[Price_retail]]&lt;=30,2, Real_Sales[[#This Row],[Price_retail]]&lt;=50,3,Real_Sales[[#This Row],[Price_retail]]&gt;50,4)</f>
        <v>2</v>
      </c>
    </row>
    <row r="586" spans="1:26" x14ac:dyDescent="0.35">
      <c r="A586" s="2" t="s">
        <v>2575</v>
      </c>
      <c r="B586" s="2" t="s">
        <v>2576</v>
      </c>
      <c r="C586" s="2" t="s">
        <v>65</v>
      </c>
      <c r="D586" s="2" t="s">
        <v>127</v>
      </c>
      <c r="E586" s="2" t="s">
        <v>4</v>
      </c>
      <c r="F586" s="2" t="s">
        <v>5</v>
      </c>
      <c r="G586" s="2" t="s">
        <v>82</v>
      </c>
      <c r="H586" s="2" t="s">
        <v>110</v>
      </c>
      <c r="I586" s="2" t="s">
        <v>3390</v>
      </c>
      <c r="J586" s="3">
        <v>18.68</v>
      </c>
      <c r="K586" s="3">
        <v>18.68</v>
      </c>
      <c r="L586" s="2" t="s">
        <v>3391</v>
      </c>
      <c r="M586" s="2" t="s">
        <v>9</v>
      </c>
      <c r="N586" s="3">
        <v>43</v>
      </c>
      <c r="O586" s="2" t="s">
        <v>36</v>
      </c>
      <c r="P586" s="2" t="s">
        <v>3392</v>
      </c>
      <c r="Q586" s="3"/>
      <c r="R586" s="3"/>
      <c r="S586" s="2" t="s">
        <v>21</v>
      </c>
      <c r="T586" s="4">
        <v>44955</v>
      </c>
      <c r="U586" s="2" t="s">
        <v>2577</v>
      </c>
      <c r="V586" s="6">
        <f>(Real_Sales[[#This Row],[Price_retail]]-Real_Sales[[#This Row],[Price_current]])/Real_Sales[[#This Row],[Price_retail]]</f>
        <v>0</v>
      </c>
      <c r="W586" s="3" t="str" cm="1">
        <f t="array" ref="W58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86" s="2" t="str">
        <f>IF(Real_Sales[[#This Row],[Price_retail]]&gt;$AC$3,"Premium","Average")</f>
        <v>Average</v>
      </c>
      <c r="Y586" s="2" t="str">
        <f>IF(ISNUMBER(SEARCH("Basic",Real_Sales[[#This Row],[Product_name]])),"Yes","No")</f>
        <v>No</v>
      </c>
      <c r="Z586" s="2" cm="1">
        <f t="array" ref="Z586">_xlfn.IFS(Real_Sales[[#This Row],[Price_retail]]&lt;=15,1, Real_Sales[[#This Row],[Price_retail]]&lt;=30,2, Real_Sales[[#This Row],[Price_retail]]&lt;=50,3,Real_Sales[[#This Row],[Price_retail]]&gt;50,4)</f>
        <v>2</v>
      </c>
    </row>
    <row r="587" spans="1:26" x14ac:dyDescent="0.35">
      <c r="A587" s="2" t="s">
        <v>1668</v>
      </c>
      <c r="B587" s="2" t="s">
        <v>1669</v>
      </c>
      <c r="C587" s="2" t="s">
        <v>1670</v>
      </c>
      <c r="D587" s="2" t="s">
        <v>272</v>
      </c>
      <c r="E587" s="2" t="s">
        <v>4</v>
      </c>
      <c r="F587" s="2" t="s">
        <v>5</v>
      </c>
      <c r="G587" s="2" t="s">
        <v>82</v>
      </c>
      <c r="H587" s="2" t="s">
        <v>51</v>
      </c>
      <c r="I587" s="2" t="s">
        <v>3395</v>
      </c>
      <c r="J587" s="3">
        <v>18.71</v>
      </c>
      <c r="K587" s="3">
        <v>12.05</v>
      </c>
      <c r="L587" s="2" t="s">
        <v>8</v>
      </c>
      <c r="M587" s="2" t="s">
        <v>9</v>
      </c>
      <c r="N587" s="3">
        <v>36</v>
      </c>
      <c r="O587" s="2" t="s">
        <v>36</v>
      </c>
      <c r="P587" s="2" t="s">
        <v>76</v>
      </c>
      <c r="Q587" s="3"/>
      <c r="R587" s="3"/>
      <c r="S587" s="2" t="s">
        <v>21</v>
      </c>
      <c r="T587" s="4">
        <v>44955</v>
      </c>
      <c r="U587" s="2" t="s">
        <v>1671</v>
      </c>
      <c r="V587" s="6">
        <f>(Real_Sales[[#This Row],[Price_retail]]-Real_Sales[[#This Row],[Price_current]])/Real_Sales[[#This Row],[Price_retail]]</f>
        <v>0.35595938001068944</v>
      </c>
      <c r="W587" s="3" t="str" cm="1">
        <f t="array" ref="W58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87" s="2" t="str">
        <f>IF(Real_Sales[[#This Row],[Price_retail]]&gt;$AC$3,"Premium","Average")</f>
        <v>Average</v>
      </c>
      <c r="Y587" s="2" t="str">
        <f>IF(ISNUMBER(SEARCH("Basic",Real_Sales[[#This Row],[Product_name]])),"Yes","No")</f>
        <v>No</v>
      </c>
      <c r="Z587" s="2" cm="1">
        <f t="array" ref="Z587">_xlfn.IFS(Real_Sales[[#This Row],[Price_retail]]&lt;=15,1, Real_Sales[[#This Row],[Price_retail]]&lt;=30,2, Real_Sales[[#This Row],[Price_retail]]&lt;=50,3,Real_Sales[[#This Row],[Price_retail]]&gt;50,4)</f>
        <v>2</v>
      </c>
    </row>
    <row r="588" spans="1:26" x14ac:dyDescent="0.35">
      <c r="A588" s="2" t="s">
        <v>1741</v>
      </c>
      <c r="B588" s="2" t="s">
        <v>1742</v>
      </c>
      <c r="C588" s="2" t="s">
        <v>1743</v>
      </c>
      <c r="D588" s="2" t="s">
        <v>711</v>
      </c>
      <c r="E588" s="2" t="s">
        <v>4</v>
      </c>
      <c r="F588" s="2" t="s">
        <v>17</v>
      </c>
      <c r="G588" s="2" t="s">
        <v>27</v>
      </c>
      <c r="H588" s="2" t="s">
        <v>83</v>
      </c>
      <c r="I588" s="2" t="s">
        <v>3390</v>
      </c>
      <c r="J588" s="3">
        <v>18.75</v>
      </c>
      <c r="K588" s="3">
        <v>18.75</v>
      </c>
      <c r="L588" s="2" t="s">
        <v>3391</v>
      </c>
      <c r="M588" s="2" t="s">
        <v>9</v>
      </c>
      <c r="N588" s="3">
        <v>556</v>
      </c>
      <c r="O588" s="2" t="s">
        <v>52</v>
      </c>
      <c r="P588" s="2" t="s">
        <v>169</v>
      </c>
      <c r="Q588" s="3"/>
      <c r="R588" s="3"/>
      <c r="S588" s="2" t="s">
        <v>21</v>
      </c>
      <c r="T588" s="4">
        <v>44955</v>
      </c>
      <c r="U588" s="2" t="s">
        <v>1744</v>
      </c>
      <c r="V588" s="6">
        <f>(Real_Sales[[#This Row],[Price_retail]]-Real_Sales[[#This Row],[Price_current]])/Real_Sales[[#This Row],[Price_retail]]</f>
        <v>0</v>
      </c>
      <c r="W588" s="3" t="str" cm="1">
        <f t="array" ref="W58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88" s="2" t="str">
        <f>IF(Real_Sales[[#This Row],[Price_retail]]&gt;$AC$3,"Premium","Average")</f>
        <v>Average</v>
      </c>
      <c r="Y588" s="2" t="str">
        <f>IF(ISNUMBER(SEARCH("Basic",Real_Sales[[#This Row],[Product_name]])),"Yes","No")</f>
        <v>No</v>
      </c>
      <c r="Z588" s="2" cm="1">
        <f t="array" ref="Z588">_xlfn.IFS(Real_Sales[[#This Row],[Price_retail]]&lt;=15,1, Real_Sales[[#This Row],[Price_retail]]&lt;=30,2, Real_Sales[[#This Row],[Price_retail]]&lt;=50,3,Real_Sales[[#This Row],[Price_retail]]&gt;50,4)</f>
        <v>2</v>
      </c>
    </row>
    <row r="589" spans="1:26" x14ac:dyDescent="0.35">
      <c r="A589" s="2" t="s">
        <v>2635</v>
      </c>
      <c r="B589" s="2" t="s">
        <v>2636</v>
      </c>
      <c r="C589" s="2" t="s">
        <v>1086</v>
      </c>
      <c r="D589" s="2" t="s">
        <v>485</v>
      </c>
      <c r="E589" s="2" t="s">
        <v>4</v>
      </c>
      <c r="F589" s="2" t="s">
        <v>17</v>
      </c>
      <c r="G589" s="2" t="s">
        <v>50</v>
      </c>
      <c r="H589" s="2" t="s">
        <v>185</v>
      </c>
      <c r="I589" s="2" t="s">
        <v>3393</v>
      </c>
      <c r="J589" s="3">
        <v>18.850000000000001</v>
      </c>
      <c r="K589" s="3">
        <v>17.53</v>
      </c>
      <c r="L589" s="2" t="s">
        <v>8</v>
      </c>
      <c r="M589" s="2" t="s">
        <v>9</v>
      </c>
      <c r="N589" s="3">
        <v>262</v>
      </c>
      <c r="O589" s="2" t="s">
        <v>10</v>
      </c>
      <c r="P589" s="2" t="s">
        <v>76</v>
      </c>
      <c r="Q589" s="3"/>
      <c r="R589" s="3"/>
      <c r="S589" s="2" t="s">
        <v>21</v>
      </c>
      <c r="T589" s="4">
        <v>44955</v>
      </c>
      <c r="U589" s="2" t="s">
        <v>2637</v>
      </c>
      <c r="V589" s="6">
        <f>(Real_Sales[[#This Row],[Price_retail]]-Real_Sales[[#This Row],[Price_current]])/Real_Sales[[#This Row],[Price_retail]]</f>
        <v>7.0026525198938996E-2</v>
      </c>
      <c r="W589" s="3" t="str" cm="1">
        <f t="array" ref="W58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589" s="2" t="str">
        <f>IF(Real_Sales[[#This Row],[Price_retail]]&gt;$AC$3,"Premium","Average")</f>
        <v>Average</v>
      </c>
      <c r="Y589" s="2" t="str">
        <f>IF(ISNUMBER(SEARCH("Basic",Real_Sales[[#This Row],[Product_name]])),"Yes","No")</f>
        <v>Yes</v>
      </c>
      <c r="Z589" s="2" cm="1">
        <f t="array" ref="Z589">_xlfn.IFS(Real_Sales[[#This Row],[Price_retail]]&lt;=15,1, Real_Sales[[#This Row],[Price_retail]]&lt;=30,2, Real_Sales[[#This Row],[Price_retail]]&lt;=50,3,Real_Sales[[#This Row],[Price_retail]]&gt;50,4)</f>
        <v>2</v>
      </c>
    </row>
    <row r="590" spans="1:26" x14ac:dyDescent="0.35">
      <c r="A590" s="2" t="s">
        <v>3173</v>
      </c>
      <c r="B590" s="2" t="s">
        <v>3174</v>
      </c>
      <c r="C590" s="2" t="s">
        <v>3410</v>
      </c>
      <c r="D590" s="2" t="s">
        <v>3432</v>
      </c>
      <c r="E590" s="2" t="s">
        <v>4</v>
      </c>
      <c r="F590" s="2" t="s">
        <v>17</v>
      </c>
      <c r="G590" s="2" t="s">
        <v>18</v>
      </c>
      <c r="H590" s="2" t="s">
        <v>90</v>
      </c>
      <c r="I590" s="2" t="s">
        <v>3395</v>
      </c>
      <c r="J590" s="3">
        <v>18.86</v>
      </c>
      <c r="K590" s="3">
        <v>18.86</v>
      </c>
      <c r="L590" s="2" t="s">
        <v>3391</v>
      </c>
      <c r="M590" s="2" t="s">
        <v>9</v>
      </c>
      <c r="N590" s="3">
        <v>877</v>
      </c>
      <c r="O590" s="2" t="s">
        <v>36</v>
      </c>
      <c r="P590" s="2" t="s">
        <v>186</v>
      </c>
      <c r="Q590" s="3"/>
      <c r="R590" s="3"/>
      <c r="S590" s="2" t="s">
        <v>21</v>
      </c>
      <c r="T590" s="4">
        <v>44955</v>
      </c>
      <c r="U590" s="2" t="s">
        <v>3175</v>
      </c>
      <c r="V590" s="6">
        <f>(Real_Sales[[#This Row],[Price_retail]]-Real_Sales[[#This Row],[Price_current]])/Real_Sales[[#This Row],[Price_retail]]</f>
        <v>0</v>
      </c>
      <c r="W590" s="3" t="str" cm="1">
        <f t="array" ref="W59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0" s="2" t="str">
        <f>IF(Real_Sales[[#This Row],[Price_retail]]&gt;$AC$3,"Premium","Average")</f>
        <v>Average</v>
      </c>
      <c r="Y590" s="2" t="str">
        <f>IF(ISNUMBER(SEARCH("Basic",Real_Sales[[#This Row],[Product_name]])),"Yes","No")</f>
        <v>No</v>
      </c>
      <c r="Z590" s="2" cm="1">
        <f t="array" ref="Z590">_xlfn.IFS(Real_Sales[[#This Row],[Price_retail]]&lt;=15,1, Real_Sales[[#This Row],[Price_retail]]&lt;=30,2, Real_Sales[[#This Row],[Price_retail]]&lt;=50,3,Real_Sales[[#This Row],[Price_retail]]&gt;50,4)</f>
        <v>2</v>
      </c>
    </row>
    <row r="591" spans="1:26" x14ac:dyDescent="0.35">
      <c r="A591" s="2" t="s">
        <v>1551</v>
      </c>
      <c r="B591" s="2" t="s">
        <v>1552</v>
      </c>
      <c r="C591" s="2" t="s">
        <v>412</v>
      </c>
      <c r="D591" s="2" t="s">
        <v>674</v>
      </c>
      <c r="E591" s="2" t="s">
        <v>4</v>
      </c>
      <c r="F591" s="2" t="s">
        <v>5</v>
      </c>
      <c r="G591" s="2" t="s">
        <v>82</v>
      </c>
      <c r="H591" s="2" t="s">
        <v>333</v>
      </c>
      <c r="I591" s="2" t="s">
        <v>3393</v>
      </c>
      <c r="J591" s="3">
        <v>18.88</v>
      </c>
      <c r="K591" s="3">
        <v>18.88</v>
      </c>
      <c r="L591" s="2" t="s">
        <v>3391</v>
      </c>
      <c r="M591" s="2" t="s">
        <v>9</v>
      </c>
      <c r="N591" s="3">
        <v>946</v>
      </c>
      <c r="O591" s="2" t="s">
        <v>140</v>
      </c>
      <c r="P591" s="2" t="s">
        <v>84</v>
      </c>
      <c r="Q591" s="3"/>
      <c r="R591" s="3"/>
      <c r="S591" s="2" t="s">
        <v>21</v>
      </c>
      <c r="T591" s="4">
        <v>44955</v>
      </c>
      <c r="U591" s="2" t="s">
        <v>1553</v>
      </c>
      <c r="V591" s="6">
        <f>(Real_Sales[[#This Row],[Price_retail]]-Real_Sales[[#This Row],[Price_current]])/Real_Sales[[#This Row],[Price_retail]]</f>
        <v>0</v>
      </c>
      <c r="W591" s="3" t="str" cm="1">
        <f t="array" ref="W59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1" s="2" t="str">
        <f>IF(Real_Sales[[#This Row],[Price_retail]]&gt;$AC$3,"Premium","Average")</f>
        <v>Average</v>
      </c>
      <c r="Y591" s="2" t="str">
        <f>IF(ISNUMBER(SEARCH("Basic",Real_Sales[[#This Row],[Product_name]])),"Yes","No")</f>
        <v>No</v>
      </c>
      <c r="Z591" s="2" cm="1">
        <f t="array" ref="Z591">_xlfn.IFS(Real_Sales[[#This Row],[Price_retail]]&lt;=15,1, Real_Sales[[#This Row],[Price_retail]]&lt;=30,2, Real_Sales[[#This Row],[Price_retail]]&lt;=50,3,Real_Sales[[#This Row],[Price_retail]]&gt;50,4)</f>
        <v>2</v>
      </c>
    </row>
    <row r="592" spans="1:26" x14ac:dyDescent="0.35">
      <c r="A592" s="2" t="s">
        <v>2626</v>
      </c>
      <c r="B592" s="2" t="s">
        <v>2627</v>
      </c>
      <c r="C592" s="2" t="s">
        <v>3398</v>
      </c>
      <c r="D592" s="2" t="s">
        <v>372</v>
      </c>
      <c r="E592" s="2" t="s">
        <v>4</v>
      </c>
      <c r="F592" s="2" t="s">
        <v>5</v>
      </c>
      <c r="G592" s="2" t="s">
        <v>6</v>
      </c>
      <c r="H592" s="2" t="s">
        <v>134</v>
      </c>
      <c r="I592" s="2" t="s">
        <v>3390</v>
      </c>
      <c r="J592" s="3">
        <v>18.88</v>
      </c>
      <c r="K592" s="3">
        <v>18.88</v>
      </c>
      <c r="L592" s="2" t="s">
        <v>3391</v>
      </c>
      <c r="M592" s="2" t="s">
        <v>9</v>
      </c>
      <c r="N592" s="3">
        <v>245</v>
      </c>
      <c r="O592" s="2" t="s">
        <v>359</v>
      </c>
      <c r="P592" s="2" t="s">
        <v>553</v>
      </c>
      <c r="Q592" s="3"/>
      <c r="R592" s="3"/>
      <c r="S592" s="2" t="s">
        <v>12</v>
      </c>
      <c r="T592" s="4">
        <v>44955</v>
      </c>
      <c r="U592" s="2" t="s">
        <v>2628</v>
      </c>
      <c r="V592" s="6">
        <f>(Real_Sales[[#This Row],[Price_retail]]-Real_Sales[[#This Row],[Price_current]])/Real_Sales[[#This Row],[Price_retail]]</f>
        <v>0</v>
      </c>
      <c r="W592" s="3" t="str" cm="1">
        <f t="array" ref="W5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2" s="2" t="str">
        <f>IF(Real_Sales[[#This Row],[Price_retail]]&gt;$AC$3,"Premium","Average")</f>
        <v>Average</v>
      </c>
      <c r="Y592" s="2" t="str">
        <f>IF(ISNUMBER(SEARCH("Basic",Real_Sales[[#This Row],[Product_name]])),"Yes","No")</f>
        <v>No</v>
      </c>
      <c r="Z592" s="2" cm="1">
        <f t="array" ref="Z592">_xlfn.IFS(Real_Sales[[#This Row],[Price_retail]]&lt;=15,1, Real_Sales[[#This Row],[Price_retail]]&lt;=30,2, Real_Sales[[#This Row],[Price_retail]]&lt;=50,3,Real_Sales[[#This Row],[Price_retail]]&gt;50,4)</f>
        <v>2</v>
      </c>
    </row>
    <row r="593" spans="1:26" x14ac:dyDescent="0.35">
      <c r="A593" s="2" t="s">
        <v>799</v>
      </c>
      <c r="B593" s="2" t="s">
        <v>800</v>
      </c>
      <c r="C593" s="2" t="s">
        <v>65</v>
      </c>
      <c r="D593" s="2" t="s">
        <v>81</v>
      </c>
      <c r="E593" s="2" t="s">
        <v>4</v>
      </c>
      <c r="F593" s="2" t="s">
        <v>5</v>
      </c>
      <c r="G593" s="2" t="s">
        <v>121</v>
      </c>
      <c r="H593" s="2" t="s">
        <v>83</v>
      </c>
      <c r="I593" s="2" t="s">
        <v>3390</v>
      </c>
      <c r="J593" s="3">
        <v>18.89</v>
      </c>
      <c r="K593" s="3">
        <v>18.89</v>
      </c>
      <c r="L593" s="2" t="s">
        <v>3391</v>
      </c>
      <c r="M593" s="2" t="s">
        <v>9</v>
      </c>
      <c r="N593" s="3">
        <v>541</v>
      </c>
      <c r="O593" s="2" t="s">
        <v>10</v>
      </c>
      <c r="P593" s="2" t="s">
        <v>70</v>
      </c>
      <c r="Q593" s="3"/>
      <c r="R593" s="3"/>
      <c r="S593" s="2" t="s">
        <v>21</v>
      </c>
      <c r="T593" s="4">
        <v>44955</v>
      </c>
      <c r="U593" s="2" t="s">
        <v>801</v>
      </c>
      <c r="V593" s="6">
        <f>(Real_Sales[[#This Row],[Price_retail]]-Real_Sales[[#This Row],[Price_current]])/Real_Sales[[#This Row],[Price_retail]]</f>
        <v>0</v>
      </c>
      <c r="W593" s="3" t="str" cm="1">
        <f t="array" ref="W59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3" s="2" t="str">
        <f>IF(Real_Sales[[#This Row],[Price_retail]]&gt;$AC$3,"Premium","Average")</f>
        <v>Average</v>
      </c>
      <c r="Y593" s="2" t="str">
        <f>IF(ISNUMBER(SEARCH("Basic",Real_Sales[[#This Row],[Product_name]])),"Yes","No")</f>
        <v>No</v>
      </c>
      <c r="Z593" s="2" cm="1">
        <f t="array" ref="Z593">_xlfn.IFS(Real_Sales[[#This Row],[Price_retail]]&lt;=15,1, Real_Sales[[#This Row],[Price_retail]]&lt;=30,2, Real_Sales[[#This Row],[Price_retail]]&lt;=50,3,Real_Sales[[#This Row],[Price_retail]]&gt;50,4)</f>
        <v>2</v>
      </c>
    </row>
    <row r="594" spans="1:26" x14ac:dyDescent="0.35">
      <c r="A594" s="2" t="s">
        <v>2141</v>
      </c>
      <c r="B594" s="2" t="s">
        <v>2142</v>
      </c>
      <c r="C594" s="2" t="s">
        <v>242</v>
      </c>
      <c r="D594" s="2" t="s">
        <v>16</v>
      </c>
      <c r="E594" s="2" t="s">
        <v>4</v>
      </c>
      <c r="F594" s="2" t="s">
        <v>17</v>
      </c>
      <c r="G594" s="2" t="s">
        <v>67</v>
      </c>
      <c r="H594" s="2" t="s">
        <v>19</v>
      </c>
      <c r="I594" s="2" t="s">
        <v>3395</v>
      </c>
      <c r="J594" s="3">
        <v>18.98</v>
      </c>
      <c r="K594" s="3">
        <v>18.98</v>
      </c>
      <c r="L594" s="2" t="s">
        <v>3391</v>
      </c>
      <c r="M594" s="2" t="s">
        <v>9</v>
      </c>
      <c r="N594" s="3">
        <v>860</v>
      </c>
      <c r="O594" s="2" t="s">
        <v>52</v>
      </c>
      <c r="P594" s="2" t="s">
        <v>629</v>
      </c>
      <c r="Q594" s="3"/>
      <c r="R594" s="3"/>
      <c r="S594" s="2" t="s">
        <v>12</v>
      </c>
      <c r="T594" s="4">
        <v>44955</v>
      </c>
      <c r="U594" s="2" t="s">
        <v>2143</v>
      </c>
      <c r="V594" s="6">
        <f>(Real_Sales[[#This Row],[Price_retail]]-Real_Sales[[#This Row],[Price_current]])/Real_Sales[[#This Row],[Price_retail]]</f>
        <v>0</v>
      </c>
      <c r="W594" s="3" t="str" cm="1">
        <f t="array" ref="W5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4" s="2" t="str">
        <f>IF(Real_Sales[[#This Row],[Price_retail]]&gt;$AC$3,"Premium","Average")</f>
        <v>Average</v>
      </c>
      <c r="Y594" s="2" t="str">
        <f>IF(ISNUMBER(SEARCH("Basic",Real_Sales[[#This Row],[Product_name]])),"Yes","No")</f>
        <v>No</v>
      </c>
      <c r="Z594" s="2" cm="1">
        <f t="array" ref="Z594">_xlfn.IFS(Real_Sales[[#This Row],[Price_retail]]&lt;=15,1, Real_Sales[[#This Row],[Price_retail]]&lt;=30,2, Real_Sales[[#This Row],[Price_retail]]&lt;=50,3,Real_Sales[[#This Row],[Price_retail]]&gt;50,4)</f>
        <v>2</v>
      </c>
    </row>
    <row r="595" spans="1:26" x14ac:dyDescent="0.35">
      <c r="A595" s="2" t="s">
        <v>365</v>
      </c>
      <c r="B595" s="2" t="s">
        <v>366</v>
      </c>
      <c r="C595" s="2" t="s">
        <v>367</v>
      </c>
      <c r="D595" s="2" t="s">
        <v>181</v>
      </c>
      <c r="E595" s="2" t="s">
        <v>4</v>
      </c>
      <c r="F595" s="2" t="s">
        <v>5</v>
      </c>
      <c r="G595" s="2" t="s">
        <v>121</v>
      </c>
      <c r="H595" s="2"/>
      <c r="I595" s="2" t="s">
        <v>3395</v>
      </c>
      <c r="J595" s="3">
        <v>19.04</v>
      </c>
      <c r="K595" s="3">
        <v>19.04</v>
      </c>
      <c r="L595" s="2" t="s">
        <v>3391</v>
      </c>
      <c r="M595" s="2" t="s">
        <v>9</v>
      </c>
      <c r="N595" s="3">
        <v>631</v>
      </c>
      <c r="O595" s="2" t="s">
        <v>3392</v>
      </c>
      <c r="P595" s="2" t="s">
        <v>368</v>
      </c>
      <c r="Q595" s="3"/>
      <c r="R595" s="3"/>
      <c r="S595" s="2" t="s">
        <v>21</v>
      </c>
      <c r="T595" s="4">
        <v>44955</v>
      </c>
      <c r="U595" s="2" t="s">
        <v>369</v>
      </c>
      <c r="V595" s="6">
        <f>(Real_Sales[[#This Row],[Price_retail]]-Real_Sales[[#This Row],[Price_current]])/Real_Sales[[#This Row],[Price_retail]]</f>
        <v>0</v>
      </c>
      <c r="W595" s="3" t="str" cm="1">
        <f t="array" ref="W59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5" s="2" t="str">
        <f>IF(Real_Sales[[#This Row],[Price_retail]]&gt;$AC$3,"Premium","Average")</f>
        <v>Average</v>
      </c>
      <c r="Y595" s="2" t="str">
        <f>IF(ISNUMBER(SEARCH("Basic",Real_Sales[[#This Row],[Product_name]])),"Yes","No")</f>
        <v>No</v>
      </c>
      <c r="Z595" s="2" cm="1">
        <f t="array" ref="Z595">_xlfn.IFS(Real_Sales[[#This Row],[Price_retail]]&lt;=15,1, Real_Sales[[#This Row],[Price_retail]]&lt;=30,2, Real_Sales[[#This Row],[Price_retail]]&lt;=50,3,Real_Sales[[#This Row],[Price_retail]]&gt;50,4)</f>
        <v>2</v>
      </c>
    </row>
    <row r="596" spans="1:26" x14ac:dyDescent="0.35">
      <c r="A596" s="2" t="s">
        <v>2779</v>
      </c>
      <c r="B596" s="2" t="s">
        <v>2780</v>
      </c>
      <c r="C596" s="2" t="s">
        <v>2781</v>
      </c>
      <c r="D596" s="2" t="s">
        <v>1050</v>
      </c>
      <c r="E596" s="2" t="s">
        <v>4</v>
      </c>
      <c r="F596" s="2" t="s">
        <v>5</v>
      </c>
      <c r="G596" s="2" t="s">
        <v>82</v>
      </c>
      <c r="H596" s="2" t="s">
        <v>68</v>
      </c>
      <c r="I596" s="2" t="s">
        <v>3393</v>
      </c>
      <c r="J596" s="3">
        <v>19.079999999999998</v>
      </c>
      <c r="K596" s="3">
        <v>19.079999999999998</v>
      </c>
      <c r="L596" s="2" t="s">
        <v>3391</v>
      </c>
      <c r="M596" s="2" t="s">
        <v>9</v>
      </c>
      <c r="N596" s="3">
        <v>272</v>
      </c>
      <c r="O596" s="2" t="s">
        <v>104</v>
      </c>
      <c r="P596" s="2" t="s">
        <v>37</v>
      </c>
      <c r="Q596" s="3"/>
      <c r="R596" s="3"/>
      <c r="S596" s="2" t="s">
        <v>12</v>
      </c>
      <c r="T596" s="4">
        <v>44955</v>
      </c>
      <c r="U596" s="2" t="s">
        <v>2782</v>
      </c>
      <c r="V596" s="6">
        <f>(Real_Sales[[#This Row],[Price_retail]]-Real_Sales[[#This Row],[Price_current]])/Real_Sales[[#This Row],[Price_retail]]</f>
        <v>0</v>
      </c>
      <c r="W596" s="3" t="str" cm="1">
        <f t="array" ref="W59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6" s="2" t="str">
        <f>IF(Real_Sales[[#This Row],[Price_retail]]&gt;$AC$3,"Premium","Average")</f>
        <v>Average</v>
      </c>
      <c r="Y596" s="2" t="str">
        <f>IF(ISNUMBER(SEARCH("Basic",Real_Sales[[#This Row],[Product_name]])),"Yes","No")</f>
        <v>Yes</v>
      </c>
      <c r="Z596" s="2" cm="1">
        <f t="array" ref="Z596">_xlfn.IFS(Real_Sales[[#This Row],[Price_retail]]&lt;=15,1, Real_Sales[[#This Row],[Price_retail]]&lt;=30,2, Real_Sales[[#This Row],[Price_retail]]&lt;=50,3,Real_Sales[[#This Row],[Price_retail]]&gt;50,4)</f>
        <v>2</v>
      </c>
    </row>
    <row r="597" spans="1:26" x14ac:dyDescent="0.35">
      <c r="A597" s="2" t="s">
        <v>3194</v>
      </c>
      <c r="B597" s="2" t="s">
        <v>3195</v>
      </c>
      <c r="C597" s="2" t="s">
        <v>1839</v>
      </c>
      <c r="D597" s="2" t="s">
        <v>408</v>
      </c>
      <c r="E597" s="2" t="s">
        <v>4</v>
      </c>
      <c r="F597" s="2" t="s">
        <v>5</v>
      </c>
      <c r="G597" s="2" t="s">
        <v>82</v>
      </c>
      <c r="H597" s="2" t="s">
        <v>28</v>
      </c>
      <c r="I597" s="2" t="s">
        <v>3390</v>
      </c>
      <c r="J597" s="3">
        <v>19.11</v>
      </c>
      <c r="K597" s="3">
        <v>15.41</v>
      </c>
      <c r="L597" s="2" t="s">
        <v>8</v>
      </c>
      <c r="M597" s="2" t="s">
        <v>9</v>
      </c>
      <c r="N597" s="3">
        <v>91</v>
      </c>
      <c r="O597" s="2" t="s">
        <v>98</v>
      </c>
      <c r="P597" s="2" t="s">
        <v>128</v>
      </c>
      <c r="Q597" s="3"/>
      <c r="R597" s="3"/>
      <c r="S597" s="2" t="s">
        <v>12</v>
      </c>
      <c r="T597" s="4">
        <v>44955</v>
      </c>
      <c r="U597" s="2" t="s">
        <v>3196</v>
      </c>
      <c r="V597" s="6">
        <f>(Real_Sales[[#This Row],[Price_retail]]-Real_Sales[[#This Row],[Price_current]])/Real_Sales[[#This Row],[Price_retail]]</f>
        <v>0.19361590790162217</v>
      </c>
      <c r="W597" s="3" t="str" cm="1">
        <f t="array" ref="W597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597" s="2" t="str">
        <f>IF(Real_Sales[[#This Row],[Price_retail]]&gt;$AC$3,"Premium","Average")</f>
        <v>Average</v>
      </c>
      <c r="Y597" s="2" t="str">
        <f>IF(ISNUMBER(SEARCH("Basic",Real_Sales[[#This Row],[Product_name]])),"Yes","No")</f>
        <v>No</v>
      </c>
      <c r="Z597" s="2" cm="1">
        <f t="array" ref="Z597">_xlfn.IFS(Real_Sales[[#This Row],[Price_retail]]&lt;=15,1, Real_Sales[[#This Row],[Price_retail]]&lt;=30,2, Real_Sales[[#This Row],[Price_retail]]&lt;=50,3,Real_Sales[[#This Row],[Price_retail]]&gt;50,4)</f>
        <v>2</v>
      </c>
    </row>
    <row r="598" spans="1:26" x14ac:dyDescent="0.35">
      <c r="A598" s="2" t="s">
        <v>1113</v>
      </c>
      <c r="B598" s="2" t="s">
        <v>1114</v>
      </c>
      <c r="C598" s="2" t="s">
        <v>1115</v>
      </c>
      <c r="D598" s="2" t="s">
        <v>861</v>
      </c>
      <c r="E598" s="2" t="s">
        <v>4</v>
      </c>
      <c r="F598" s="2" t="s">
        <v>17</v>
      </c>
      <c r="G598" s="2" t="s">
        <v>67</v>
      </c>
      <c r="H598" s="2" t="s">
        <v>139</v>
      </c>
      <c r="I598" s="2" t="s">
        <v>3390</v>
      </c>
      <c r="J598" s="3">
        <v>19.190000000000001</v>
      </c>
      <c r="K598" s="3">
        <v>13.04</v>
      </c>
      <c r="L598" s="2" t="s">
        <v>8</v>
      </c>
      <c r="M598" s="2" t="s">
        <v>9</v>
      </c>
      <c r="N598" s="3">
        <v>545</v>
      </c>
      <c r="O598" s="2" t="s">
        <v>69</v>
      </c>
      <c r="P598" s="2" t="s">
        <v>76</v>
      </c>
      <c r="Q598" s="3"/>
      <c r="R598" s="3"/>
      <c r="S598" s="2" t="s">
        <v>21</v>
      </c>
      <c r="T598" s="4">
        <v>44955</v>
      </c>
      <c r="U598" s="2" t="s">
        <v>1116</v>
      </c>
      <c r="V598" s="6">
        <f>(Real_Sales[[#This Row],[Price_retail]]-Real_Sales[[#This Row],[Price_current]])/Real_Sales[[#This Row],[Price_retail]]</f>
        <v>0.32047941636268901</v>
      </c>
      <c r="W598" s="3" t="str" cm="1">
        <f t="array" ref="W59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598" s="2" t="str">
        <f>IF(Real_Sales[[#This Row],[Price_retail]]&gt;$AC$3,"Premium","Average")</f>
        <v>Premium</v>
      </c>
      <c r="Y598" s="2" t="str">
        <f>IF(ISNUMBER(SEARCH("Basic",Real_Sales[[#This Row],[Product_name]])),"Yes","No")</f>
        <v>No</v>
      </c>
      <c r="Z598" s="2" cm="1">
        <f t="array" ref="Z598">_xlfn.IFS(Real_Sales[[#This Row],[Price_retail]]&lt;=15,1, Real_Sales[[#This Row],[Price_retail]]&lt;=30,2, Real_Sales[[#This Row],[Price_retail]]&lt;=50,3,Real_Sales[[#This Row],[Price_retail]]&gt;50,4)</f>
        <v>2</v>
      </c>
    </row>
    <row r="599" spans="1:26" x14ac:dyDescent="0.35">
      <c r="A599" s="2" t="s">
        <v>165</v>
      </c>
      <c r="B599" s="2" t="s">
        <v>166</v>
      </c>
      <c r="C599" s="2" t="s">
        <v>108</v>
      </c>
      <c r="D599" s="2" t="s">
        <v>167</v>
      </c>
      <c r="E599" s="2" t="s">
        <v>4</v>
      </c>
      <c r="F599" s="2" t="s">
        <v>17</v>
      </c>
      <c r="G599" s="2" t="s">
        <v>18</v>
      </c>
      <c r="H599" s="2" t="s">
        <v>168</v>
      </c>
      <c r="I599" s="2" t="s">
        <v>3390</v>
      </c>
      <c r="J599" s="3">
        <v>19.190000000000001</v>
      </c>
      <c r="K599" s="3">
        <v>19.190000000000001</v>
      </c>
      <c r="L599" s="2" t="s">
        <v>3391</v>
      </c>
      <c r="M599" s="2" t="s">
        <v>9</v>
      </c>
      <c r="N599" s="3">
        <v>986</v>
      </c>
      <c r="O599" s="2" t="s">
        <v>3392</v>
      </c>
      <c r="P599" s="2" t="s">
        <v>169</v>
      </c>
      <c r="Q599" s="3"/>
      <c r="R599" s="3"/>
      <c r="S599" s="2" t="s">
        <v>21</v>
      </c>
      <c r="T599" s="4">
        <v>44955</v>
      </c>
      <c r="U599" s="2" t="s">
        <v>170</v>
      </c>
      <c r="V599" s="6">
        <f>(Real_Sales[[#This Row],[Price_retail]]-Real_Sales[[#This Row],[Price_current]])/Real_Sales[[#This Row],[Price_retail]]</f>
        <v>0</v>
      </c>
      <c r="W599" s="3" t="str" cm="1">
        <f t="array" ref="W5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599" s="2" t="str">
        <f>IF(Real_Sales[[#This Row],[Price_retail]]&gt;$AC$3,"Premium","Average")</f>
        <v>Premium</v>
      </c>
      <c r="Y599" s="2" t="str">
        <f>IF(ISNUMBER(SEARCH("Basic",Real_Sales[[#This Row],[Product_name]])),"Yes","No")</f>
        <v>No</v>
      </c>
      <c r="Z599" s="2" cm="1">
        <f t="array" ref="Z599">_xlfn.IFS(Real_Sales[[#This Row],[Price_retail]]&lt;=15,1, Real_Sales[[#This Row],[Price_retail]]&lt;=30,2, Real_Sales[[#This Row],[Price_retail]]&lt;=50,3,Real_Sales[[#This Row],[Price_retail]]&gt;50,4)</f>
        <v>2</v>
      </c>
    </row>
    <row r="600" spans="1:26" x14ac:dyDescent="0.35">
      <c r="A600" s="2" t="s">
        <v>240</v>
      </c>
      <c r="B600" s="2" t="s">
        <v>241</v>
      </c>
      <c r="C600" s="2" t="s">
        <v>242</v>
      </c>
      <c r="D600" s="2" t="s">
        <v>3</v>
      </c>
      <c r="E600" s="2" t="s">
        <v>4</v>
      </c>
      <c r="F600" s="2" t="s">
        <v>5</v>
      </c>
      <c r="G600" s="2" t="s">
        <v>6</v>
      </c>
      <c r="H600" s="2" t="s">
        <v>7</v>
      </c>
      <c r="I600" s="2" t="s">
        <v>3390</v>
      </c>
      <c r="J600" s="3">
        <v>19.22</v>
      </c>
      <c r="K600" s="3">
        <v>19.22</v>
      </c>
      <c r="L600" s="2" t="s">
        <v>3391</v>
      </c>
      <c r="M600" s="2" t="s">
        <v>9</v>
      </c>
      <c r="N600" s="3">
        <v>249</v>
      </c>
      <c r="O600" s="2" t="s">
        <v>43</v>
      </c>
      <c r="P600" s="2" t="s">
        <v>44</v>
      </c>
      <c r="Q600" s="3"/>
      <c r="R600" s="3"/>
      <c r="S600" s="2" t="s">
        <v>21</v>
      </c>
      <c r="T600" s="4">
        <v>44955</v>
      </c>
      <c r="U600" s="2" t="s">
        <v>243</v>
      </c>
      <c r="V600" s="6">
        <f>(Real_Sales[[#This Row],[Price_retail]]-Real_Sales[[#This Row],[Price_current]])/Real_Sales[[#This Row],[Price_retail]]</f>
        <v>0</v>
      </c>
      <c r="W600" s="3" t="str" cm="1">
        <f t="array" ref="W6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0" s="2" t="str">
        <f>IF(Real_Sales[[#This Row],[Price_retail]]&gt;$AC$3,"Premium","Average")</f>
        <v>Premium</v>
      </c>
      <c r="Y600" s="2" t="str">
        <f>IF(ISNUMBER(SEARCH("Basic",Real_Sales[[#This Row],[Product_name]])),"Yes","No")</f>
        <v>No</v>
      </c>
      <c r="Z600" s="2" cm="1">
        <f t="array" ref="Z600">_xlfn.IFS(Real_Sales[[#This Row],[Price_retail]]&lt;=15,1, Real_Sales[[#This Row],[Price_retail]]&lt;=30,2, Real_Sales[[#This Row],[Price_retail]]&lt;=50,3,Real_Sales[[#This Row],[Price_retail]]&gt;50,4)</f>
        <v>2</v>
      </c>
    </row>
    <row r="601" spans="1:26" x14ac:dyDescent="0.35">
      <c r="A601" s="2" t="s">
        <v>2980</v>
      </c>
      <c r="B601" s="2" t="s">
        <v>2981</v>
      </c>
      <c r="C601" s="2" t="s">
        <v>2915</v>
      </c>
      <c r="D601" s="2" t="s">
        <v>501</v>
      </c>
      <c r="E601" s="2" t="s">
        <v>4</v>
      </c>
      <c r="F601" s="2" t="s">
        <v>17</v>
      </c>
      <c r="G601" s="2" t="s">
        <v>18</v>
      </c>
      <c r="H601" s="2" t="s">
        <v>83</v>
      </c>
      <c r="I601" s="2" t="s">
        <v>3393</v>
      </c>
      <c r="J601" s="3">
        <v>19.22</v>
      </c>
      <c r="K601" s="3">
        <v>19.22</v>
      </c>
      <c r="L601" s="2" t="s">
        <v>3391</v>
      </c>
      <c r="M601" s="2" t="s">
        <v>9</v>
      </c>
      <c r="N601" s="3">
        <v>189</v>
      </c>
      <c r="O601" s="2" t="s">
        <v>98</v>
      </c>
      <c r="P601" s="2" t="s">
        <v>215</v>
      </c>
      <c r="Q601" s="3"/>
      <c r="R601" s="3"/>
      <c r="S601" s="2" t="s">
        <v>21</v>
      </c>
      <c r="T601" s="4">
        <v>44955</v>
      </c>
      <c r="U601" s="2" t="s">
        <v>2982</v>
      </c>
      <c r="V601" s="6">
        <f>(Real_Sales[[#This Row],[Price_retail]]-Real_Sales[[#This Row],[Price_current]])/Real_Sales[[#This Row],[Price_retail]]</f>
        <v>0</v>
      </c>
      <c r="W601" s="3" t="str" cm="1">
        <f t="array" ref="W6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1" s="2" t="str">
        <f>IF(Real_Sales[[#This Row],[Price_retail]]&gt;$AC$3,"Premium","Average")</f>
        <v>Premium</v>
      </c>
      <c r="Y601" s="2" t="str">
        <f>IF(ISNUMBER(SEARCH("Basic",Real_Sales[[#This Row],[Product_name]])),"Yes","No")</f>
        <v>No</v>
      </c>
      <c r="Z601" s="2" cm="1">
        <f t="array" ref="Z601">_xlfn.IFS(Real_Sales[[#This Row],[Price_retail]]&lt;=15,1, Real_Sales[[#This Row],[Price_retail]]&lt;=30,2, Real_Sales[[#This Row],[Price_retail]]&lt;=50,3,Real_Sales[[#This Row],[Price_retail]]&gt;50,4)</f>
        <v>2</v>
      </c>
    </row>
    <row r="602" spans="1:26" x14ac:dyDescent="0.35">
      <c r="A602" s="2" t="s">
        <v>1186</v>
      </c>
      <c r="B602" s="2" t="s">
        <v>1187</v>
      </c>
      <c r="C602" s="2" t="s">
        <v>333</v>
      </c>
      <c r="D602" s="2" t="s">
        <v>74</v>
      </c>
      <c r="E602" s="2" t="s">
        <v>4</v>
      </c>
      <c r="F602" s="2" t="s">
        <v>17</v>
      </c>
      <c r="G602" s="2" t="s">
        <v>67</v>
      </c>
      <c r="H602" s="2" t="s">
        <v>35</v>
      </c>
      <c r="I602" s="2" t="s">
        <v>3395</v>
      </c>
      <c r="J602" s="3">
        <v>19.23</v>
      </c>
      <c r="K602" s="3">
        <v>19.23</v>
      </c>
      <c r="L602" s="2" t="s">
        <v>3391</v>
      </c>
      <c r="M602" s="2" t="s">
        <v>9</v>
      </c>
      <c r="N602" s="3">
        <v>642</v>
      </c>
      <c r="O602" s="2" t="s">
        <v>664</v>
      </c>
      <c r="P602" s="2" t="s">
        <v>70</v>
      </c>
      <c r="Q602" s="3"/>
      <c r="R602" s="3"/>
      <c r="S602" s="2" t="s">
        <v>12</v>
      </c>
      <c r="T602" s="4">
        <v>44955</v>
      </c>
      <c r="U602" s="2" t="s">
        <v>1188</v>
      </c>
      <c r="V602" s="6">
        <f>(Real_Sales[[#This Row],[Price_retail]]-Real_Sales[[#This Row],[Price_current]])/Real_Sales[[#This Row],[Price_retail]]</f>
        <v>0</v>
      </c>
      <c r="W602" s="3" t="str" cm="1">
        <f t="array" ref="W6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2" s="2" t="str">
        <f>IF(Real_Sales[[#This Row],[Price_retail]]&gt;$AC$3,"Premium","Average")</f>
        <v>Premium</v>
      </c>
      <c r="Y602" s="2" t="str">
        <f>IF(ISNUMBER(SEARCH("Basic",Real_Sales[[#This Row],[Product_name]])),"Yes","No")</f>
        <v>No</v>
      </c>
      <c r="Z602" s="2" cm="1">
        <f t="array" ref="Z602">_xlfn.IFS(Real_Sales[[#This Row],[Price_retail]]&lt;=15,1, Real_Sales[[#This Row],[Price_retail]]&lt;=30,2, Real_Sales[[#This Row],[Price_retail]]&lt;=50,3,Real_Sales[[#This Row],[Price_retail]]&gt;50,4)</f>
        <v>2</v>
      </c>
    </row>
    <row r="603" spans="1:26" x14ac:dyDescent="0.35">
      <c r="A603" s="2" t="s">
        <v>1990</v>
      </c>
      <c r="B603" s="2" t="s">
        <v>1991</v>
      </c>
      <c r="C603" s="2" t="s">
        <v>721</v>
      </c>
      <c r="D603" s="2" t="s">
        <v>342</v>
      </c>
      <c r="E603" s="2" t="s">
        <v>4</v>
      </c>
      <c r="F603" s="2" t="s">
        <v>17</v>
      </c>
      <c r="G603" s="2" t="s">
        <v>67</v>
      </c>
      <c r="H603" s="2" t="s">
        <v>237</v>
      </c>
      <c r="I603" s="2" t="s">
        <v>3390</v>
      </c>
      <c r="J603" s="3">
        <v>19.260000000000002</v>
      </c>
      <c r="K603" s="3">
        <v>19.260000000000002</v>
      </c>
      <c r="L603" s="2" t="s">
        <v>3391</v>
      </c>
      <c r="M603" s="2" t="s">
        <v>9</v>
      </c>
      <c r="N603" s="3">
        <v>299</v>
      </c>
      <c r="O603" s="2" t="s">
        <v>20</v>
      </c>
      <c r="P603" s="2" t="s">
        <v>3392</v>
      </c>
      <c r="Q603" s="3"/>
      <c r="R603" s="3"/>
      <c r="S603" s="2" t="s">
        <v>21</v>
      </c>
      <c r="T603" s="4">
        <v>44955</v>
      </c>
      <c r="U603" s="2" t="s">
        <v>1992</v>
      </c>
      <c r="V603" s="6">
        <f>(Real_Sales[[#This Row],[Price_retail]]-Real_Sales[[#This Row],[Price_current]])/Real_Sales[[#This Row],[Price_retail]]</f>
        <v>0</v>
      </c>
      <c r="W603" s="3" t="str" cm="1">
        <f t="array" ref="W6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3" s="2" t="str">
        <f>IF(Real_Sales[[#This Row],[Price_retail]]&gt;$AC$3,"Premium","Average")</f>
        <v>Premium</v>
      </c>
      <c r="Y603" s="2" t="str">
        <f>IF(ISNUMBER(SEARCH("Basic",Real_Sales[[#This Row],[Product_name]])),"Yes","No")</f>
        <v>No</v>
      </c>
      <c r="Z603" s="2" cm="1">
        <f t="array" ref="Z603">_xlfn.IFS(Real_Sales[[#This Row],[Price_retail]]&lt;=15,1, Real_Sales[[#This Row],[Price_retail]]&lt;=30,2, Real_Sales[[#This Row],[Price_retail]]&lt;=50,3,Real_Sales[[#This Row],[Price_retail]]&gt;50,4)</f>
        <v>2</v>
      </c>
    </row>
    <row r="604" spans="1:26" x14ac:dyDescent="0.35">
      <c r="A604" s="2" t="s">
        <v>1688</v>
      </c>
      <c r="B604" s="2" t="s">
        <v>1689</v>
      </c>
      <c r="C604" s="2" t="s">
        <v>412</v>
      </c>
      <c r="D604" s="2" t="s">
        <v>776</v>
      </c>
      <c r="E604" s="2" t="s">
        <v>4</v>
      </c>
      <c r="F604" s="2" t="s">
        <v>5</v>
      </c>
      <c r="G604" s="2" t="s">
        <v>82</v>
      </c>
      <c r="H604" s="2" t="s">
        <v>83</v>
      </c>
      <c r="I604" s="2" t="s">
        <v>3393</v>
      </c>
      <c r="J604" s="3">
        <v>19.28</v>
      </c>
      <c r="K604" s="3">
        <v>5.78</v>
      </c>
      <c r="L604" s="2" t="s">
        <v>8</v>
      </c>
      <c r="M604" s="2" t="s">
        <v>9</v>
      </c>
      <c r="N604" s="3">
        <v>492</v>
      </c>
      <c r="O604" s="2" t="s">
        <v>91</v>
      </c>
      <c r="P604" s="2" t="s">
        <v>3392</v>
      </c>
      <c r="Q604" s="3"/>
      <c r="R604" s="3"/>
      <c r="S604" s="2" t="s">
        <v>21</v>
      </c>
      <c r="T604" s="4">
        <v>44955</v>
      </c>
      <c r="U604" s="2" t="s">
        <v>1690</v>
      </c>
      <c r="V604" s="6">
        <f>(Real_Sales[[#This Row],[Price_retail]]-Real_Sales[[#This Row],[Price_current]])/Real_Sales[[#This Row],[Price_retail]]</f>
        <v>0.700207468879668</v>
      </c>
      <c r="W604" s="3" t="str" cm="1">
        <f t="array" ref="W604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604" s="2" t="str">
        <f>IF(Real_Sales[[#This Row],[Price_retail]]&gt;$AC$3,"Premium","Average")</f>
        <v>Premium</v>
      </c>
      <c r="Y604" s="2" t="str">
        <f>IF(ISNUMBER(SEARCH("Basic",Real_Sales[[#This Row],[Product_name]])),"Yes","No")</f>
        <v>No</v>
      </c>
      <c r="Z604" s="2" cm="1">
        <f t="array" ref="Z604">_xlfn.IFS(Real_Sales[[#This Row],[Price_retail]]&lt;=15,1, Real_Sales[[#This Row],[Price_retail]]&lt;=30,2, Real_Sales[[#This Row],[Price_retail]]&lt;=50,3,Real_Sales[[#This Row],[Price_retail]]&gt;50,4)</f>
        <v>2</v>
      </c>
    </row>
    <row r="605" spans="1:26" x14ac:dyDescent="0.35">
      <c r="A605" s="2" t="s">
        <v>3068</v>
      </c>
      <c r="B605" s="2" t="s">
        <v>3069</v>
      </c>
      <c r="C605" s="2" t="s">
        <v>1743</v>
      </c>
      <c r="D605" s="2" t="s">
        <v>557</v>
      </c>
      <c r="E605" s="2" t="s">
        <v>4</v>
      </c>
      <c r="F605" s="2" t="s">
        <v>5</v>
      </c>
      <c r="G605" s="2" t="s">
        <v>121</v>
      </c>
      <c r="H605" s="2" t="s">
        <v>28</v>
      </c>
      <c r="I605" s="2" t="s">
        <v>3395</v>
      </c>
      <c r="J605" s="3">
        <v>19.28</v>
      </c>
      <c r="K605" s="3">
        <v>13.84</v>
      </c>
      <c r="L605" s="2" t="s">
        <v>8</v>
      </c>
      <c r="M605" s="2" t="s">
        <v>9</v>
      </c>
      <c r="N605" s="3">
        <v>645</v>
      </c>
      <c r="O605" s="2" t="s">
        <v>664</v>
      </c>
      <c r="P605" s="2" t="s">
        <v>221</v>
      </c>
      <c r="Q605" s="3"/>
      <c r="R605" s="3"/>
      <c r="S605" s="2" t="s">
        <v>21</v>
      </c>
      <c r="T605" s="4">
        <v>44955</v>
      </c>
      <c r="U605" s="2" t="s">
        <v>3070</v>
      </c>
      <c r="V605" s="6">
        <f>(Real_Sales[[#This Row],[Price_retail]]-Real_Sales[[#This Row],[Price_current]])/Real_Sales[[#This Row],[Price_retail]]</f>
        <v>0.28215767634854777</v>
      </c>
      <c r="W605" s="3" t="str" cm="1">
        <f t="array" ref="W60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05" s="2" t="str">
        <f>IF(Real_Sales[[#This Row],[Price_retail]]&gt;$AC$3,"Premium","Average")</f>
        <v>Premium</v>
      </c>
      <c r="Y605" s="2" t="str">
        <f>IF(ISNUMBER(SEARCH("Basic",Real_Sales[[#This Row],[Product_name]])),"Yes","No")</f>
        <v>No</v>
      </c>
      <c r="Z605" s="2" cm="1">
        <f t="array" ref="Z605">_xlfn.IFS(Real_Sales[[#This Row],[Price_retail]]&lt;=15,1, Real_Sales[[#This Row],[Price_retail]]&lt;=30,2, Real_Sales[[#This Row],[Price_retail]]&lt;=50,3,Real_Sales[[#This Row],[Price_retail]]&gt;50,4)</f>
        <v>2</v>
      </c>
    </row>
    <row r="606" spans="1:26" x14ac:dyDescent="0.35">
      <c r="A606" s="2" t="s">
        <v>2261</v>
      </c>
      <c r="B606" s="2" t="s">
        <v>2262</v>
      </c>
      <c r="C606" s="2" t="s">
        <v>703</v>
      </c>
      <c r="D606" s="2" t="s">
        <v>1000</v>
      </c>
      <c r="E606" s="2" t="s">
        <v>4</v>
      </c>
      <c r="F606" s="2" t="s">
        <v>17</v>
      </c>
      <c r="G606" s="2" t="s">
        <v>18</v>
      </c>
      <c r="H606" s="2" t="s">
        <v>68</v>
      </c>
      <c r="I606" s="2" t="s">
        <v>3390</v>
      </c>
      <c r="J606" s="3">
        <v>19.28</v>
      </c>
      <c r="K606" s="3">
        <v>19.28</v>
      </c>
      <c r="L606" s="2" t="s">
        <v>3391</v>
      </c>
      <c r="M606" s="2" t="s">
        <v>9</v>
      </c>
      <c r="N606" s="3">
        <v>98</v>
      </c>
      <c r="O606" s="2" t="s">
        <v>75</v>
      </c>
      <c r="P606" s="2" t="s">
        <v>221</v>
      </c>
      <c r="Q606" s="3"/>
      <c r="R606" s="3"/>
      <c r="S606" s="2" t="s">
        <v>21</v>
      </c>
      <c r="T606" s="4">
        <v>44955</v>
      </c>
      <c r="U606" s="2" t="s">
        <v>2263</v>
      </c>
      <c r="V606" s="6">
        <f>(Real_Sales[[#This Row],[Price_retail]]-Real_Sales[[#This Row],[Price_current]])/Real_Sales[[#This Row],[Price_retail]]</f>
        <v>0</v>
      </c>
      <c r="W606" s="3" t="str" cm="1">
        <f t="array" ref="W60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6" s="2" t="str">
        <f>IF(Real_Sales[[#This Row],[Price_retail]]&gt;$AC$3,"Premium","Average")</f>
        <v>Premium</v>
      </c>
      <c r="Y606" s="2" t="str">
        <f>IF(ISNUMBER(SEARCH("Basic",Real_Sales[[#This Row],[Product_name]])),"Yes","No")</f>
        <v>No</v>
      </c>
      <c r="Z606" s="2" cm="1">
        <f t="array" ref="Z606">_xlfn.IFS(Real_Sales[[#This Row],[Price_retail]]&lt;=15,1, Real_Sales[[#This Row],[Price_retail]]&lt;=30,2, Real_Sales[[#This Row],[Price_retail]]&lt;=50,3,Real_Sales[[#This Row],[Price_retail]]&gt;50,4)</f>
        <v>2</v>
      </c>
    </row>
    <row r="607" spans="1:26" x14ac:dyDescent="0.35">
      <c r="A607" s="2" t="s">
        <v>3278</v>
      </c>
      <c r="B607" s="2" t="s">
        <v>3279</v>
      </c>
      <c r="C607" s="2" t="s">
        <v>246</v>
      </c>
      <c r="D607" s="2" t="s">
        <v>913</v>
      </c>
      <c r="E607" s="2" t="s">
        <v>4</v>
      </c>
      <c r="F607" s="2" t="s">
        <v>17</v>
      </c>
      <c r="G607" s="2" t="s">
        <v>50</v>
      </c>
      <c r="H607" s="2" t="s">
        <v>51</v>
      </c>
      <c r="I607" s="2" t="s">
        <v>3395</v>
      </c>
      <c r="J607" s="3">
        <v>19.3</v>
      </c>
      <c r="K607" s="3">
        <v>19.3</v>
      </c>
      <c r="L607" s="2" t="s">
        <v>3391</v>
      </c>
      <c r="M607" s="2" t="s">
        <v>9</v>
      </c>
      <c r="N607" s="3">
        <v>760</v>
      </c>
      <c r="O607" s="2" t="s">
        <v>104</v>
      </c>
      <c r="P607" s="2" t="s">
        <v>92</v>
      </c>
      <c r="Q607" s="3"/>
      <c r="R607" s="3"/>
      <c r="S607" s="2" t="s">
        <v>21</v>
      </c>
      <c r="T607" s="4">
        <v>44955</v>
      </c>
      <c r="U607" s="2" t="s">
        <v>3280</v>
      </c>
      <c r="V607" s="6">
        <f>(Real_Sales[[#This Row],[Price_retail]]-Real_Sales[[#This Row],[Price_current]])/Real_Sales[[#This Row],[Price_retail]]</f>
        <v>0</v>
      </c>
      <c r="W607" s="3" t="str" cm="1">
        <f t="array" ref="W60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7" s="2" t="str">
        <f>IF(Real_Sales[[#This Row],[Price_retail]]&gt;$AC$3,"Premium","Average")</f>
        <v>Premium</v>
      </c>
      <c r="Y607" s="2" t="str">
        <f>IF(ISNUMBER(SEARCH("Basic",Real_Sales[[#This Row],[Product_name]])),"Yes","No")</f>
        <v>No</v>
      </c>
      <c r="Z607" s="2" cm="1">
        <f t="array" ref="Z607">_xlfn.IFS(Real_Sales[[#This Row],[Price_retail]]&lt;=15,1, Real_Sales[[#This Row],[Price_retail]]&lt;=30,2, Real_Sales[[#This Row],[Price_retail]]&lt;=50,3,Real_Sales[[#This Row],[Price_retail]]&gt;50,4)</f>
        <v>2</v>
      </c>
    </row>
    <row r="608" spans="1:26" x14ac:dyDescent="0.35">
      <c r="A608" s="2" t="s">
        <v>1703</v>
      </c>
      <c r="B608" s="2" t="s">
        <v>1704</v>
      </c>
      <c r="C608" s="2" t="s">
        <v>2</v>
      </c>
      <c r="D608" s="2" t="s">
        <v>604</v>
      </c>
      <c r="E608" s="2" t="s">
        <v>4</v>
      </c>
      <c r="F608" s="2" t="s">
        <v>5</v>
      </c>
      <c r="G608" s="2" t="s">
        <v>121</v>
      </c>
      <c r="H608" s="2" t="s">
        <v>418</v>
      </c>
      <c r="I608" s="2" t="s">
        <v>3393</v>
      </c>
      <c r="J608" s="3">
        <v>19.39</v>
      </c>
      <c r="K608" s="3">
        <v>19.39</v>
      </c>
      <c r="L608" s="2" t="s">
        <v>3391</v>
      </c>
      <c r="M608" s="2" t="s">
        <v>9</v>
      </c>
      <c r="N608" s="3">
        <v>996</v>
      </c>
      <c r="O608" s="2" t="s">
        <v>3392</v>
      </c>
      <c r="P608" s="2" t="s">
        <v>186</v>
      </c>
      <c r="Q608" s="3"/>
      <c r="R608" s="3"/>
      <c r="S608" s="2" t="s">
        <v>21</v>
      </c>
      <c r="T608" s="4">
        <v>44955</v>
      </c>
      <c r="U608" s="2" t="s">
        <v>1705</v>
      </c>
      <c r="V608" s="6">
        <f>(Real_Sales[[#This Row],[Price_retail]]-Real_Sales[[#This Row],[Price_current]])/Real_Sales[[#This Row],[Price_retail]]</f>
        <v>0</v>
      </c>
      <c r="W608" s="3" t="str" cm="1">
        <f t="array" ref="W60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8" s="2" t="str">
        <f>IF(Real_Sales[[#This Row],[Price_retail]]&gt;$AC$3,"Premium","Average")</f>
        <v>Premium</v>
      </c>
      <c r="Y608" s="2" t="str">
        <f>IF(ISNUMBER(SEARCH("Basic",Real_Sales[[#This Row],[Product_name]])),"Yes","No")</f>
        <v>No</v>
      </c>
      <c r="Z608" s="2" cm="1">
        <f t="array" ref="Z608">_xlfn.IFS(Real_Sales[[#This Row],[Price_retail]]&lt;=15,1, Real_Sales[[#This Row],[Price_retail]]&lt;=30,2, Real_Sales[[#This Row],[Price_retail]]&lt;=50,3,Real_Sales[[#This Row],[Price_retail]]&gt;50,4)</f>
        <v>2</v>
      </c>
    </row>
    <row r="609" spans="1:26" x14ac:dyDescent="0.35">
      <c r="A609" s="2" t="s">
        <v>2707</v>
      </c>
      <c r="B609" s="2" t="s">
        <v>2708</v>
      </c>
      <c r="C609" s="2" t="s">
        <v>3433</v>
      </c>
      <c r="D609" s="2" t="s">
        <v>633</v>
      </c>
      <c r="E609" s="2" t="s">
        <v>4</v>
      </c>
      <c r="F609" s="2" t="s">
        <v>5</v>
      </c>
      <c r="G609" s="2" t="s">
        <v>6</v>
      </c>
      <c r="H609" s="2" t="s">
        <v>90</v>
      </c>
      <c r="I609" s="2" t="s">
        <v>3393</v>
      </c>
      <c r="J609" s="3">
        <v>19.43</v>
      </c>
      <c r="K609" s="3">
        <v>19.43</v>
      </c>
      <c r="L609" s="2" t="s">
        <v>3391</v>
      </c>
      <c r="M609" s="2" t="s">
        <v>9</v>
      </c>
      <c r="N609" s="3">
        <v>729</v>
      </c>
      <c r="O609" s="2" t="s">
        <v>69</v>
      </c>
      <c r="P609" s="2" t="s">
        <v>92</v>
      </c>
      <c r="Q609" s="3"/>
      <c r="R609" s="3"/>
      <c r="S609" s="2" t="s">
        <v>21</v>
      </c>
      <c r="T609" s="4">
        <v>44955</v>
      </c>
      <c r="U609" s="2" t="s">
        <v>2709</v>
      </c>
      <c r="V609" s="6">
        <f>(Real_Sales[[#This Row],[Price_retail]]-Real_Sales[[#This Row],[Price_current]])/Real_Sales[[#This Row],[Price_retail]]</f>
        <v>0</v>
      </c>
      <c r="W609" s="3" t="str" cm="1">
        <f t="array" ref="W6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09" s="2" t="str">
        <f>IF(Real_Sales[[#This Row],[Price_retail]]&gt;$AC$3,"Premium","Average")</f>
        <v>Premium</v>
      </c>
      <c r="Y609" s="2" t="str">
        <f>IF(ISNUMBER(SEARCH("Basic",Real_Sales[[#This Row],[Product_name]])),"Yes","No")</f>
        <v>No</v>
      </c>
      <c r="Z609" s="2" cm="1">
        <f t="array" ref="Z609">_xlfn.IFS(Real_Sales[[#This Row],[Price_retail]]&lt;=15,1, Real_Sales[[#This Row],[Price_retail]]&lt;=30,2, Real_Sales[[#This Row],[Price_retail]]&lt;=50,3,Real_Sales[[#This Row],[Price_retail]]&gt;50,4)</f>
        <v>2</v>
      </c>
    </row>
    <row r="610" spans="1:26" x14ac:dyDescent="0.35">
      <c r="A610" s="2" t="s">
        <v>1745</v>
      </c>
      <c r="B610" s="2" t="s">
        <v>1746</v>
      </c>
      <c r="C610" s="2" t="s">
        <v>1747</v>
      </c>
      <c r="D610" s="2" t="s">
        <v>1748</v>
      </c>
      <c r="E610" s="2" t="s">
        <v>4</v>
      </c>
      <c r="F610" s="2" t="s">
        <v>17</v>
      </c>
      <c r="G610" s="2" t="s">
        <v>50</v>
      </c>
      <c r="H610" s="2"/>
      <c r="I610" s="2" t="s">
        <v>3390</v>
      </c>
      <c r="J610" s="3">
        <v>19.440000000000001</v>
      </c>
      <c r="K610" s="3">
        <v>19.440000000000001</v>
      </c>
      <c r="L610" s="2" t="s">
        <v>3391</v>
      </c>
      <c r="M610" s="2" t="s">
        <v>9</v>
      </c>
      <c r="N610" s="3">
        <v>547</v>
      </c>
      <c r="O610" s="2" t="s">
        <v>3392</v>
      </c>
      <c r="P610" s="2" t="s">
        <v>288</v>
      </c>
      <c r="Q610" s="3"/>
      <c r="R610" s="3"/>
      <c r="S610" s="2" t="s">
        <v>21</v>
      </c>
      <c r="T610" s="4">
        <v>44955</v>
      </c>
      <c r="U610" s="2" t="s">
        <v>1749</v>
      </c>
      <c r="V610" s="6">
        <f>(Real_Sales[[#This Row],[Price_retail]]-Real_Sales[[#This Row],[Price_current]])/Real_Sales[[#This Row],[Price_retail]]</f>
        <v>0</v>
      </c>
      <c r="W610" s="3" t="str" cm="1">
        <f t="array" ref="W61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0" s="2" t="str">
        <f>IF(Real_Sales[[#This Row],[Price_retail]]&gt;$AC$3,"Premium","Average")</f>
        <v>Premium</v>
      </c>
      <c r="Y610" s="2" t="str">
        <f>IF(ISNUMBER(SEARCH("Basic",Real_Sales[[#This Row],[Product_name]])),"Yes","No")</f>
        <v>No</v>
      </c>
      <c r="Z610" s="2" cm="1">
        <f t="array" ref="Z610">_xlfn.IFS(Real_Sales[[#This Row],[Price_retail]]&lt;=15,1, Real_Sales[[#This Row],[Price_retail]]&lt;=30,2, Real_Sales[[#This Row],[Price_retail]]&lt;=50,3,Real_Sales[[#This Row],[Price_retail]]&gt;50,4)</f>
        <v>2</v>
      </c>
    </row>
    <row r="611" spans="1:26" x14ac:dyDescent="0.35">
      <c r="A611" s="2" t="s">
        <v>1700</v>
      </c>
      <c r="B611" s="2" t="s">
        <v>1701</v>
      </c>
      <c r="C611" s="2" t="s">
        <v>569</v>
      </c>
      <c r="D611" s="2" t="s">
        <v>3421</v>
      </c>
      <c r="E611" s="2" t="s">
        <v>4</v>
      </c>
      <c r="F611" s="2" t="s">
        <v>5</v>
      </c>
      <c r="G611" s="2" t="s">
        <v>6</v>
      </c>
      <c r="H611" s="2" t="s">
        <v>59</v>
      </c>
      <c r="I611" s="2" t="s">
        <v>3390</v>
      </c>
      <c r="J611" s="3">
        <v>19.48</v>
      </c>
      <c r="K611" s="3">
        <v>19.48</v>
      </c>
      <c r="L611" s="2" t="s">
        <v>3391</v>
      </c>
      <c r="M611" s="2" t="s">
        <v>9</v>
      </c>
      <c r="N611" s="3">
        <v>52</v>
      </c>
      <c r="O611" s="2" t="s">
        <v>3392</v>
      </c>
      <c r="P611" s="2" t="s">
        <v>186</v>
      </c>
      <c r="Q611" s="3"/>
      <c r="R611" s="3"/>
      <c r="S611" s="2" t="s">
        <v>21</v>
      </c>
      <c r="T611" s="4">
        <v>44955</v>
      </c>
      <c r="U611" s="2" t="s">
        <v>1702</v>
      </c>
      <c r="V611" s="6">
        <f>(Real_Sales[[#This Row],[Price_retail]]-Real_Sales[[#This Row],[Price_current]])/Real_Sales[[#This Row],[Price_retail]]</f>
        <v>0</v>
      </c>
      <c r="W611" s="3" t="str" cm="1">
        <f t="array" ref="W6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1" s="2" t="str">
        <f>IF(Real_Sales[[#This Row],[Price_retail]]&gt;$AC$3,"Premium","Average")</f>
        <v>Premium</v>
      </c>
      <c r="Y611" s="2" t="str">
        <f>IF(ISNUMBER(SEARCH("Basic",Real_Sales[[#This Row],[Product_name]])),"Yes","No")</f>
        <v>No</v>
      </c>
      <c r="Z611" s="2" cm="1">
        <f t="array" ref="Z611">_xlfn.IFS(Real_Sales[[#This Row],[Price_retail]]&lt;=15,1, Real_Sales[[#This Row],[Price_retail]]&lt;=30,2, Real_Sales[[#This Row],[Price_retail]]&lt;=50,3,Real_Sales[[#This Row],[Price_retail]]&gt;50,4)</f>
        <v>2</v>
      </c>
    </row>
    <row r="612" spans="1:26" x14ac:dyDescent="0.35">
      <c r="A612" s="2" t="s">
        <v>944</v>
      </c>
      <c r="B612" s="2" t="s">
        <v>945</v>
      </c>
      <c r="C612" s="2" t="s">
        <v>242</v>
      </c>
      <c r="D612" s="2" t="s">
        <v>946</v>
      </c>
      <c r="E612" s="2" t="s">
        <v>4</v>
      </c>
      <c r="F612" s="2" t="s">
        <v>5</v>
      </c>
      <c r="G612" s="2" t="s">
        <v>6</v>
      </c>
      <c r="H612" s="2" t="s">
        <v>110</v>
      </c>
      <c r="I612" s="2" t="s">
        <v>3390</v>
      </c>
      <c r="J612" s="3">
        <v>19.52</v>
      </c>
      <c r="K612" s="3">
        <v>19.52</v>
      </c>
      <c r="L612" s="2" t="s">
        <v>3391</v>
      </c>
      <c r="M612" s="2" t="s">
        <v>9</v>
      </c>
      <c r="N612" s="3">
        <v>587</v>
      </c>
      <c r="O612" s="2" t="s">
        <v>104</v>
      </c>
      <c r="P612" s="2" t="s">
        <v>30</v>
      </c>
      <c r="Q612" s="3"/>
      <c r="R612" s="3"/>
      <c r="S612" s="2" t="s">
        <v>21</v>
      </c>
      <c r="T612" s="4">
        <v>44955</v>
      </c>
      <c r="U612" s="2" t="s">
        <v>947</v>
      </c>
      <c r="V612" s="6">
        <f>(Real_Sales[[#This Row],[Price_retail]]-Real_Sales[[#This Row],[Price_current]])/Real_Sales[[#This Row],[Price_retail]]</f>
        <v>0</v>
      </c>
      <c r="W612" s="3" t="str" cm="1">
        <f t="array" ref="W61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2" s="2" t="str">
        <f>IF(Real_Sales[[#This Row],[Price_retail]]&gt;$AC$3,"Premium","Average")</f>
        <v>Premium</v>
      </c>
      <c r="Y612" s="2" t="str">
        <f>IF(ISNUMBER(SEARCH("Basic",Real_Sales[[#This Row],[Product_name]])),"Yes","No")</f>
        <v>No</v>
      </c>
      <c r="Z612" s="2" cm="1">
        <f t="array" ref="Z612">_xlfn.IFS(Real_Sales[[#This Row],[Price_retail]]&lt;=15,1, Real_Sales[[#This Row],[Price_retail]]&lt;=30,2, Real_Sales[[#This Row],[Price_retail]]&lt;=50,3,Real_Sales[[#This Row],[Price_retail]]&gt;50,4)</f>
        <v>2</v>
      </c>
    </row>
    <row r="613" spans="1:26" x14ac:dyDescent="0.35">
      <c r="A613" s="2" t="s">
        <v>736</v>
      </c>
      <c r="B613" s="2" t="s">
        <v>737</v>
      </c>
      <c r="C613" s="2" t="s">
        <v>65</v>
      </c>
      <c r="D613" s="2" t="s">
        <v>307</v>
      </c>
      <c r="E613" s="2" t="s">
        <v>4</v>
      </c>
      <c r="F613" s="2" t="s">
        <v>5</v>
      </c>
      <c r="G613" s="2" t="s">
        <v>121</v>
      </c>
      <c r="H613" s="2" t="s">
        <v>83</v>
      </c>
      <c r="I613" s="2" t="s">
        <v>3393</v>
      </c>
      <c r="J613" s="3">
        <v>19.59</v>
      </c>
      <c r="K613" s="3">
        <v>19.59</v>
      </c>
      <c r="L613" s="2" t="s">
        <v>3391</v>
      </c>
      <c r="M613" s="2" t="s">
        <v>9</v>
      </c>
      <c r="N613" s="3">
        <v>947</v>
      </c>
      <c r="O613" s="2" t="s">
        <v>261</v>
      </c>
      <c r="P613" s="2" t="s">
        <v>419</v>
      </c>
      <c r="Q613" s="3"/>
      <c r="R613" s="3"/>
      <c r="S613" s="2" t="s">
        <v>21</v>
      </c>
      <c r="T613" s="4">
        <v>44955</v>
      </c>
      <c r="U613" s="2" t="s">
        <v>738</v>
      </c>
      <c r="V613" s="6">
        <f>(Real_Sales[[#This Row],[Price_retail]]-Real_Sales[[#This Row],[Price_current]])/Real_Sales[[#This Row],[Price_retail]]</f>
        <v>0</v>
      </c>
      <c r="W613" s="3" t="str" cm="1">
        <f t="array" ref="W61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3" s="2" t="str">
        <f>IF(Real_Sales[[#This Row],[Price_retail]]&gt;$AC$3,"Premium","Average")</f>
        <v>Premium</v>
      </c>
      <c r="Y613" s="2" t="str">
        <f>IF(ISNUMBER(SEARCH("Basic",Real_Sales[[#This Row],[Product_name]])),"Yes","No")</f>
        <v>Yes</v>
      </c>
      <c r="Z613" s="2" cm="1">
        <f t="array" ref="Z613">_xlfn.IFS(Real_Sales[[#This Row],[Price_retail]]&lt;=15,1, Real_Sales[[#This Row],[Price_retail]]&lt;=30,2, Real_Sales[[#This Row],[Price_retail]]&lt;=50,3,Real_Sales[[#This Row],[Price_retail]]&gt;50,4)</f>
        <v>2</v>
      </c>
    </row>
    <row r="614" spans="1:26" x14ac:dyDescent="0.35">
      <c r="A614" s="2" t="s">
        <v>2274</v>
      </c>
      <c r="B614" s="2" t="s">
        <v>2275</v>
      </c>
      <c r="C614" s="2" t="s">
        <v>242</v>
      </c>
      <c r="D614" s="2" t="s">
        <v>292</v>
      </c>
      <c r="E614" s="2" t="s">
        <v>4</v>
      </c>
      <c r="F614" s="2" t="s">
        <v>17</v>
      </c>
      <c r="G614" s="2" t="s">
        <v>18</v>
      </c>
      <c r="H614" s="2" t="s">
        <v>145</v>
      </c>
      <c r="I614" s="2" t="s">
        <v>3395</v>
      </c>
      <c r="J614" s="3">
        <v>19.690000000000001</v>
      </c>
      <c r="K614" s="3">
        <v>19.690000000000001</v>
      </c>
      <c r="L614" s="2" t="s">
        <v>3391</v>
      </c>
      <c r="M614" s="2" t="s">
        <v>9</v>
      </c>
      <c r="N614" s="3">
        <v>425</v>
      </c>
      <c r="O614" s="2" t="s">
        <v>52</v>
      </c>
      <c r="P614" s="2" t="s">
        <v>169</v>
      </c>
      <c r="Q614" s="3"/>
      <c r="R614" s="3"/>
      <c r="S614" s="2" t="s">
        <v>12</v>
      </c>
      <c r="T614" s="4">
        <v>44955</v>
      </c>
      <c r="U614" s="2" t="s">
        <v>2276</v>
      </c>
      <c r="V614" s="6">
        <f>(Real_Sales[[#This Row],[Price_retail]]-Real_Sales[[#This Row],[Price_current]])/Real_Sales[[#This Row],[Price_retail]]</f>
        <v>0</v>
      </c>
      <c r="W614" s="3" t="str" cm="1">
        <f t="array" ref="W6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4" s="2" t="str">
        <f>IF(Real_Sales[[#This Row],[Price_retail]]&gt;$AC$3,"Premium","Average")</f>
        <v>Premium</v>
      </c>
      <c r="Y614" s="2" t="str">
        <f>IF(ISNUMBER(SEARCH("Basic",Real_Sales[[#This Row],[Product_name]])),"Yes","No")</f>
        <v>No</v>
      </c>
      <c r="Z614" s="2" cm="1">
        <f t="array" ref="Z614">_xlfn.IFS(Real_Sales[[#This Row],[Price_retail]]&lt;=15,1, Real_Sales[[#This Row],[Price_retail]]&lt;=30,2, Real_Sales[[#This Row],[Price_retail]]&lt;=50,3,Real_Sales[[#This Row],[Price_retail]]&gt;50,4)</f>
        <v>2</v>
      </c>
    </row>
    <row r="615" spans="1:26" x14ac:dyDescent="0.35">
      <c r="A615" s="2" t="s">
        <v>2492</v>
      </c>
      <c r="B615" s="2" t="s">
        <v>2493</v>
      </c>
      <c r="C615" s="2" t="s">
        <v>3394</v>
      </c>
      <c r="D615" s="2" t="s">
        <v>338</v>
      </c>
      <c r="E615" s="2" t="s">
        <v>4</v>
      </c>
      <c r="F615" s="2" t="s">
        <v>17</v>
      </c>
      <c r="G615" s="2" t="s">
        <v>67</v>
      </c>
      <c r="H615" s="2" t="s">
        <v>90</v>
      </c>
      <c r="I615" s="2" t="s">
        <v>3390</v>
      </c>
      <c r="J615" s="3">
        <v>19.72</v>
      </c>
      <c r="K615" s="3">
        <v>11.91</v>
      </c>
      <c r="L615" s="2" t="s">
        <v>8</v>
      </c>
      <c r="M615" s="2" t="s">
        <v>9</v>
      </c>
      <c r="N615" s="3">
        <v>739</v>
      </c>
      <c r="O615" s="2" t="s">
        <v>359</v>
      </c>
      <c r="P615" s="2" t="s">
        <v>2211</v>
      </c>
      <c r="Q615" s="3"/>
      <c r="R615" s="3"/>
      <c r="S615" s="2"/>
      <c r="T615" s="4">
        <v>44955</v>
      </c>
      <c r="U615" s="2" t="s">
        <v>2494</v>
      </c>
      <c r="V615" s="6">
        <f>(Real_Sales[[#This Row],[Price_retail]]-Real_Sales[[#This Row],[Price_current]])/Real_Sales[[#This Row],[Price_retail]]</f>
        <v>0.39604462474645025</v>
      </c>
      <c r="W615" s="3" t="str" cm="1">
        <f t="array" ref="W61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15" s="2" t="str">
        <f>IF(Real_Sales[[#This Row],[Price_retail]]&gt;$AC$3,"Premium","Average")</f>
        <v>Premium</v>
      </c>
      <c r="Y615" s="2" t="str">
        <f>IF(ISNUMBER(SEARCH("Basic",Real_Sales[[#This Row],[Product_name]])),"Yes","No")</f>
        <v>No</v>
      </c>
      <c r="Z615" s="2" cm="1">
        <f t="array" ref="Z615">_xlfn.IFS(Real_Sales[[#This Row],[Price_retail]]&lt;=15,1, Real_Sales[[#This Row],[Price_retail]]&lt;=30,2, Real_Sales[[#This Row],[Price_retail]]&lt;=50,3,Real_Sales[[#This Row],[Price_retail]]&gt;50,4)</f>
        <v>2</v>
      </c>
    </row>
    <row r="616" spans="1:26" x14ac:dyDescent="0.35">
      <c r="A616" s="2" t="s">
        <v>1786</v>
      </c>
      <c r="B616" s="2" t="s">
        <v>1787</v>
      </c>
      <c r="C616" s="2" t="s">
        <v>1115</v>
      </c>
      <c r="D616" s="2" t="s">
        <v>1243</v>
      </c>
      <c r="E616" s="2" t="s">
        <v>4</v>
      </c>
      <c r="F616" s="2" t="s">
        <v>17</v>
      </c>
      <c r="G616" s="2" t="s">
        <v>18</v>
      </c>
      <c r="H616" s="2" t="s">
        <v>90</v>
      </c>
      <c r="I616" s="2" t="s">
        <v>3395</v>
      </c>
      <c r="J616" s="3">
        <v>19.73</v>
      </c>
      <c r="K616" s="3">
        <v>19.73</v>
      </c>
      <c r="L616" s="2" t="s">
        <v>3391</v>
      </c>
      <c r="M616" s="2" t="s">
        <v>9</v>
      </c>
      <c r="N616" s="3">
        <v>845</v>
      </c>
      <c r="O616" s="2" t="s">
        <v>267</v>
      </c>
      <c r="P616" s="2" t="s">
        <v>53</v>
      </c>
      <c r="Q616" s="3"/>
      <c r="R616" s="3"/>
      <c r="S616" s="2" t="s">
        <v>21</v>
      </c>
      <c r="T616" s="4">
        <v>44955</v>
      </c>
      <c r="U616" s="2" t="s">
        <v>1788</v>
      </c>
      <c r="V616" s="6">
        <f>(Real_Sales[[#This Row],[Price_retail]]-Real_Sales[[#This Row],[Price_current]])/Real_Sales[[#This Row],[Price_retail]]</f>
        <v>0</v>
      </c>
      <c r="W616" s="3" t="str" cm="1">
        <f t="array" ref="W61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6" s="2" t="str">
        <f>IF(Real_Sales[[#This Row],[Price_retail]]&gt;$AC$3,"Premium","Average")</f>
        <v>Premium</v>
      </c>
      <c r="Y616" s="2" t="str">
        <f>IF(ISNUMBER(SEARCH("Basic",Real_Sales[[#This Row],[Product_name]])),"Yes","No")</f>
        <v>Yes</v>
      </c>
      <c r="Z616" s="2" cm="1">
        <f t="array" ref="Z616">_xlfn.IFS(Real_Sales[[#This Row],[Price_retail]]&lt;=15,1, Real_Sales[[#This Row],[Price_retail]]&lt;=30,2, Real_Sales[[#This Row],[Price_retail]]&lt;=50,3,Real_Sales[[#This Row],[Price_retail]]&gt;50,4)</f>
        <v>2</v>
      </c>
    </row>
    <row r="617" spans="1:26" x14ac:dyDescent="0.35">
      <c r="A617" s="2" t="s">
        <v>2246</v>
      </c>
      <c r="B617" s="2" t="s">
        <v>2247</v>
      </c>
      <c r="C617" s="2" t="s">
        <v>333</v>
      </c>
      <c r="D617" s="2" t="s">
        <v>138</v>
      </c>
      <c r="E617" s="2" t="s">
        <v>4</v>
      </c>
      <c r="F617" s="2" t="s">
        <v>5</v>
      </c>
      <c r="G617" s="2" t="s">
        <v>82</v>
      </c>
      <c r="H617" s="2" t="s">
        <v>139</v>
      </c>
      <c r="I617" s="2" t="s">
        <v>3390</v>
      </c>
      <c r="J617" s="3">
        <v>19.77</v>
      </c>
      <c r="K617" s="3">
        <v>13.69</v>
      </c>
      <c r="L617" s="2" t="s">
        <v>8</v>
      </c>
      <c r="M617" s="2" t="s">
        <v>9</v>
      </c>
      <c r="N617" s="3">
        <v>166</v>
      </c>
      <c r="O617" s="2" t="s">
        <v>267</v>
      </c>
      <c r="P617" s="2" t="s">
        <v>44</v>
      </c>
      <c r="Q617" s="3"/>
      <c r="R617" s="3"/>
      <c r="S617" s="2" t="s">
        <v>21</v>
      </c>
      <c r="T617" s="4">
        <v>44955</v>
      </c>
      <c r="U617" s="2" t="s">
        <v>2248</v>
      </c>
      <c r="V617" s="6">
        <f>(Real_Sales[[#This Row],[Price_retail]]-Real_Sales[[#This Row],[Price_current]])/Real_Sales[[#This Row],[Price_retail]]</f>
        <v>0.30753667172483562</v>
      </c>
      <c r="W617" s="3" t="str" cm="1">
        <f t="array" ref="W61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17" s="2" t="str">
        <f>IF(Real_Sales[[#This Row],[Price_retail]]&gt;$AC$3,"Premium","Average")</f>
        <v>Premium</v>
      </c>
      <c r="Y617" s="2" t="str">
        <f>IF(ISNUMBER(SEARCH("Basic",Real_Sales[[#This Row],[Product_name]])),"Yes","No")</f>
        <v>Yes</v>
      </c>
      <c r="Z617" s="2" cm="1">
        <f t="array" ref="Z617">_xlfn.IFS(Real_Sales[[#This Row],[Price_retail]]&lt;=15,1, Real_Sales[[#This Row],[Price_retail]]&lt;=30,2, Real_Sales[[#This Row],[Price_retail]]&lt;=50,3,Real_Sales[[#This Row],[Price_retail]]&gt;50,4)</f>
        <v>2</v>
      </c>
    </row>
    <row r="618" spans="1:26" x14ac:dyDescent="0.35">
      <c r="A618" s="2" t="s">
        <v>3275</v>
      </c>
      <c r="B618" s="2" t="s">
        <v>3276</v>
      </c>
      <c r="C618" s="2" t="s">
        <v>3433</v>
      </c>
      <c r="D618" s="2" t="s">
        <v>97</v>
      </c>
      <c r="E618" s="2" t="s">
        <v>4</v>
      </c>
      <c r="F618" s="2" t="s">
        <v>5</v>
      </c>
      <c r="G618" s="2" t="s">
        <v>6</v>
      </c>
      <c r="H618" s="2" t="s">
        <v>90</v>
      </c>
      <c r="I618" s="2" t="s">
        <v>3390</v>
      </c>
      <c r="J618" s="3">
        <v>19.809999999999999</v>
      </c>
      <c r="K618" s="3">
        <v>19.809999999999999</v>
      </c>
      <c r="L618" s="2" t="s">
        <v>3391</v>
      </c>
      <c r="M618" s="2" t="s">
        <v>9</v>
      </c>
      <c r="N618" s="3">
        <v>247</v>
      </c>
      <c r="O618" s="2" t="s">
        <v>43</v>
      </c>
      <c r="P618" s="2" t="s">
        <v>238</v>
      </c>
      <c r="Q618" s="3"/>
      <c r="R618" s="3"/>
      <c r="S618" s="2" t="s">
        <v>21</v>
      </c>
      <c r="T618" s="4">
        <v>44955</v>
      </c>
      <c r="U618" s="2" t="s">
        <v>3277</v>
      </c>
      <c r="V618" s="6">
        <f>(Real_Sales[[#This Row],[Price_retail]]-Real_Sales[[#This Row],[Price_current]])/Real_Sales[[#This Row],[Price_retail]]</f>
        <v>0</v>
      </c>
      <c r="W618" s="3" t="str" cm="1">
        <f t="array" ref="W6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18" s="2" t="str">
        <f>IF(Real_Sales[[#This Row],[Price_retail]]&gt;$AC$3,"Premium","Average")</f>
        <v>Premium</v>
      </c>
      <c r="Y618" s="2" t="str">
        <f>IF(ISNUMBER(SEARCH("Basic",Real_Sales[[#This Row],[Product_name]])),"Yes","No")</f>
        <v>No</v>
      </c>
      <c r="Z618" s="2" cm="1">
        <f t="array" ref="Z618">_xlfn.IFS(Real_Sales[[#This Row],[Price_retail]]&lt;=15,1, Real_Sales[[#This Row],[Price_retail]]&lt;=30,2, Real_Sales[[#This Row],[Price_retail]]&lt;=50,3,Real_Sales[[#This Row],[Price_retail]]&gt;50,4)</f>
        <v>2</v>
      </c>
    </row>
    <row r="619" spans="1:26" x14ac:dyDescent="0.35">
      <c r="A619" s="2" t="s">
        <v>1831</v>
      </c>
      <c r="B619" s="2" t="s">
        <v>1832</v>
      </c>
      <c r="C619" s="2" t="s">
        <v>65</v>
      </c>
      <c r="D619" s="2" t="s">
        <v>526</v>
      </c>
      <c r="E619" s="2" t="s">
        <v>4</v>
      </c>
      <c r="F619" s="2" t="s">
        <v>5</v>
      </c>
      <c r="G619" s="2" t="s">
        <v>121</v>
      </c>
      <c r="H619" s="2"/>
      <c r="I619" s="2" t="s">
        <v>3390</v>
      </c>
      <c r="J619" s="3">
        <v>19.84</v>
      </c>
      <c r="K619" s="3">
        <v>13.31</v>
      </c>
      <c r="L619" s="2" t="s">
        <v>8</v>
      </c>
      <c r="M619" s="2" t="s">
        <v>9</v>
      </c>
      <c r="N619" s="3">
        <v>207</v>
      </c>
      <c r="O619" s="2" t="s">
        <v>43</v>
      </c>
      <c r="P619" s="2" t="s">
        <v>221</v>
      </c>
      <c r="Q619" s="3"/>
      <c r="R619" s="3"/>
      <c r="S619" s="2" t="s">
        <v>21</v>
      </c>
      <c r="T619" s="4">
        <v>44955</v>
      </c>
      <c r="U619" s="2" t="s">
        <v>1833</v>
      </c>
      <c r="V619" s="6">
        <f>(Real_Sales[[#This Row],[Price_retail]]-Real_Sales[[#This Row],[Price_current]])/Real_Sales[[#This Row],[Price_retail]]</f>
        <v>0.329133064516129</v>
      </c>
      <c r="W619" s="3" t="str" cm="1">
        <f t="array" ref="W61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19" s="2" t="str">
        <f>IF(Real_Sales[[#This Row],[Price_retail]]&gt;$AC$3,"Premium","Average")</f>
        <v>Premium</v>
      </c>
      <c r="Y619" s="2" t="str">
        <f>IF(ISNUMBER(SEARCH("Basic",Real_Sales[[#This Row],[Product_name]])),"Yes","No")</f>
        <v>No</v>
      </c>
      <c r="Z619" s="2" cm="1">
        <f t="array" ref="Z619">_xlfn.IFS(Real_Sales[[#This Row],[Price_retail]]&lt;=15,1, Real_Sales[[#This Row],[Price_retail]]&lt;=30,2, Real_Sales[[#This Row],[Price_retail]]&lt;=50,3,Real_Sales[[#This Row],[Price_retail]]&gt;50,4)</f>
        <v>2</v>
      </c>
    </row>
    <row r="620" spans="1:26" x14ac:dyDescent="0.35">
      <c r="A620" s="2" t="s">
        <v>188</v>
      </c>
      <c r="B620" s="2" t="s">
        <v>189</v>
      </c>
      <c r="C620" s="2" t="s">
        <v>65</v>
      </c>
      <c r="D620" s="2" t="s">
        <v>190</v>
      </c>
      <c r="E620" s="2" t="s">
        <v>4</v>
      </c>
      <c r="F620" s="2" t="s">
        <v>5</v>
      </c>
      <c r="G620" s="2" t="s">
        <v>82</v>
      </c>
      <c r="H620" s="2" t="s">
        <v>134</v>
      </c>
      <c r="I620" s="2" t="s">
        <v>3393</v>
      </c>
      <c r="J620" s="3">
        <v>19.84</v>
      </c>
      <c r="K620" s="3">
        <v>19.84</v>
      </c>
      <c r="L620" s="2" t="s">
        <v>3391</v>
      </c>
      <c r="M620" s="2" t="s">
        <v>9</v>
      </c>
      <c r="N620" s="3">
        <v>380</v>
      </c>
      <c r="O620" s="2" t="s">
        <v>191</v>
      </c>
      <c r="P620" s="2" t="s">
        <v>192</v>
      </c>
      <c r="Q620" s="3"/>
      <c r="R620" s="3"/>
      <c r="S620" s="2" t="s">
        <v>12</v>
      </c>
      <c r="T620" s="4">
        <v>44955</v>
      </c>
      <c r="U620" s="2" t="s">
        <v>193</v>
      </c>
      <c r="V620" s="6">
        <f>(Real_Sales[[#This Row],[Price_retail]]-Real_Sales[[#This Row],[Price_current]])/Real_Sales[[#This Row],[Price_retail]]</f>
        <v>0</v>
      </c>
      <c r="W620" s="3" t="str" cm="1">
        <f t="array" ref="W62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20" s="2" t="str">
        <f>IF(Real_Sales[[#This Row],[Price_retail]]&gt;$AC$3,"Premium","Average")</f>
        <v>Premium</v>
      </c>
      <c r="Y620" s="2" t="str">
        <f>IF(ISNUMBER(SEARCH("Basic",Real_Sales[[#This Row],[Product_name]])),"Yes","No")</f>
        <v>Yes</v>
      </c>
      <c r="Z620" s="2" cm="1">
        <f t="array" ref="Z620">_xlfn.IFS(Real_Sales[[#This Row],[Price_retail]]&lt;=15,1, Real_Sales[[#This Row],[Price_retail]]&lt;=30,2, Real_Sales[[#This Row],[Price_retail]]&lt;=50,3,Real_Sales[[#This Row],[Price_retail]]&gt;50,4)</f>
        <v>2</v>
      </c>
    </row>
    <row r="621" spans="1:26" x14ac:dyDescent="0.35">
      <c r="A621" s="2" t="s">
        <v>2647</v>
      </c>
      <c r="B621" s="2" t="s">
        <v>2648</v>
      </c>
      <c r="C621" s="2" t="s">
        <v>1355</v>
      </c>
      <c r="D621" s="2" t="s">
        <v>266</v>
      </c>
      <c r="E621" s="2" t="s">
        <v>4</v>
      </c>
      <c r="F621" s="2" t="s">
        <v>17</v>
      </c>
      <c r="G621" s="2" t="s">
        <v>18</v>
      </c>
      <c r="H621" s="2" t="s">
        <v>237</v>
      </c>
      <c r="I621" s="2" t="s">
        <v>3390</v>
      </c>
      <c r="J621" s="3">
        <v>19.850000000000001</v>
      </c>
      <c r="K621" s="3">
        <v>15.28</v>
      </c>
      <c r="L621" s="2" t="s">
        <v>8</v>
      </c>
      <c r="M621" s="2" t="s">
        <v>9</v>
      </c>
      <c r="N621" s="3">
        <v>477</v>
      </c>
      <c r="O621" s="2" t="s">
        <v>267</v>
      </c>
      <c r="P621" s="2" t="s">
        <v>215</v>
      </c>
      <c r="Q621" s="3"/>
      <c r="R621" s="3"/>
      <c r="S621" s="2" t="s">
        <v>12</v>
      </c>
      <c r="T621" s="4">
        <v>44955</v>
      </c>
      <c r="U621" s="2" t="s">
        <v>2649</v>
      </c>
      <c r="V621" s="6">
        <f>(Real_Sales[[#This Row],[Price_retail]]-Real_Sales[[#This Row],[Price_current]])/Real_Sales[[#This Row],[Price_retail]]</f>
        <v>0.23022670025188927</v>
      </c>
      <c r="W621" s="3" t="str" cm="1">
        <f t="array" ref="W62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21" s="2" t="str">
        <f>IF(Real_Sales[[#This Row],[Price_retail]]&gt;$AC$3,"Premium","Average")</f>
        <v>Premium</v>
      </c>
      <c r="Y621" s="2" t="str">
        <f>IF(ISNUMBER(SEARCH("Basic",Real_Sales[[#This Row],[Product_name]])),"Yes","No")</f>
        <v>No</v>
      </c>
      <c r="Z621" s="2" cm="1">
        <f t="array" ref="Z621">_xlfn.IFS(Real_Sales[[#This Row],[Price_retail]]&lt;=15,1, Real_Sales[[#This Row],[Price_retail]]&lt;=30,2, Real_Sales[[#This Row],[Price_retail]]&lt;=50,3,Real_Sales[[#This Row],[Price_retail]]&gt;50,4)</f>
        <v>2</v>
      </c>
    </row>
    <row r="622" spans="1:26" x14ac:dyDescent="0.35">
      <c r="A622" s="2" t="s">
        <v>1270</v>
      </c>
      <c r="B622" s="2" t="s">
        <v>1271</v>
      </c>
      <c r="C622" s="2" t="s">
        <v>3434</v>
      </c>
      <c r="D622" s="2" t="s">
        <v>557</v>
      </c>
      <c r="E622" s="2" t="s">
        <v>4</v>
      </c>
      <c r="F622" s="2" t="s">
        <v>5</v>
      </c>
      <c r="G622" s="2" t="s">
        <v>121</v>
      </c>
      <c r="H622" s="2" t="s">
        <v>28</v>
      </c>
      <c r="I622" s="2" t="s">
        <v>3390</v>
      </c>
      <c r="J622" s="3">
        <v>19.920000000000002</v>
      </c>
      <c r="K622" s="3">
        <v>19.920000000000002</v>
      </c>
      <c r="L622" s="2" t="s">
        <v>3391</v>
      </c>
      <c r="M622" s="2" t="s">
        <v>9</v>
      </c>
      <c r="N622" s="3">
        <v>624</v>
      </c>
      <c r="O622" s="2" t="s">
        <v>163</v>
      </c>
      <c r="P622" s="2" t="s">
        <v>70</v>
      </c>
      <c r="Q622" s="3"/>
      <c r="R622" s="3"/>
      <c r="S622" s="2" t="s">
        <v>21</v>
      </c>
      <c r="T622" s="4">
        <v>44955</v>
      </c>
      <c r="U622" s="2" t="s">
        <v>1272</v>
      </c>
      <c r="V622" s="6">
        <f>(Real_Sales[[#This Row],[Price_retail]]-Real_Sales[[#This Row],[Price_current]])/Real_Sales[[#This Row],[Price_retail]]</f>
        <v>0</v>
      </c>
      <c r="W622" s="3" t="str" cm="1">
        <f t="array" ref="W6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22" s="2" t="str">
        <f>IF(Real_Sales[[#This Row],[Price_retail]]&gt;$AC$3,"Premium","Average")</f>
        <v>Premium</v>
      </c>
      <c r="Y622" s="2" t="str">
        <f>IF(ISNUMBER(SEARCH("Basic",Real_Sales[[#This Row],[Product_name]])),"Yes","No")</f>
        <v>No</v>
      </c>
      <c r="Z622" s="2" cm="1">
        <f t="array" ref="Z622">_xlfn.IFS(Real_Sales[[#This Row],[Price_retail]]&lt;=15,1, Real_Sales[[#This Row],[Price_retail]]&lt;=30,2, Real_Sales[[#This Row],[Price_retail]]&lt;=50,3,Real_Sales[[#This Row],[Price_retail]]&gt;50,4)</f>
        <v>2</v>
      </c>
    </row>
    <row r="623" spans="1:26" x14ac:dyDescent="0.35">
      <c r="A623" s="2" t="s">
        <v>2341</v>
      </c>
      <c r="B623" s="2" t="s">
        <v>2342</v>
      </c>
      <c r="C623" s="2" t="s">
        <v>108</v>
      </c>
      <c r="D623" s="2" t="s">
        <v>214</v>
      </c>
      <c r="E623" s="2" t="s">
        <v>4</v>
      </c>
      <c r="F623" s="2" t="s">
        <v>5</v>
      </c>
      <c r="G623" s="2" t="s">
        <v>6</v>
      </c>
      <c r="H623" s="2" t="s">
        <v>139</v>
      </c>
      <c r="I623" s="2" t="s">
        <v>3395</v>
      </c>
      <c r="J623" s="3">
        <v>19.96</v>
      </c>
      <c r="K623" s="3">
        <v>19.96</v>
      </c>
      <c r="L623" s="2" t="s">
        <v>3391</v>
      </c>
      <c r="M623" s="2" t="s">
        <v>9</v>
      </c>
      <c r="N623" s="3">
        <v>908</v>
      </c>
      <c r="O623" s="2" t="s">
        <v>191</v>
      </c>
      <c r="P623" s="2" t="s">
        <v>368</v>
      </c>
      <c r="Q623" s="3"/>
      <c r="R623" s="3"/>
      <c r="S623" s="2" t="s">
        <v>21</v>
      </c>
      <c r="T623" s="4">
        <v>44955</v>
      </c>
      <c r="U623" s="2" t="s">
        <v>2343</v>
      </c>
      <c r="V623" s="6">
        <f>(Real_Sales[[#This Row],[Price_retail]]-Real_Sales[[#This Row],[Price_current]])/Real_Sales[[#This Row],[Price_retail]]</f>
        <v>0</v>
      </c>
      <c r="W623" s="3" t="str" cm="1">
        <f t="array" ref="W62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23" s="2" t="str">
        <f>IF(Real_Sales[[#This Row],[Price_retail]]&gt;$AC$3,"Premium","Average")</f>
        <v>Premium</v>
      </c>
      <c r="Y623" s="2" t="str">
        <f>IF(ISNUMBER(SEARCH("Basic",Real_Sales[[#This Row],[Product_name]])),"Yes","No")</f>
        <v>No</v>
      </c>
      <c r="Z623" s="2" cm="1">
        <f t="array" ref="Z623">_xlfn.IFS(Real_Sales[[#This Row],[Price_retail]]&lt;=15,1, Real_Sales[[#This Row],[Price_retail]]&lt;=30,2, Real_Sales[[#This Row],[Price_retail]]&lt;=50,3,Real_Sales[[#This Row],[Price_retail]]&gt;50,4)</f>
        <v>2</v>
      </c>
    </row>
    <row r="624" spans="1:26" x14ac:dyDescent="0.35">
      <c r="A624" s="2" t="s">
        <v>1008</v>
      </c>
      <c r="B624" s="2" t="s">
        <v>1009</v>
      </c>
      <c r="C624" s="2" t="s">
        <v>1010</v>
      </c>
      <c r="D624" s="2" t="s">
        <v>1011</v>
      </c>
      <c r="E624" s="2" t="s">
        <v>4</v>
      </c>
      <c r="F624" s="2" t="s">
        <v>17</v>
      </c>
      <c r="G624" s="2" t="s">
        <v>50</v>
      </c>
      <c r="H624" s="2" t="s">
        <v>68</v>
      </c>
      <c r="I624" s="2" t="s">
        <v>3393</v>
      </c>
      <c r="J624" s="3">
        <v>19.98</v>
      </c>
      <c r="K624" s="3">
        <v>19.98</v>
      </c>
      <c r="L624" s="2" t="s">
        <v>3391</v>
      </c>
      <c r="M624" s="2" t="s">
        <v>9</v>
      </c>
      <c r="N624" s="3">
        <v>534</v>
      </c>
      <c r="O624" s="2" t="s">
        <v>20</v>
      </c>
      <c r="P624" s="2" t="s">
        <v>3392</v>
      </c>
      <c r="Q624" s="3"/>
      <c r="R624" s="3"/>
      <c r="S624" s="2" t="s">
        <v>12</v>
      </c>
      <c r="T624" s="4">
        <v>44955</v>
      </c>
      <c r="U624" s="2" t="s">
        <v>1012</v>
      </c>
      <c r="V624" s="6">
        <f>(Real_Sales[[#This Row],[Price_retail]]-Real_Sales[[#This Row],[Price_current]])/Real_Sales[[#This Row],[Price_retail]]</f>
        <v>0</v>
      </c>
      <c r="W624" s="3" t="str" cm="1">
        <f t="array" ref="W62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24" s="2" t="str">
        <f>IF(Real_Sales[[#This Row],[Price_retail]]&gt;$AC$3,"Premium","Average")</f>
        <v>Premium</v>
      </c>
      <c r="Y624" s="2" t="str">
        <f>IF(ISNUMBER(SEARCH("Basic",Real_Sales[[#This Row],[Product_name]])),"Yes","No")</f>
        <v>No</v>
      </c>
      <c r="Z624" s="2" cm="1">
        <f t="array" ref="Z624">_xlfn.IFS(Real_Sales[[#This Row],[Price_retail]]&lt;=15,1, Real_Sales[[#This Row],[Price_retail]]&lt;=30,2, Real_Sales[[#This Row],[Price_retail]]&lt;=50,3,Real_Sales[[#This Row],[Price_retail]]&gt;50,4)</f>
        <v>2</v>
      </c>
    </row>
    <row r="625" spans="1:26" x14ac:dyDescent="0.35">
      <c r="A625" s="2" t="s">
        <v>2066</v>
      </c>
      <c r="B625" s="2" t="s">
        <v>2067</v>
      </c>
      <c r="C625" s="2" t="s">
        <v>484</v>
      </c>
      <c r="D625" s="2" t="s">
        <v>42</v>
      </c>
      <c r="E625" s="2" t="s">
        <v>4</v>
      </c>
      <c r="F625" s="2" t="s">
        <v>5</v>
      </c>
      <c r="G625" s="2" t="s">
        <v>121</v>
      </c>
      <c r="H625" s="2" t="s">
        <v>19</v>
      </c>
      <c r="I625" s="2" t="s">
        <v>3390</v>
      </c>
      <c r="J625" s="3">
        <v>20.02</v>
      </c>
      <c r="K625" s="3">
        <v>17.87</v>
      </c>
      <c r="L625" s="2" t="s">
        <v>8</v>
      </c>
      <c r="M625" s="2" t="s">
        <v>9</v>
      </c>
      <c r="N625" s="3">
        <v>736</v>
      </c>
      <c r="O625" s="2" t="s">
        <v>36</v>
      </c>
      <c r="P625" s="2" t="s">
        <v>192</v>
      </c>
      <c r="Q625" s="3"/>
      <c r="R625" s="3"/>
      <c r="S625" s="2" t="s">
        <v>21</v>
      </c>
      <c r="T625" s="4">
        <v>44955</v>
      </c>
      <c r="U625" s="2" t="s">
        <v>2068</v>
      </c>
      <c r="V625" s="6">
        <f>(Real_Sales[[#This Row],[Price_retail]]-Real_Sales[[#This Row],[Price_current]])/Real_Sales[[#This Row],[Price_retail]]</f>
        <v>0.10739260739260732</v>
      </c>
      <c r="W625" s="3" t="str" cm="1">
        <f t="array" ref="W62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25" s="2" t="str">
        <f>IF(Real_Sales[[#This Row],[Price_retail]]&gt;$AC$3,"Premium","Average")</f>
        <v>Premium</v>
      </c>
      <c r="Y625" s="2" t="str">
        <f>IF(ISNUMBER(SEARCH("Basic",Real_Sales[[#This Row],[Product_name]])),"Yes","No")</f>
        <v>No</v>
      </c>
      <c r="Z625" s="2" cm="1">
        <f t="array" ref="Z625">_xlfn.IFS(Real_Sales[[#This Row],[Price_retail]]&lt;=15,1, Real_Sales[[#This Row],[Price_retail]]&lt;=30,2, Real_Sales[[#This Row],[Price_retail]]&lt;=50,3,Real_Sales[[#This Row],[Price_retail]]&gt;50,4)</f>
        <v>2</v>
      </c>
    </row>
    <row r="626" spans="1:26" x14ac:dyDescent="0.35">
      <c r="A626" s="2" t="s">
        <v>528</v>
      </c>
      <c r="B626" s="2" t="s">
        <v>529</v>
      </c>
      <c r="C626" s="2" t="s">
        <v>65</v>
      </c>
      <c r="D626" s="2" t="s">
        <v>190</v>
      </c>
      <c r="E626" s="2" t="s">
        <v>4</v>
      </c>
      <c r="F626" s="2" t="s">
        <v>5</v>
      </c>
      <c r="G626" s="2" t="s">
        <v>82</v>
      </c>
      <c r="H626" s="2" t="s">
        <v>134</v>
      </c>
      <c r="I626" s="2" t="s">
        <v>3390</v>
      </c>
      <c r="J626" s="3">
        <v>20.09</v>
      </c>
      <c r="K626" s="3">
        <v>20.09</v>
      </c>
      <c r="L626" s="2" t="s">
        <v>3391</v>
      </c>
      <c r="M626" s="2" t="s">
        <v>9</v>
      </c>
      <c r="N626" s="3">
        <v>447</v>
      </c>
      <c r="O626" s="2" t="s">
        <v>29</v>
      </c>
      <c r="P626" s="2" t="s">
        <v>92</v>
      </c>
      <c r="Q626" s="3"/>
      <c r="R626" s="3"/>
      <c r="S626" s="2" t="s">
        <v>21</v>
      </c>
      <c r="T626" s="4">
        <v>44955</v>
      </c>
      <c r="U626" s="2" t="s">
        <v>530</v>
      </c>
      <c r="V626" s="6">
        <f>(Real_Sales[[#This Row],[Price_retail]]-Real_Sales[[#This Row],[Price_current]])/Real_Sales[[#This Row],[Price_retail]]</f>
        <v>0</v>
      </c>
      <c r="W626" s="3" t="str" cm="1">
        <f t="array" ref="W62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26" s="2" t="str">
        <f>IF(Real_Sales[[#This Row],[Price_retail]]&gt;$AC$3,"Premium","Average")</f>
        <v>Premium</v>
      </c>
      <c r="Y626" s="2" t="str">
        <f>IF(ISNUMBER(SEARCH("Basic",Real_Sales[[#This Row],[Product_name]])),"Yes","No")</f>
        <v>Yes</v>
      </c>
      <c r="Z626" s="2" cm="1">
        <f t="array" ref="Z626">_xlfn.IFS(Real_Sales[[#This Row],[Price_retail]]&lt;=15,1, Real_Sales[[#This Row],[Price_retail]]&lt;=30,2, Real_Sales[[#This Row],[Price_retail]]&lt;=50,3,Real_Sales[[#This Row],[Price_retail]]&gt;50,4)</f>
        <v>2</v>
      </c>
    </row>
    <row r="627" spans="1:26" x14ac:dyDescent="0.35">
      <c r="A627" s="2" t="s">
        <v>2761</v>
      </c>
      <c r="B627" s="2" t="s">
        <v>2762</v>
      </c>
      <c r="C627" s="2" t="s">
        <v>3394</v>
      </c>
      <c r="D627" s="2" t="s">
        <v>354</v>
      </c>
      <c r="E627" s="2" t="s">
        <v>4</v>
      </c>
      <c r="F627" s="2" t="s">
        <v>17</v>
      </c>
      <c r="G627" s="2" t="s">
        <v>50</v>
      </c>
      <c r="H627" s="2"/>
      <c r="I627" s="2" t="s">
        <v>3390</v>
      </c>
      <c r="J627" s="3">
        <v>20.09</v>
      </c>
      <c r="K627" s="3">
        <v>20.09</v>
      </c>
      <c r="L627" s="2" t="s">
        <v>3391</v>
      </c>
      <c r="M627" s="2" t="s">
        <v>9</v>
      </c>
      <c r="N627" s="3">
        <v>162</v>
      </c>
      <c r="O627" s="2" t="s">
        <v>60</v>
      </c>
      <c r="P627" s="2" t="s">
        <v>37</v>
      </c>
      <c r="Q627" s="3"/>
      <c r="R627" s="3"/>
      <c r="S627" s="2" t="s">
        <v>12</v>
      </c>
      <c r="T627" s="4">
        <v>44955</v>
      </c>
      <c r="U627" s="2" t="s">
        <v>2763</v>
      </c>
      <c r="V627" s="6">
        <f>(Real_Sales[[#This Row],[Price_retail]]-Real_Sales[[#This Row],[Price_current]])/Real_Sales[[#This Row],[Price_retail]]</f>
        <v>0</v>
      </c>
      <c r="W627" s="3" t="str" cm="1">
        <f t="array" ref="W62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27" s="2" t="str">
        <f>IF(Real_Sales[[#This Row],[Price_retail]]&gt;$AC$3,"Premium","Average")</f>
        <v>Premium</v>
      </c>
      <c r="Y627" s="2" t="str">
        <f>IF(ISNUMBER(SEARCH("Basic",Real_Sales[[#This Row],[Product_name]])),"Yes","No")</f>
        <v>No</v>
      </c>
      <c r="Z627" s="2" cm="1">
        <f t="array" ref="Z627">_xlfn.IFS(Real_Sales[[#This Row],[Price_retail]]&lt;=15,1, Real_Sales[[#This Row],[Price_retail]]&lt;=30,2, Real_Sales[[#This Row],[Price_retail]]&lt;=50,3,Real_Sales[[#This Row],[Price_retail]]&gt;50,4)</f>
        <v>2</v>
      </c>
    </row>
    <row r="628" spans="1:26" x14ac:dyDescent="0.35">
      <c r="A628" s="2" t="s">
        <v>1817</v>
      </c>
      <c r="B628" s="2" t="s">
        <v>1818</v>
      </c>
      <c r="C628" s="2" t="s">
        <v>242</v>
      </c>
      <c r="D628" s="2" t="s">
        <v>314</v>
      </c>
      <c r="E628" s="2" t="s">
        <v>4</v>
      </c>
      <c r="F628" s="2" t="s">
        <v>17</v>
      </c>
      <c r="G628" s="2" t="s">
        <v>27</v>
      </c>
      <c r="H628" s="2" t="s">
        <v>59</v>
      </c>
      <c r="I628" s="2" t="s">
        <v>3390</v>
      </c>
      <c r="J628" s="3">
        <v>20.12</v>
      </c>
      <c r="K628" s="3">
        <v>12.56</v>
      </c>
      <c r="L628" s="2" t="s">
        <v>8</v>
      </c>
      <c r="M628" s="2" t="s">
        <v>9</v>
      </c>
      <c r="N628" s="3">
        <v>898</v>
      </c>
      <c r="O628" s="2" t="s">
        <v>140</v>
      </c>
      <c r="P628" s="2" t="s">
        <v>70</v>
      </c>
      <c r="Q628" s="3"/>
      <c r="R628" s="3"/>
      <c r="S628" s="2" t="s">
        <v>21</v>
      </c>
      <c r="T628" s="4">
        <v>44955</v>
      </c>
      <c r="U628" s="2" t="s">
        <v>1819</v>
      </c>
      <c r="V628" s="6">
        <f>(Real_Sales[[#This Row],[Price_retail]]-Real_Sales[[#This Row],[Price_current]])/Real_Sales[[#This Row],[Price_retail]]</f>
        <v>0.37574552683896623</v>
      </c>
      <c r="W628" s="3" t="str" cm="1">
        <f t="array" ref="W62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28" s="2" t="str">
        <f>IF(Real_Sales[[#This Row],[Price_retail]]&gt;$AC$3,"Premium","Average")</f>
        <v>Premium</v>
      </c>
      <c r="Y628" s="2" t="str">
        <f>IF(ISNUMBER(SEARCH("Basic",Real_Sales[[#This Row],[Product_name]])),"Yes","No")</f>
        <v>No</v>
      </c>
      <c r="Z628" s="2" cm="1">
        <f t="array" ref="Z628">_xlfn.IFS(Real_Sales[[#This Row],[Price_retail]]&lt;=15,1, Real_Sales[[#This Row],[Price_retail]]&lt;=30,2, Real_Sales[[#This Row],[Price_retail]]&lt;=50,3,Real_Sales[[#This Row],[Price_retail]]&gt;50,4)</f>
        <v>2</v>
      </c>
    </row>
    <row r="629" spans="1:26" x14ac:dyDescent="0.35">
      <c r="A629" s="2" t="s">
        <v>2298</v>
      </c>
      <c r="B629" s="2" t="s">
        <v>2299</v>
      </c>
      <c r="C629" s="2" t="s">
        <v>25</v>
      </c>
      <c r="D629" s="2" t="s">
        <v>301</v>
      </c>
      <c r="E629" s="2" t="s">
        <v>4</v>
      </c>
      <c r="F629" s="2" t="s">
        <v>17</v>
      </c>
      <c r="G629" s="2" t="s">
        <v>67</v>
      </c>
      <c r="H629" s="2" t="s">
        <v>145</v>
      </c>
      <c r="I629" s="2" t="s">
        <v>3393</v>
      </c>
      <c r="J629" s="3">
        <v>20.12</v>
      </c>
      <c r="K629" s="3">
        <v>17.68</v>
      </c>
      <c r="L629" s="2" t="s">
        <v>8</v>
      </c>
      <c r="M629" s="2" t="s">
        <v>9</v>
      </c>
      <c r="N629" s="3">
        <v>518</v>
      </c>
      <c r="O629" s="2" t="s">
        <v>104</v>
      </c>
      <c r="P629" s="2" t="s">
        <v>283</v>
      </c>
      <c r="Q629" s="3"/>
      <c r="R629" s="3"/>
      <c r="S629" s="2" t="s">
        <v>12</v>
      </c>
      <c r="T629" s="4">
        <v>44955</v>
      </c>
      <c r="U629" s="2" t="s">
        <v>2300</v>
      </c>
      <c r="V629" s="6">
        <f>(Real_Sales[[#This Row],[Price_retail]]-Real_Sales[[#This Row],[Price_current]])/Real_Sales[[#This Row],[Price_retail]]</f>
        <v>0.12127236580516905</v>
      </c>
      <c r="W629" s="3" t="str" cm="1">
        <f t="array" ref="W62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29" s="2" t="str">
        <f>IF(Real_Sales[[#This Row],[Price_retail]]&gt;$AC$3,"Premium","Average")</f>
        <v>Premium</v>
      </c>
      <c r="Y629" s="2" t="str">
        <f>IF(ISNUMBER(SEARCH("Basic",Real_Sales[[#This Row],[Product_name]])),"Yes","No")</f>
        <v>No</v>
      </c>
      <c r="Z629" s="2" cm="1">
        <f t="array" ref="Z629">_xlfn.IFS(Real_Sales[[#This Row],[Price_retail]]&lt;=15,1, Real_Sales[[#This Row],[Price_retail]]&lt;=30,2, Real_Sales[[#This Row],[Price_retail]]&lt;=50,3,Real_Sales[[#This Row],[Price_retail]]&gt;50,4)</f>
        <v>2</v>
      </c>
    </row>
    <row r="630" spans="1:26" x14ac:dyDescent="0.35">
      <c r="A630" s="2" t="s">
        <v>3062</v>
      </c>
      <c r="B630" s="2" t="s">
        <v>3063</v>
      </c>
      <c r="C630" s="2" t="s">
        <v>750</v>
      </c>
      <c r="D630" s="2" t="s">
        <v>225</v>
      </c>
      <c r="E630" s="2" t="s">
        <v>4</v>
      </c>
      <c r="F630" s="2" t="s">
        <v>17</v>
      </c>
      <c r="G630" s="2" t="s">
        <v>18</v>
      </c>
      <c r="H630" s="2" t="s">
        <v>110</v>
      </c>
      <c r="I630" s="2" t="s">
        <v>3390</v>
      </c>
      <c r="J630" s="3">
        <v>20.14</v>
      </c>
      <c r="K630" s="3">
        <v>20.14</v>
      </c>
      <c r="L630" s="2" t="s">
        <v>3391</v>
      </c>
      <c r="M630" s="2" t="s">
        <v>9</v>
      </c>
      <c r="N630" s="3">
        <v>462</v>
      </c>
      <c r="O630" s="2" t="s">
        <v>3392</v>
      </c>
      <c r="P630" s="2" t="s">
        <v>128</v>
      </c>
      <c r="Q630" s="3"/>
      <c r="R630" s="3"/>
      <c r="S630" s="2" t="s">
        <v>21</v>
      </c>
      <c r="T630" s="4">
        <v>44955</v>
      </c>
      <c r="U630" s="2" t="s">
        <v>3064</v>
      </c>
      <c r="V630" s="6">
        <f>(Real_Sales[[#This Row],[Price_retail]]-Real_Sales[[#This Row],[Price_current]])/Real_Sales[[#This Row],[Price_retail]]</f>
        <v>0</v>
      </c>
      <c r="W630" s="3" t="str" cm="1">
        <f t="array" ref="W6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0" s="2" t="str">
        <f>IF(Real_Sales[[#This Row],[Price_retail]]&gt;$AC$3,"Premium","Average")</f>
        <v>Premium</v>
      </c>
      <c r="Y630" s="2" t="str">
        <f>IF(ISNUMBER(SEARCH("Basic",Real_Sales[[#This Row],[Product_name]])),"Yes","No")</f>
        <v>No</v>
      </c>
      <c r="Z630" s="2" cm="1">
        <f t="array" ref="Z630">_xlfn.IFS(Real_Sales[[#This Row],[Price_retail]]&lt;=15,1, Real_Sales[[#This Row],[Price_retail]]&lt;=30,2, Real_Sales[[#This Row],[Price_retail]]&lt;=50,3,Real_Sales[[#This Row],[Price_retail]]&gt;50,4)</f>
        <v>2</v>
      </c>
    </row>
    <row r="631" spans="1:26" x14ac:dyDescent="0.35">
      <c r="A631" s="2" t="s">
        <v>911</v>
      </c>
      <c r="B631" s="2" t="s">
        <v>912</v>
      </c>
      <c r="C631" s="2" t="s">
        <v>242</v>
      </c>
      <c r="D631" s="2" t="s">
        <v>913</v>
      </c>
      <c r="E631" s="2" t="s">
        <v>4</v>
      </c>
      <c r="F631" s="2" t="s">
        <v>17</v>
      </c>
      <c r="G631" s="2" t="s">
        <v>18</v>
      </c>
      <c r="H631" s="2" t="s">
        <v>51</v>
      </c>
      <c r="I631" s="2" t="s">
        <v>3389</v>
      </c>
      <c r="J631" s="3">
        <v>20.190000000000001</v>
      </c>
      <c r="K631" s="3">
        <v>20.190000000000001</v>
      </c>
      <c r="L631" s="2" t="s">
        <v>3391</v>
      </c>
      <c r="M631" s="2" t="s">
        <v>9</v>
      </c>
      <c r="N631" s="3">
        <v>666</v>
      </c>
      <c r="O631" s="2" t="s">
        <v>91</v>
      </c>
      <c r="P631" s="2" t="s">
        <v>53</v>
      </c>
      <c r="Q631" s="3"/>
      <c r="R631" s="3"/>
      <c r="S631" s="2" t="s">
        <v>21</v>
      </c>
      <c r="T631" s="4">
        <v>44955</v>
      </c>
      <c r="U631" s="2" t="s">
        <v>914</v>
      </c>
      <c r="V631" s="6">
        <f>(Real_Sales[[#This Row],[Price_retail]]-Real_Sales[[#This Row],[Price_current]])/Real_Sales[[#This Row],[Price_retail]]</f>
        <v>0</v>
      </c>
      <c r="W631" s="3" t="str" cm="1">
        <f t="array" ref="W63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1" s="2" t="str">
        <f>IF(Real_Sales[[#This Row],[Price_retail]]&gt;$AC$3,"Premium","Average")</f>
        <v>Premium</v>
      </c>
      <c r="Y631" s="2" t="str">
        <f>IF(ISNUMBER(SEARCH("Basic",Real_Sales[[#This Row],[Product_name]])),"Yes","No")</f>
        <v>No</v>
      </c>
      <c r="Z631" s="2" cm="1">
        <f t="array" ref="Z631">_xlfn.IFS(Real_Sales[[#This Row],[Price_retail]]&lt;=15,1, Real_Sales[[#This Row],[Price_retail]]&lt;=30,2, Real_Sales[[#This Row],[Price_retail]]&lt;=50,3,Real_Sales[[#This Row],[Price_retail]]&gt;50,4)</f>
        <v>2</v>
      </c>
    </row>
    <row r="632" spans="1:26" x14ac:dyDescent="0.35">
      <c r="A632" s="2" t="s">
        <v>1792</v>
      </c>
      <c r="B632" s="2" t="s">
        <v>1793</v>
      </c>
      <c r="C632" s="2" t="s">
        <v>200</v>
      </c>
      <c r="D632" s="2" t="s">
        <v>1091</v>
      </c>
      <c r="E632" s="2" t="s">
        <v>4</v>
      </c>
      <c r="F632" s="2" t="s">
        <v>17</v>
      </c>
      <c r="G632" s="2" t="s">
        <v>50</v>
      </c>
      <c r="H632" s="2" t="s">
        <v>7</v>
      </c>
      <c r="I632" s="2" t="s">
        <v>3393</v>
      </c>
      <c r="J632" s="3">
        <v>20.34</v>
      </c>
      <c r="K632" s="3">
        <v>11.3</v>
      </c>
      <c r="L632" s="2" t="s">
        <v>8</v>
      </c>
      <c r="M632" s="2" t="s">
        <v>9</v>
      </c>
      <c r="N632" s="3">
        <v>600</v>
      </c>
      <c r="O632" s="2" t="s">
        <v>69</v>
      </c>
      <c r="P632" s="2" t="s">
        <v>76</v>
      </c>
      <c r="Q632" s="3"/>
      <c r="R632" s="3"/>
      <c r="S632" s="2" t="s">
        <v>21</v>
      </c>
      <c r="T632" s="4">
        <v>44955</v>
      </c>
      <c r="U632" s="2" t="s">
        <v>1794</v>
      </c>
      <c r="V632" s="6">
        <f>(Real_Sales[[#This Row],[Price_retail]]-Real_Sales[[#This Row],[Price_current]])/Real_Sales[[#This Row],[Price_retail]]</f>
        <v>0.44444444444444442</v>
      </c>
      <c r="W632" s="3" t="str" cm="1">
        <f t="array" ref="W63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32" s="2" t="str">
        <f>IF(Real_Sales[[#This Row],[Price_retail]]&gt;$AC$3,"Premium","Average")</f>
        <v>Premium</v>
      </c>
      <c r="Y632" s="2" t="str">
        <f>IF(ISNUMBER(SEARCH("Basic",Real_Sales[[#This Row],[Product_name]])),"Yes","No")</f>
        <v>No</v>
      </c>
      <c r="Z632" s="2" cm="1">
        <f t="array" ref="Z632">_xlfn.IFS(Real_Sales[[#This Row],[Price_retail]]&lt;=15,1, Real_Sales[[#This Row],[Price_retail]]&lt;=30,2, Real_Sales[[#This Row],[Price_retail]]&lt;=50,3,Real_Sales[[#This Row],[Price_retail]]&gt;50,4)</f>
        <v>2</v>
      </c>
    </row>
    <row r="633" spans="1:26" x14ac:dyDescent="0.35">
      <c r="A633" s="2" t="s">
        <v>1768</v>
      </c>
      <c r="B633" s="2" t="s">
        <v>1769</v>
      </c>
      <c r="C633" s="2" t="s">
        <v>65</v>
      </c>
      <c r="D633" s="2" t="s">
        <v>776</v>
      </c>
      <c r="E633" s="2" t="s">
        <v>4</v>
      </c>
      <c r="F633" s="2" t="s">
        <v>5</v>
      </c>
      <c r="G633" s="2" t="s">
        <v>6</v>
      </c>
      <c r="H633" s="2" t="s">
        <v>83</v>
      </c>
      <c r="I633" s="2" t="s">
        <v>3393</v>
      </c>
      <c r="J633" s="3">
        <v>20.34</v>
      </c>
      <c r="K633" s="3">
        <v>20.34</v>
      </c>
      <c r="L633" s="2" t="s">
        <v>3391</v>
      </c>
      <c r="M633" s="2" t="s">
        <v>9</v>
      </c>
      <c r="N633" s="3">
        <v>850</v>
      </c>
      <c r="O633" s="2" t="s">
        <v>261</v>
      </c>
      <c r="P633" s="2" t="s">
        <v>92</v>
      </c>
      <c r="Q633" s="3"/>
      <c r="R633" s="3"/>
      <c r="S633" s="2" t="s">
        <v>21</v>
      </c>
      <c r="T633" s="4">
        <v>44955</v>
      </c>
      <c r="U633" s="2" t="s">
        <v>1770</v>
      </c>
      <c r="V633" s="6">
        <f>(Real_Sales[[#This Row],[Price_retail]]-Real_Sales[[#This Row],[Price_current]])/Real_Sales[[#This Row],[Price_retail]]</f>
        <v>0</v>
      </c>
      <c r="W633" s="3" t="str" cm="1">
        <f t="array" ref="W6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3" s="2" t="str">
        <f>IF(Real_Sales[[#This Row],[Price_retail]]&gt;$AC$3,"Premium","Average")</f>
        <v>Premium</v>
      </c>
      <c r="Y633" s="2" t="str">
        <f>IF(ISNUMBER(SEARCH("Basic",Real_Sales[[#This Row],[Product_name]])),"Yes","No")</f>
        <v>No</v>
      </c>
      <c r="Z633" s="2" cm="1">
        <f t="array" ref="Z633">_xlfn.IFS(Real_Sales[[#This Row],[Price_retail]]&lt;=15,1, Real_Sales[[#This Row],[Price_retail]]&lt;=30,2, Real_Sales[[#This Row],[Price_retail]]&lt;=50,3,Real_Sales[[#This Row],[Price_retail]]&gt;50,4)</f>
        <v>2</v>
      </c>
    </row>
    <row r="634" spans="1:26" x14ac:dyDescent="0.35">
      <c r="A634" s="2" t="s">
        <v>1220</v>
      </c>
      <c r="B634" s="2" t="s">
        <v>1221</v>
      </c>
      <c r="C634" s="2" t="s">
        <v>3433</v>
      </c>
      <c r="D634" s="2" t="s">
        <v>332</v>
      </c>
      <c r="E634" s="2" t="s">
        <v>4</v>
      </c>
      <c r="F634" s="2" t="s">
        <v>5</v>
      </c>
      <c r="G634" s="2" t="s">
        <v>6</v>
      </c>
      <c r="H634" s="2" t="s">
        <v>333</v>
      </c>
      <c r="I634" s="2" t="s">
        <v>3390</v>
      </c>
      <c r="J634" s="3">
        <v>20.39</v>
      </c>
      <c r="K634" s="3">
        <v>20.39</v>
      </c>
      <c r="L634" s="2" t="s">
        <v>3391</v>
      </c>
      <c r="M634" s="2" t="s">
        <v>9</v>
      </c>
      <c r="N634" s="3">
        <v>136</v>
      </c>
      <c r="O634" s="2" t="s">
        <v>69</v>
      </c>
      <c r="P634" s="2" t="s">
        <v>192</v>
      </c>
      <c r="Q634" s="3"/>
      <c r="R634" s="3"/>
      <c r="S634" s="2" t="s">
        <v>12</v>
      </c>
      <c r="T634" s="4">
        <v>44955</v>
      </c>
      <c r="U634" s="2" t="s">
        <v>1222</v>
      </c>
      <c r="V634" s="6">
        <f>(Real_Sales[[#This Row],[Price_retail]]-Real_Sales[[#This Row],[Price_current]])/Real_Sales[[#This Row],[Price_retail]]</f>
        <v>0</v>
      </c>
      <c r="W634" s="3" t="str" cm="1">
        <f t="array" ref="W6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4" s="2" t="str">
        <f>IF(Real_Sales[[#This Row],[Price_retail]]&gt;$AC$3,"Premium","Average")</f>
        <v>Premium</v>
      </c>
      <c r="Y634" s="2" t="str">
        <f>IF(ISNUMBER(SEARCH("Basic",Real_Sales[[#This Row],[Product_name]])),"Yes","No")</f>
        <v>No</v>
      </c>
      <c r="Z634" s="2" cm="1">
        <f t="array" ref="Z634">_xlfn.IFS(Real_Sales[[#This Row],[Price_retail]]&lt;=15,1, Real_Sales[[#This Row],[Price_retail]]&lt;=30,2, Real_Sales[[#This Row],[Price_retail]]&lt;=50,3,Real_Sales[[#This Row],[Price_retail]]&gt;50,4)</f>
        <v>2</v>
      </c>
    </row>
    <row r="635" spans="1:26" x14ac:dyDescent="0.35">
      <c r="A635" s="2" t="s">
        <v>1503</v>
      </c>
      <c r="B635" s="2" t="s">
        <v>1504</v>
      </c>
      <c r="C635" s="2" t="s">
        <v>1010</v>
      </c>
      <c r="D635" s="2" t="s">
        <v>640</v>
      </c>
      <c r="E635" s="2" t="s">
        <v>4</v>
      </c>
      <c r="F635" s="2" t="s">
        <v>17</v>
      </c>
      <c r="G635" s="2" t="s">
        <v>67</v>
      </c>
      <c r="H635" s="2" t="s">
        <v>139</v>
      </c>
      <c r="I635" s="2" t="s">
        <v>3393</v>
      </c>
      <c r="J635" s="3">
        <v>20.41</v>
      </c>
      <c r="K635" s="3">
        <v>13.26</v>
      </c>
      <c r="L635" s="2" t="s">
        <v>8</v>
      </c>
      <c r="M635" s="2" t="s">
        <v>9</v>
      </c>
      <c r="N635" s="3">
        <v>138</v>
      </c>
      <c r="O635" s="2" t="s">
        <v>52</v>
      </c>
      <c r="P635" s="2" t="s">
        <v>30</v>
      </c>
      <c r="Q635" s="3"/>
      <c r="R635" s="3"/>
      <c r="S635" s="2" t="s">
        <v>21</v>
      </c>
      <c r="T635" s="4">
        <v>44955</v>
      </c>
      <c r="U635" s="2" t="s">
        <v>1505</v>
      </c>
      <c r="V635" s="6">
        <f>(Real_Sales[[#This Row],[Price_retail]]-Real_Sales[[#This Row],[Price_current]])/Real_Sales[[#This Row],[Price_retail]]</f>
        <v>0.35031847133757965</v>
      </c>
      <c r="W635" s="3" t="str" cm="1">
        <f t="array" ref="W63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35" s="2" t="str">
        <f>IF(Real_Sales[[#This Row],[Price_retail]]&gt;$AC$3,"Premium","Average")</f>
        <v>Premium</v>
      </c>
      <c r="Y635" s="2" t="str">
        <f>IF(ISNUMBER(SEARCH("Basic",Real_Sales[[#This Row],[Product_name]])),"Yes","No")</f>
        <v>No</v>
      </c>
      <c r="Z635" s="2" cm="1">
        <f t="array" ref="Z635">_xlfn.IFS(Real_Sales[[#This Row],[Price_retail]]&lt;=15,1, Real_Sales[[#This Row],[Price_retail]]&lt;=30,2, Real_Sales[[#This Row],[Price_retail]]&lt;=50,3,Real_Sales[[#This Row],[Price_retail]]&gt;50,4)</f>
        <v>2</v>
      </c>
    </row>
    <row r="636" spans="1:26" x14ac:dyDescent="0.35">
      <c r="A636" s="2" t="s">
        <v>3209</v>
      </c>
      <c r="B636" s="2" t="s">
        <v>3210</v>
      </c>
      <c r="C636" s="2" t="s">
        <v>703</v>
      </c>
      <c r="D636" s="2" t="s">
        <v>81</v>
      </c>
      <c r="E636" s="2" t="s">
        <v>4</v>
      </c>
      <c r="F636" s="2" t="s">
        <v>5</v>
      </c>
      <c r="G636" s="2" t="s">
        <v>6</v>
      </c>
      <c r="H636" s="2" t="s">
        <v>83</v>
      </c>
      <c r="I636" s="2" t="s">
        <v>3393</v>
      </c>
      <c r="J636" s="3">
        <v>20.41</v>
      </c>
      <c r="K636" s="3">
        <v>20.41</v>
      </c>
      <c r="L636" s="2" t="s">
        <v>3391</v>
      </c>
      <c r="M636" s="2" t="s">
        <v>9</v>
      </c>
      <c r="N636" s="3">
        <v>274</v>
      </c>
      <c r="O636" s="2" t="s">
        <v>261</v>
      </c>
      <c r="P636" s="2" t="s">
        <v>3392</v>
      </c>
      <c r="Q636" s="3"/>
      <c r="R636" s="3"/>
      <c r="S636" s="2" t="s">
        <v>21</v>
      </c>
      <c r="T636" s="4">
        <v>44955</v>
      </c>
      <c r="U636" s="2" t="s">
        <v>3211</v>
      </c>
      <c r="V636" s="6">
        <f>(Real_Sales[[#This Row],[Price_retail]]-Real_Sales[[#This Row],[Price_current]])/Real_Sales[[#This Row],[Price_retail]]</f>
        <v>0</v>
      </c>
      <c r="W636" s="3" t="str" cm="1">
        <f t="array" ref="W6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6" s="2" t="str">
        <f>IF(Real_Sales[[#This Row],[Price_retail]]&gt;$AC$3,"Premium","Average")</f>
        <v>Premium</v>
      </c>
      <c r="Y636" s="2" t="str">
        <f>IF(ISNUMBER(SEARCH("Basic",Real_Sales[[#This Row],[Product_name]])),"Yes","No")</f>
        <v>No</v>
      </c>
      <c r="Z636" s="2" cm="1">
        <f t="array" ref="Z636">_xlfn.IFS(Real_Sales[[#This Row],[Price_retail]]&lt;=15,1, Real_Sales[[#This Row],[Price_retail]]&lt;=30,2, Real_Sales[[#This Row],[Price_retail]]&lt;=50,3,Real_Sales[[#This Row],[Price_retail]]&gt;50,4)</f>
        <v>2</v>
      </c>
    </row>
    <row r="637" spans="1:26" x14ac:dyDescent="0.35">
      <c r="A637" s="2" t="s">
        <v>2944</v>
      </c>
      <c r="B637" s="2" t="s">
        <v>2945</v>
      </c>
      <c r="C637" s="2" t="s">
        <v>721</v>
      </c>
      <c r="D637" s="2" t="s">
        <v>2064</v>
      </c>
      <c r="E637" s="2" t="s">
        <v>4</v>
      </c>
      <c r="F637" s="2" t="s">
        <v>5</v>
      </c>
      <c r="G637" s="2" t="s">
        <v>82</v>
      </c>
      <c r="H637" s="2" t="s">
        <v>139</v>
      </c>
      <c r="I637" s="2" t="s">
        <v>3390</v>
      </c>
      <c r="J637" s="3">
        <v>20.45</v>
      </c>
      <c r="K637" s="3">
        <v>15.72</v>
      </c>
      <c r="L637" s="2" t="s">
        <v>8</v>
      </c>
      <c r="M637" s="2" t="s">
        <v>9</v>
      </c>
      <c r="N637" s="3">
        <v>279</v>
      </c>
      <c r="O637" s="2" t="s">
        <v>347</v>
      </c>
      <c r="P637" s="2" t="s">
        <v>238</v>
      </c>
      <c r="Q637" s="3"/>
      <c r="R637" s="3"/>
      <c r="S637" s="2" t="s">
        <v>12</v>
      </c>
      <c r="T637" s="4">
        <v>44955</v>
      </c>
      <c r="U637" s="2" t="s">
        <v>2946</v>
      </c>
      <c r="V637" s="6">
        <f>(Real_Sales[[#This Row],[Price_retail]]-Real_Sales[[#This Row],[Price_current]])/Real_Sales[[#This Row],[Price_retail]]</f>
        <v>0.23129584352078233</v>
      </c>
      <c r="W637" s="3" t="str" cm="1">
        <f t="array" ref="W6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37" s="2" t="str">
        <f>IF(Real_Sales[[#This Row],[Price_retail]]&gt;$AC$3,"Premium","Average")</f>
        <v>Premium</v>
      </c>
      <c r="Y637" s="2" t="str">
        <f>IF(ISNUMBER(SEARCH("Basic",Real_Sales[[#This Row],[Product_name]])),"Yes","No")</f>
        <v>No</v>
      </c>
      <c r="Z637" s="2" cm="1">
        <f t="array" ref="Z637">_xlfn.IFS(Real_Sales[[#This Row],[Price_retail]]&lt;=15,1, Real_Sales[[#This Row],[Price_retail]]&lt;=30,2, Real_Sales[[#This Row],[Price_retail]]&lt;=50,3,Real_Sales[[#This Row],[Price_retail]]&gt;50,4)</f>
        <v>2</v>
      </c>
    </row>
    <row r="638" spans="1:26" x14ac:dyDescent="0.35">
      <c r="A638" s="2" t="s">
        <v>1938</v>
      </c>
      <c r="B638" s="2" t="s">
        <v>1939</v>
      </c>
      <c r="C638" s="2" t="s">
        <v>1747</v>
      </c>
      <c r="D638" s="2" t="s">
        <v>1165</v>
      </c>
      <c r="E638" s="2" t="s">
        <v>4</v>
      </c>
      <c r="F638" s="2" t="s">
        <v>17</v>
      </c>
      <c r="G638" s="2" t="s">
        <v>27</v>
      </c>
      <c r="H638" s="2" t="s">
        <v>185</v>
      </c>
      <c r="I638" s="2" t="s">
        <v>3390</v>
      </c>
      <c r="J638" s="3">
        <v>20.52</v>
      </c>
      <c r="K638" s="3">
        <v>20.52</v>
      </c>
      <c r="L638" s="2" t="s">
        <v>3391</v>
      </c>
      <c r="M638" s="2" t="s">
        <v>9</v>
      </c>
      <c r="N638" s="3">
        <v>636</v>
      </c>
      <c r="O638" s="2" t="s">
        <v>104</v>
      </c>
      <c r="P638" s="2" t="s">
        <v>163</v>
      </c>
      <c r="Q638" s="3"/>
      <c r="R638" s="3"/>
      <c r="S638" s="2" t="s">
        <v>21</v>
      </c>
      <c r="T638" s="4">
        <v>44955</v>
      </c>
      <c r="U638" s="2" t="s">
        <v>1940</v>
      </c>
      <c r="V638" s="6">
        <f>(Real_Sales[[#This Row],[Price_retail]]-Real_Sales[[#This Row],[Price_current]])/Real_Sales[[#This Row],[Price_retail]]</f>
        <v>0</v>
      </c>
      <c r="W638" s="3" t="str" cm="1">
        <f t="array" ref="W63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8" s="2" t="str">
        <f>IF(Real_Sales[[#This Row],[Price_retail]]&gt;$AC$3,"Premium","Average")</f>
        <v>Premium</v>
      </c>
      <c r="Y638" s="2" t="str">
        <f>IF(ISNUMBER(SEARCH("Basic",Real_Sales[[#This Row],[Product_name]])),"Yes","No")</f>
        <v>No</v>
      </c>
      <c r="Z638" s="2" cm="1">
        <f t="array" ref="Z638">_xlfn.IFS(Real_Sales[[#This Row],[Price_retail]]&lt;=15,1, Real_Sales[[#This Row],[Price_retail]]&lt;=30,2, Real_Sales[[#This Row],[Price_retail]]&lt;=50,3,Real_Sales[[#This Row],[Price_retail]]&gt;50,4)</f>
        <v>2</v>
      </c>
    </row>
    <row r="639" spans="1:26" x14ac:dyDescent="0.35">
      <c r="A639" s="2" t="s">
        <v>889</v>
      </c>
      <c r="B639" s="2" t="s">
        <v>890</v>
      </c>
      <c r="C639" s="2" t="s">
        <v>132</v>
      </c>
      <c r="D639" s="2" t="s">
        <v>711</v>
      </c>
      <c r="E639" s="2" t="s">
        <v>4</v>
      </c>
      <c r="F639" s="2" t="s">
        <v>17</v>
      </c>
      <c r="G639" s="2" t="s">
        <v>27</v>
      </c>
      <c r="H639" s="2" t="s">
        <v>83</v>
      </c>
      <c r="I639" s="2" t="s">
        <v>3393</v>
      </c>
      <c r="J639" s="3">
        <v>20.55</v>
      </c>
      <c r="K639" s="3">
        <v>20.55</v>
      </c>
      <c r="L639" s="2" t="s">
        <v>3391</v>
      </c>
      <c r="M639" s="2" t="s">
        <v>9</v>
      </c>
      <c r="N639" s="3">
        <v>356</v>
      </c>
      <c r="O639" s="2" t="s">
        <v>20</v>
      </c>
      <c r="P639" s="2" t="s">
        <v>128</v>
      </c>
      <c r="Q639" s="3"/>
      <c r="R639" s="3"/>
      <c r="S639" s="2" t="s">
        <v>21</v>
      </c>
      <c r="T639" s="4">
        <v>44955</v>
      </c>
      <c r="U639" s="2" t="s">
        <v>891</v>
      </c>
      <c r="V639" s="6">
        <f>(Real_Sales[[#This Row],[Price_retail]]-Real_Sales[[#This Row],[Price_current]])/Real_Sales[[#This Row],[Price_retail]]</f>
        <v>0</v>
      </c>
      <c r="W639" s="3" t="str" cm="1">
        <f t="array" ref="W6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39" s="2" t="str">
        <f>IF(Real_Sales[[#This Row],[Price_retail]]&gt;$AC$3,"Premium","Average")</f>
        <v>Premium</v>
      </c>
      <c r="Y639" s="2" t="str">
        <f>IF(ISNUMBER(SEARCH("Basic",Real_Sales[[#This Row],[Product_name]])),"Yes","No")</f>
        <v>No</v>
      </c>
      <c r="Z639" s="2" cm="1">
        <f t="array" ref="Z639">_xlfn.IFS(Real_Sales[[#This Row],[Price_retail]]&lt;=15,1, Real_Sales[[#This Row],[Price_retail]]&lt;=30,2, Real_Sales[[#This Row],[Price_retail]]&lt;=50,3,Real_Sales[[#This Row],[Price_retail]]&gt;50,4)</f>
        <v>2</v>
      </c>
    </row>
    <row r="640" spans="1:26" x14ac:dyDescent="0.35">
      <c r="A640" s="2" t="s">
        <v>1470</v>
      </c>
      <c r="B640" s="2" t="s">
        <v>1471</v>
      </c>
      <c r="C640" s="2" t="s">
        <v>1743</v>
      </c>
      <c r="D640" s="2" t="s">
        <v>342</v>
      </c>
      <c r="E640" s="2" t="s">
        <v>4</v>
      </c>
      <c r="F640" s="2" t="s">
        <v>17</v>
      </c>
      <c r="G640" s="2" t="s">
        <v>67</v>
      </c>
      <c r="H640" s="2" t="s">
        <v>237</v>
      </c>
      <c r="I640" s="2" t="s">
        <v>3390</v>
      </c>
      <c r="J640" s="3">
        <v>20.63</v>
      </c>
      <c r="K640" s="3">
        <v>20.63</v>
      </c>
      <c r="L640" s="2" t="s">
        <v>3391</v>
      </c>
      <c r="M640" s="2" t="s">
        <v>9</v>
      </c>
      <c r="N640" s="3">
        <v>549</v>
      </c>
      <c r="O640" s="2" t="s">
        <v>69</v>
      </c>
      <c r="P640" s="2" t="s">
        <v>84</v>
      </c>
      <c r="Q640" s="3"/>
      <c r="R640" s="3"/>
      <c r="S640" s="2" t="s">
        <v>21</v>
      </c>
      <c r="T640" s="4">
        <v>44955</v>
      </c>
      <c r="U640" s="2" t="s">
        <v>1472</v>
      </c>
      <c r="V640" s="6">
        <f>(Real_Sales[[#This Row],[Price_retail]]-Real_Sales[[#This Row],[Price_current]])/Real_Sales[[#This Row],[Price_retail]]</f>
        <v>0</v>
      </c>
      <c r="W640" s="3" t="str" cm="1">
        <f t="array" ref="W64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0" s="2" t="str">
        <f>IF(Real_Sales[[#This Row],[Price_retail]]&gt;$AC$3,"Premium","Average")</f>
        <v>Premium</v>
      </c>
      <c r="Y640" s="2" t="str">
        <f>IF(ISNUMBER(SEARCH("Basic",Real_Sales[[#This Row],[Product_name]])),"Yes","No")</f>
        <v>No</v>
      </c>
      <c r="Z640" s="2" cm="1">
        <f t="array" ref="Z640">_xlfn.IFS(Real_Sales[[#This Row],[Price_retail]]&lt;=15,1, Real_Sales[[#This Row],[Price_retail]]&lt;=30,2, Real_Sales[[#This Row],[Price_retail]]&lt;=50,3,Real_Sales[[#This Row],[Price_retail]]&gt;50,4)</f>
        <v>2</v>
      </c>
    </row>
    <row r="641" spans="1:26" x14ac:dyDescent="0.35">
      <c r="A641" s="2" t="s">
        <v>1841</v>
      </c>
      <c r="B641" s="2" t="s">
        <v>1842</v>
      </c>
      <c r="C641" s="2" t="s">
        <v>1743</v>
      </c>
      <c r="D641" s="2" t="s">
        <v>307</v>
      </c>
      <c r="E641" s="2" t="s">
        <v>4</v>
      </c>
      <c r="F641" s="2" t="s">
        <v>5</v>
      </c>
      <c r="G641" s="2" t="s">
        <v>82</v>
      </c>
      <c r="H641" s="2" t="s">
        <v>83</v>
      </c>
      <c r="I641" s="2" t="s">
        <v>3395</v>
      </c>
      <c r="J641" s="3">
        <v>20.63</v>
      </c>
      <c r="K641" s="3">
        <v>20.63</v>
      </c>
      <c r="L641" s="2" t="s">
        <v>3391</v>
      </c>
      <c r="M641" s="2" t="s">
        <v>9</v>
      </c>
      <c r="N641" s="3">
        <v>777</v>
      </c>
      <c r="O641" s="2" t="s">
        <v>104</v>
      </c>
      <c r="P641" s="2" t="s">
        <v>92</v>
      </c>
      <c r="Q641" s="3"/>
      <c r="R641" s="3"/>
      <c r="S641" s="2" t="s">
        <v>21</v>
      </c>
      <c r="T641" s="4">
        <v>44955</v>
      </c>
      <c r="U641" s="2" t="s">
        <v>1843</v>
      </c>
      <c r="V641" s="6">
        <f>(Real_Sales[[#This Row],[Price_retail]]-Real_Sales[[#This Row],[Price_current]])/Real_Sales[[#This Row],[Price_retail]]</f>
        <v>0</v>
      </c>
      <c r="W641" s="3" t="str" cm="1">
        <f t="array" ref="W64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1" s="2" t="str">
        <f>IF(Real_Sales[[#This Row],[Price_retail]]&gt;$AC$3,"Premium","Average")</f>
        <v>Premium</v>
      </c>
      <c r="Y641" s="2" t="str">
        <f>IF(ISNUMBER(SEARCH("Basic",Real_Sales[[#This Row],[Product_name]])),"Yes","No")</f>
        <v>Yes</v>
      </c>
      <c r="Z641" s="2" cm="1">
        <f t="array" ref="Z641">_xlfn.IFS(Real_Sales[[#This Row],[Price_retail]]&lt;=15,1, Real_Sales[[#This Row],[Price_retail]]&lt;=30,2, Real_Sales[[#This Row],[Price_retail]]&lt;=50,3,Real_Sales[[#This Row],[Price_retail]]&gt;50,4)</f>
        <v>2</v>
      </c>
    </row>
    <row r="642" spans="1:26" x14ac:dyDescent="0.35">
      <c r="A642" s="2" t="s">
        <v>1410</v>
      </c>
      <c r="B642" s="2" t="s">
        <v>1411</v>
      </c>
      <c r="C642" s="2" t="s">
        <v>585</v>
      </c>
      <c r="D642" s="2" t="s">
        <v>470</v>
      </c>
      <c r="E642" s="2" t="s">
        <v>4</v>
      </c>
      <c r="F642" s="2" t="s">
        <v>17</v>
      </c>
      <c r="G642" s="2" t="s">
        <v>50</v>
      </c>
      <c r="H642" s="2" t="s">
        <v>185</v>
      </c>
      <c r="I642" s="2" t="s">
        <v>3393</v>
      </c>
      <c r="J642" s="3">
        <v>20.64</v>
      </c>
      <c r="K642" s="3">
        <v>15.11</v>
      </c>
      <c r="L642" s="2" t="s">
        <v>8</v>
      </c>
      <c r="M642" s="2" t="s">
        <v>9</v>
      </c>
      <c r="N642" s="3">
        <v>417</v>
      </c>
      <c r="O642" s="2" t="s">
        <v>60</v>
      </c>
      <c r="P642" s="2" t="s">
        <v>53</v>
      </c>
      <c r="Q642" s="3"/>
      <c r="R642" s="3"/>
      <c r="S642" s="2" t="s">
        <v>21</v>
      </c>
      <c r="T642" s="4">
        <v>44955</v>
      </c>
      <c r="U642" s="2" t="s">
        <v>1412</v>
      </c>
      <c r="V642" s="6">
        <f>(Real_Sales[[#This Row],[Price_retail]]-Real_Sales[[#This Row],[Price_current]])/Real_Sales[[#This Row],[Price_retail]]</f>
        <v>0.26792635658914732</v>
      </c>
      <c r="W642" s="3" t="str" cm="1">
        <f t="array" ref="W64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42" s="2" t="str">
        <f>IF(Real_Sales[[#This Row],[Price_retail]]&gt;$AC$3,"Premium","Average")</f>
        <v>Premium</v>
      </c>
      <c r="Y642" s="2" t="str">
        <f>IF(ISNUMBER(SEARCH("Basic",Real_Sales[[#This Row],[Product_name]])),"Yes","No")</f>
        <v>No</v>
      </c>
      <c r="Z642" s="2" cm="1">
        <f t="array" ref="Z642">_xlfn.IFS(Real_Sales[[#This Row],[Price_retail]]&lt;=15,1, Real_Sales[[#This Row],[Price_retail]]&lt;=30,2, Real_Sales[[#This Row],[Price_retail]]&lt;=50,3,Real_Sales[[#This Row],[Price_retail]]&gt;50,4)</f>
        <v>2</v>
      </c>
    </row>
    <row r="643" spans="1:26" x14ac:dyDescent="0.35">
      <c r="A643" s="2" t="s">
        <v>3290</v>
      </c>
      <c r="B643" s="2" t="s">
        <v>3291</v>
      </c>
      <c r="C643" s="2" t="s">
        <v>1281</v>
      </c>
      <c r="D643" s="2" t="s">
        <v>769</v>
      </c>
      <c r="E643" s="2" t="s">
        <v>4</v>
      </c>
      <c r="F643" s="2" t="s">
        <v>17</v>
      </c>
      <c r="G643" s="2" t="s">
        <v>27</v>
      </c>
      <c r="H643" s="2"/>
      <c r="I643" s="2" t="s">
        <v>3395</v>
      </c>
      <c r="J643" s="3">
        <v>20.64</v>
      </c>
      <c r="K643" s="3">
        <v>20.64</v>
      </c>
      <c r="L643" s="2" t="s">
        <v>3391</v>
      </c>
      <c r="M643" s="2" t="s">
        <v>9</v>
      </c>
      <c r="N643" s="3">
        <v>10</v>
      </c>
      <c r="O643" s="2" t="s">
        <v>347</v>
      </c>
      <c r="P643" s="2" t="s">
        <v>163</v>
      </c>
      <c r="Q643" s="3"/>
      <c r="R643" s="3"/>
      <c r="S643" s="2" t="s">
        <v>21</v>
      </c>
      <c r="T643" s="4">
        <v>44955</v>
      </c>
      <c r="U643" s="2" t="s">
        <v>3292</v>
      </c>
      <c r="V643" s="6">
        <f>(Real_Sales[[#This Row],[Price_retail]]-Real_Sales[[#This Row],[Price_current]])/Real_Sales[[#This Row],[Price_retail]]</f>
        <v>0</v>
      </c>
      <c r="W643" s="3" t="str" cm="1">
        <f t="array" ref="W64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3" s="2" t="str">
        <f>IF(Real_Sales[[#This Row],[Price_retail]]&gt;$AC$3,"Premium","Average")</f>
        <v>Premium</v>
      </c>
      <c r="Y643" s="2" t="str">
        <f>IF(ISNUMBER(SEARCH("Basic",Real_Sales[[#This Row],[Product_name]])),"Yes","No")</f>
        <v>Yes</v>
      </c>
      <c r="Z643" s="2" cm="1">
        <f t="array" ref="Z643">_xlfn.IFS(Real_Sales[[#This Row],[Price_retail]]&lt;=15,1, Real_Sales[[#This Row],[Price_retail]]&lt;=30,2, Real_Sales[[#This Row],[Price_retail]]&lt;=50,3,Real_Sales[[#This Row],[Price_retail]]&gt;50,4)</f>
        <v>2</v>
      </c>
    </row>
    <row r="644" spans="1:26" x14ac:dyDescent="0.35">
      <c r="A644" s="2" t="s">
        <v>1537</v>
      </c>
      <c r="B644" s="2" t="s">
        <v>1538</v>
      </c>
      <c r="C644" s="2" t="s">
        <v>102</v>
      </c>
      <c r="D644" s="2" t="s">
        <v>586</v>
      </c>
      <c r="E644" s="2" t="s">
        <v>4</v>
      </c>
      <c r="F644" s="2" t="s">
        <v>5</v>
      </c>
      <c r="G644" s="2" t="s">
        <v>82</v>
      </c>
      <c r="H644" s="2" t="s">
        <v>83</v>
      </c>
      <c r="I644" s="2" t="s">
        <v>3393</v>
      </c>
      <c r="J644" s="3">
        <v>20.66</v>
      </c>
      <c r="K644" s="3">
        <v>20.66</v>
      </c>
      <c r="L644" s="2" t="s">
        <v>3391</v>
      </c>
      <c r="M644" s="2" t="s">
        <v>9</v>
      </c>
      <c r="N644" s="3">
        <v>612</v>
      </c>
      <c r="O644" s="2" t="s">
        <v>69</v>
      </c>
      <c r="P644" s="2" t="s">
        <v>238</v>
      </c>
      <c r="Q644" s="3"/>
      <c r="R644" s="3"/>
      <c r="S644" s="2" t="s">
        <v>21</v>
      </c>
      <c r="T644" s="4">
        <v>44955</v>
      </c>
      <c r="U644" s="2" t="s">
        <v>1539</v>
      </c>
      <c r="V644" s="6">
        <f>(Real_Sales[[#This Row],[Price_retail]]-Real_Sales[[#This Row],[Price_current]])/Real_Sales[[#This Row],[Price_retail]]</f>
        <v>0</v>
      </c>
      <c r="W644" s="3" t="str" cm="1">
        <f t="array" ref="W6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4" s="2" t="str">
        <f>IF(Real_Sales[[#This Row],[Price_retail]]&gt;$AC$3,"Premium","Average")</f>
        <v>Premium</v>
      </c>
      <c r="Y644" s="2" t="str">
        <f>IF(ISNUMBER(SEARCH("Basic",Real_Sales[[#This Row],[Product_name]])),"Yes","No")</f>
        <v>No</v>
      </c>
      <c r="Z644" s="2" cm="1">
        <f t="array" ref="Z644">_xlfn.IFS(Real_Sales[[#This Row],[Price_retail]]&lt;=15,1, Real_Sales[[#This Row],[Price_retail]]&lt;=30,2, Real_Sales[[#This Row],[Price_retail]]&lt;=50,3,Real_Sales[[#This Row],[Price_retail]]&gt;50,4)</f>
        <v>2</v>
      </c>
    </row>
    <row r="645" spans="1:26" x14ac:dyDescent="0.35">
      <c r="A645" s="2" t="s">
        <v>680</v>
      </c>
      <c r="B645" s="2" t="s">
        <v>681</v>
      </c>
      <c r="C645" s="2" t="s">
        <v>682</v>
      </c>
      <c r="D645" s="2" t="s">
        <v>625</v>
      </c>
      <c r="E645" s="2" t="s">
        <v>4</v>
      </c>
      <c r="F645" s="2" t="s">
        <v>17</v>
      </c>
      <c r="G645" s="2" t="s">
        <v>50</v>
      </c>
      <c r="H645" s="2" t="s">
        <v>333</v>
      </c>
      <c r="I645" s="2" t="s">
        <v>3390</v>
      </c>
      <c r="J645" s="3">
        <v>20.67</v>
      </c>
      <c r="K645" s="3">
        <v>20.67</v>
      </c>
      <c r="L645" s="2" t="s">
        <v>3391</v>
      </c>
      <c r="M645" s="2" t="s">
        <v>9</v>
      </c>
      <c r="N645" s="3">
        <v>949</v>
      </c>
      <c r="O645" s="2" t="s">
        <v>302</v>
      </c>
      <c r="P645" s="2" t="s">
        <v>37</v>
      </c>
      <c r="Q645" s="3"/>
      <c r="R645" s="3"/>
      <c r="S645" s="2" t="s">
        <v>21</v>
      </c>
      <c r="T645" s="4">
        <v>44955</v>
      </c>
      <c r="U645" s="2" t="s">
        <v>683</v>
      </c>
      <c r="V645" s="6">
        <f>(Real_Sales[[#This Row],[Price_retail]]-Real_Sales[[#This Row],[Price_current]])/Real_Sales[[#This Row],[Price_retail]]</f>
        <v>0</v>
      </c>
      <c r="W645" s="3" t="str" cm="1">
        <f t="array" ref="W64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5" s="2" t="str">
        <f>IF(Real_Sales[[#This Row],[Price_retail]]&gt;$AC$3,"Premium","Average")</f>
        <v>Premium</v>
      </c>
      <c r="Y645" s="2" t="str">
        <f>IF(ISNUMBER(SEARCH("Basic",Real_Sales[[#This Row],[Product_name]])),"Yes","No")</f>
        <v>No</v>
      </c>
      <c r="Z645" s="2" cm="1">
        <f t="array" ref="Z645">_xlfn.IFS(Real_Sales[[#This Row],[Price_retail]]&lt;=15,1, Real_Sales[[#This Row],[Price_retail]]&lt;=30,2, Real_Sales[[#This Row],[Price_retail]]&lt;=50,3,Real_Sales[[#This Row],[Price_retail]]&gt;50,4)</f>
        <v>2</v>
      </c>
    </row>
    <row r="646" spans="1:26" x14ac:dyDescent="0.35">
      <c r="A646" s="2" t="s">
        <v>2376</v>
      </c>
      <c r="B646" s="2" t="s">
        <v>2377</v>
      </c>
      <c r="C646" s="2" t="s">
        <v>1355</v>
      </c>
      <c r="D646" s="2" t="s">
        <v>319</v>
      </c>
      <c r="E646" s="2" t="s">
        <v>4</v>
      </c>
      <c r="F646" s="2" t="s">
        <v>5</v>
      </c>
      <c r="G646" s="2" t="s">
        <v>82</v>
      </c>
      <c r="H646" s="2" t="s">
        <v>90</v>
      </c>
      <c r="I646" s="2" t="s">
        <v>3393</v>
      </c>
      <c r="J646" s="3">
        <v>20.69</v>
      </c>
      <c r="K646" s="3">
        <v>20.69</v>
      </c>
      <c r="L646" s="2" t="s">
        <v>3391</v>
      </c>
      <c r="M646" s="2" t="s">
        <v>9</v>
      </c>
      <c r="N646" s="3">
        <v>450</v>
      </c>
      <c r="O646" s="2" t="s">
        <v>104</v>
      </c>
      <c r="P646" s="2" t="s">
        <v>169</v>
      </c>
      <c r="Q646" s="3"/>
      <c r="R646" s="3"/>
      <c r="S646" s="2" t="s">
        <v>21</v>
      </c>
      <c r="T646" s="4">
        <v>44955</v>
      </c>
      <c r="U646" s="2" t="s">
        <v>2378</v>
      </c>
      <c r="V646" s="6">
        <f>(Real_Sales[[#This Row],[Price_retail]]-Real_Sales[[#This Row],[Price_current]])/Real_Sales[[#This Row],[Price_retail]]</f>
        <v>0</v>
      </c>
      <c r="W646" s="3" t="str" cm="1">
        <f t="array" ref="W6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6" s="2" t="str">
        <f>IF(Real_Sales[[#This Row],[Price_retail]]&gt;$AC$3,"Premium","Average")</f>
        <v>Premium</v>
      </c>
      <c r="Y646" s="2" t="str">
        <f>IF(ISNUMBER(SEARCH("Basic",Real_Sales[[#This Row],[Product_name]])),"Yes","No")</f>
        <v>No</v>
      </c>
      <c r="Z646" s="2" cm="1">
        <f t="array" ref="Z646">_xlfn.IFS(Real_Sales[[#This Row],[Price_retail]]&lt;=15,1, Real_Sales[[#This Row],[Price_retail]]&lt;=30,2, Real_Sales[[#This Row],[Price_retail]]&lt;=50,3,Real_Sales[[#This Row],[Price_retail]]&gt;50,4)</f>
        <v>2</v>
      </c>
    </row>
    <row r="647" spans="1:26" x14ac:dyDescent="0.35">
      <c r="A647" s="2" t="s">
        <v>2314</v>
      </c>
      <c r="B647" s="2" t="s">
        <v>2315</v>
      </c>
      <c r="C647" s="2" t="s">
        <v>242</v>
      </c>
      <c r="D647" s="2" t="s">
        <v>608</v>
      </c>
      <c r="E647" s="2" t="s">
        <v>4</v>
      </c>
      <c r="F647" s="2" t="s">
        <v>17</v>
      </c>
      <c r="G647" s="2" t="s">
        <v>18</v>
      </c>
      <c r="H647" s="2" t="s">
        <v>51</v>
      </c>
      <c r="I647" s="2" t="s">
        <v>3390</v>
      </c>
      <c r="J647" s="3">
        <v>20.74</v>
      </c>
      <c r="K647" s="3">
        <v>20.74</v>
      </c>
      <c r="L647" s="2" t="s">
        <v>3391</v>
      </c>
      <c r="M647" s="2" t="s">
        <v>9</v>
      </c>
      <c r="N647" s="3">
        <v>218</v>
      </c>
      <c r="O647" s="2" t="s">
        <v>3392</v>
      </c>
      <c r="P647" s="2" t="s">
        <v>92</v>
      </c>
      <c r="Q647" s="3"/>
      <c r="R647" s="3"/>
      <c r="S647" s="2" t="s">
        <v>12</v>
      </c>
      <c r="T647" s="4">
        <v>44955</v>
      </c>
      <c r="U647" s="2" t="s">
        <v>2316</v>
      </c>
      <c r="V647" s="6">
        <f>(Real_Sales[[#This Row],[Price_retail]]-Real_Sales[[#This Row],[Price_current]])/Real_Sales[[#This Row],[Price_retail]]</f>
        <v>0</v>
      </c>
      <c r="W647" s="3" t="str" cm="1">
        <f t="array" ref="W64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7" s="2" t="str">
        <f>IF(Real_Sales[[#This Row],[Price_retail]]&gt;$AC$3,"Premium","Average")</f>
        <v>Premium</v>
      </c>
      <c r="Y647" s="2" t="str">
        <f>IF(ISNUMBER(SEARCH("Basic",Real_Sales[[#This Row],[Product_name]])),"Yes","No")</f>
        <v>No</v>
      </c>
      <c r="Z647" s="2" cm="1">
        <f t="array" ref="Z647">_xlfn.IFS(Real_Sales[[#This Row],[Price_retail]]&lt;=15,1, Real_Sales[[#This Row],[Price_retail]]&lt;=30,2, Real_Sales[[#This Row],[Price_retail]]&lt;=50,3,Real_Sales[[#This Row],[Price_retail]]&gt;50,4)</f>
        <v>2</v>
      </c>
    </row>
    <row r="648" spans="1:26" x14ac:dyDescent="0.35">
      <c r="A648" s="2" t="s">
        <v>2523</v>
      </c>
      <c r="B648" s="2" t="s">
        <v>2524</v>
      </c>
      <c r="C648" s="2" t="s">
        <v>1747</v>
      </c>
      <c r="D648" s="2" t="s">
        <v>34</v>
      </c>
      <c r="E648" s="2" t="s">
        <v>4</v>
      </c>
      <c r="F648" s="2" t="s">
        <v>17</v>
      </c>
      <c r="G648" s="2" t="s">
        <v>67</v>
      </c>
      <c r="H648" s="2" t="s">
        <v>35</v>
      </c>
      <c r="I648" s="2" t="s">
        <v>3393</v>
      </c>
      <c r="J648" s="3">
        <v>20.74</v>
      </c>
      <c r="K648" s="3">
        <v>20.74</v>
      </c>
      <c r="L648" s="2" t="s">
        <v>3391</v>
      </c>
      <c r="M648" s="2" t="s">
        <v>9</v>
      </c>
      <c r="N648" s="3">
        <v>240</v>
      </c>
      <c r="O648" s="2" t="s">
        <v>3392</v>
      </c>
      <c r="P648" s="2" t="s">
        <v>283</v>
      </c>
      <c r="Q648" s="3"/>
      <c r="R648" s="3"/>
      <c r="S648" s="2" t="s">
        <v>21</v>
      </c>
      <c r="T648" s="4">
        <v>44955</v>
      </c>
      <c r="U648" s="2" t="s">
        <v>2525</v>
      </c>
      <c r="V648" s="6">
        <f>(Real_Sales[[#This Row],[Price_retail]]-Real_Sales[[#This Row],[Price_current]])/Real_Sales[[#This Row],[Price_retail]]</f>
        <v>0</v>
      </c>
      <c r="W648" s="3" t="str" cm="1">
        <f t="array" ref="W64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8" s="2" t="str">
        <f>IF(Real_Sales[[#This Row],[Price_retail]]&gt;$AC$3,"Premium","Average")</f>
        <v>Premium</v>
      </c>
      <c r="Y648" s="2" t="str">
        <f>IF(ISNUMBER(SEARCH("Basic",Real_Sales[[#This Row],[Product_name]])),"Yes","No")</f>
        <v>No</v>
      </c>
      <c r="Z648" s="2" cm="1">
        <f t="array" ref="Z648">_xlfn.IFS(Real_Sales[[#This Row],[Price_retail]]&lt;=15,1, Real_Sales[[#This Row],[Price_retail]]&lt;=30,2, Real_Sales[[#This Row],[Price_retail]]&lt;=50,3,Real_Sales[[#This Row],[Price_retail]]&gt;50,4)</f>
        <v>2</v>
      </c>
    </row>
    <row r="649" spans="1:26" x14ac:dyDescent="0.35">
      <c r="A649" s="2" t="s">
        <v>3272</v>
      </c>
      <c r="B649" s="2" t="s">
        <v>3273</v>
      </c>
      <c r="C649" s="2" t="s">
        <v>1973</v>
      </c>
      <c r="D649" s="2" t="s">
        <v>887</v>
      </c>
      <c r="E649" s="2" t="s">
        <v>4</v>
      </c>
      <c r="F649" s="2" t="s">
        <v>5</v>
      </c>
      <c r="G649" s="2" t="s">
        <v>82</v>
      </c>
      <c r="H649" s="2" t="s">
        <v>185</v>
      </c>
      <c r="I649" s="2" t="s">
        <v>3395</v>
      </c>
      <c r="J649" s="3">
        <v>20.75</v>
      </c>
      <c r="K649" s="3">
        <v>20.75</v>
      </c>
      <c r="L649" s="2" t="s">
        <v>3391</v>
      </c>
      <c r="M649" s="2" t="s">
        <v>9</v>
      </c>
      <c r="N649" s="3">
        <v>667</v>
      </c>
      <c r="O649" s="2" t="s">
        <v>98</v>
      </c>
      <c r="P649" s="2" t="s">
        <v>3392</v>
      </c>
      <c r="Q649" s="3"/>
      <c r="R649" s="3"/>
      <c r="S649" s="2" t="s">
        <v>21</v>
      </c>
      <c r="T649" s="4">
        <v>44955</v>
      </c>
      <c r="U649" s="2" t="s">
        <v>3274</v>
      </c>
      <c r="V649" s="6">
        <f>(Real_Sales[[#This Row],[Price_retail]]-Real_Sales[[#This Row],[Price_current]])/Real_Sales[[#This Row],[Price_retail]]</f>
        <v>0</v>
      </c>
      <c r="W649" s="3" t="str" cm="1">
        <f t="array" ref="W64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49" s="2" t="str">
        <f>IF(Real_Sales[[#This Row],[Price_retail]]&gt;$AC$3,"Premium","Average")</f>
        <v>Premium</v>
      </c>
      <c r="Y649" s="2" t="str">
        <f>IF(ISNUMBER(SEARCH("Basic",Real_Sales[[#This Row],[Product_name]])),"Yes","No")</f>
        <v>Yes</v>
      </c>
      <c r="Z649" s="2" cm="1">
        <f t="array" ref="Z649">_xlfn.IFS(Real_Sales[[#This Row],[Price_retail]]&lt;=15,1, Real_Sales[[#This Row],[Price_retail]]&lt;=30,2, Real_Sales[[#This Row],[Price_retail]]&lt;=50,3,Real_Sales[[#This Row],[Price_retail]]&gt;50,4)</f>
        <v>2</v>
      </c>
    </row>
    <row r="650" spans="1:26" x14ac:dyDescent="0.35">
      <c r="A650" s="2" t="s">
        <v>606</v>
      </c>
      <c r="B650" s="2" t="s">
        <v>607</v>
      </c>
      <c r="C650" s="2" t="s">
        <v>200</v>
      </c>
      <c r="D650" s="2" t="s">
        <v>608</v>
      </c>
      <c r="E650" s="2" t="s">
        <v>4</v>
      </c>
      <c r="F650" s="2" t="s">
        <v>17</v>
      </c>
      <c r="G650" s="2" t="s">
        <v>67</v>
      </c>
      <c r="H650" s="2"/>
      <c r="I650" s="2" t="s">
        <v>3393</v>
      </c>
      <c r="J650" s="3">
        <v>20.77</v>
      </c>
      <c r="K650" s="3">
        <v>11.98</v>
      </c>
      <c r="L650" s="2" t="s">
        <v>8</v>
      </c>
      <c r="M650" s="2" t="s">
        <v>9</v>
      </c>
      <c r="N650" s="3">
        <v>863</v>
      </c>
      <c r="O650" s="2" t="s">
        <v>287</v>
      </c>
      <c r="P650" s="2" t="s">
        <v>92</v>
      </c>
      <c r="Q650" s="3"/>
      <c r="R650" s="3"/>
      <c r="S650" s="2" t="s">
        <v>12</v>
      </c>
      <c r="T650" s="4">
        <v>44955</v>
      </c>
      <c r="U650" s="2" t="s">
        <v>609</v>
      </c>
      <c r="V650" s="6">
        <f>(Real_Sales[[#This Row],[Price_retail]]-Real_Sales[[#This Row],[Price_current]])/Real_Sales[[#This Row],[Price_retail]]</f>
        <v>0.42320654790563311</v>
      </c>
      <c r="W650" s="3" t="str" cm="1">
        <f t="array" ref="W65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50" s="2" t="str">
        <f>IF(Real_Sales[[#This Row],[Price_retail]]&gt;$AC$3,"Premium","Average")</f>
        <v>Premium</v>
      </c>
      <c r="Y650" s="2" t="str">
        <f>IF(ISNUMBER(SEARCH("Basic",Real_Sales[[#This Row],[Product_name]])),"Yes","No")</f>
        <v>No</v>
      </c>
      <c r="Z650" s="2" cm="1">
        <f t="array" ref="Z650">_xlfn.IFS(Real_Sales[[#This Row],[Price_retail]]&lt;=15,1, Real_Sales[[#This Row],[Price_retail]]&lt;=30,2, Real_Sales[[#This Row],[Price_retail]]&lt;=50,3,Real_Sales[[#This Row],[Price_retail]]&gt;50,4)</f>
        <v>2</v>
      </c>
    </row>
    <row r="651" spans="1:26" x14ac:dyDescent="0.35">
      <c r="A651" s="2" t="s">
        <v>1127</v>
      </c>
      <c r="B651" s="2" t="s">
        <v>1128</v>
      </c>
      <c r="C651" s="2" t="s">
        <v>1743</v>
      </c>
      <c r="D651" s="2" t="s">
        <v>526</v>
      </c>
      <c r="E651" s="2" t="s">
        <v>4</v>
      </c>
      <c r="F651" s="2" t="s">
        <v>5</v>
      </c>
      <c r="G651" s="2" t="s">
        <v>121</v>
      </c>
      <c r="H651" s="2" t="s">
        <v>59</v>
      </c>
      <c r="I651" s="2" t="s">
        <v>3393</v>
      </c>
      <c r="J651" s="3">
        <v>20.8</v>
      </c>
      <c r="K651" s="3">
        <v>10.45</v>
      </c>
      <c r="L651" s="2" t="s">
        <v>8</v>
      </c>
      <c r="M651" s="2" t="s">
        <v>9</v>
      </c>
      <c r="N651" s="3">
        <v>774</v>
      </c>
      <c r="O651" s="2" t="s">
        <v>191</v>
      </c>
      <c r="P651" s="2" t="s">
        <v>186</v>
      </c>
      <c r="Q651" s="3"/>
      <c r="R651" s="3"/>
      <c r="S651" s="2" t="s">
        <v>21</v>
      </c>
      <c r="T651" s="4">
        <v>44955</v>
      </c>
      <c r="U651" s="2" t="s">
        <v>1129</v>
      </c>
      <c r="V651" s="6">
        <f>(Real_Sales[[#This Row],[Price_retail]]-Real_Sales[[#This Row],[Price_current]])/Real_Sales[[#This Row],[Price_retail]]</f>
        <v>0.49759615384615391</v>
      </c>
      <c r="W651" s="3" t="str" cm="1">
        <f t="array" ref="W65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51" s="2" t="str">
        <f>IF(Real_Sales[[#This Row],[Price_retail]]&gt;$AC$3,"Premium","Average")</f>
        <v>Premium</v>
      </c>
      <c r="Y651" s="2" t="str">
        <f>IF(ISNUMBER(SEARCH("Basic",Real_Sales[[#This Row],[Product_name]])),"Yes","No")</f>
        <v>No</v>
      </c>
      <c r="Z651" s="2" cm="1">
        <f t="array" ref="Z651">_xlfn.IFS(Real_Sales[[#This Row],[Price_retail]]&lt;=15,1, Real_Sales[[#This Row],[Price_retail]]&lt;=30,2, Real_Sales[[#This Row],[Price_retail]]&lt;=50,3,Real_Sales[[#This Row],[Price_retail]]&gt;50,4)</f>
        <v>2</v>
      </c>
    </row>
    <row r="652" spans="1:26" x14ac:dyDescent="0.35">
      <c r="A652" s="2" t="s">
        <v>849</v>
      </c>
      <c r="B652" s="2" t="s">
        <v>850</v>
      </c>
      <c r="C652" s="2" t="s">
        <v>484</v>
      </c>
      <c r="D652" s="2" t="s">
        <v>470</v>
      </c>
      <c r="E652" s="2" t="s">
        <v>4</v>
      </c>
      <c r="F652" s="2" t="s">
        <v>17</v>
      </c>
      <c r="G652" s="2" t="s">
        <v>67</v>
      </c>
      <c r="H652" s="2" t="s">
        <v>185</v>
      </c>
      <c r="I652" s="2" t="s">
        <v>3390</v>
      </c>
      <c r="J652" s="3">
        <v>20.81</v>
      </c>
      <c r="K652" s="3">
        <v>20.81</v>
      </c>
      <c r="L652" s="2" t="s">
        <v>3391</v>
      </c>
      <c r="M652" s="2" t="s">
        <v>9</v>
      </c>
      <c r="N652" s="3">
        <v>532</v>
      </c>
      <c r="O652" s="2" t="s">
        <v>98</v>
      </c>
      <c r="P652" s="2" t="s">
        <v>92</v>
      </c>
      <c r="Q652" s="3"/>
      <c r="R652" s="3"/>
      <c r="S652" s="2" t="s">
        <v>21</v>
      </c>
      <c r="T652" s="4">
        <v>44955</v>
      </c>
      <c r="U652" s="2" t="s">
        <v>851</v>
      </c>
      <c r="V652" s="6">
        <f>(Real_Sales[[#This Row],[Price_retail]]-Real_Sales[[#This Row],[Price_current]])/Real_Sales[[#This Row],[Price_retail]]</f>
        <v>0</v>
      </c>
      <c r="W652" s="3" t="str" cm="1">
        <f t="array" ref="W6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52" s="2" t="str">
        <f>IF(Real_Sales[[#This Row],[Price_retail]]&gt;$AC$3,"Premium","Average")</f>
        <v>Premium</v>
      </c>
      <c r="Y652" s="2" t="str">
        <f>IF(ISNUMBER(SEARCH("Basic",Real_Sales[[#This Row],[Product_name]])),"Yes","No")</f>
        <v>No</v>
      </c>
      <c r="Z652" s="2" cm="1">
        <f t="array" ref="Z652">_xlfn.IFS(Real_Sales[[#This Row],[Price_retail]]&lt;=15,1, Real_Sales[[#This Row],[Price_retail]]&lt;=30,2, Real_Sales[[#This Row],[Price_retail]]&lt;=50,3,Real_Sales[[#This Row],[Price_retail]]&gt;50,4)</f>
        <v>2</v>
      </c>
    </row>
    <row r="653" spans="1:26" x14ac:dyDescent="0.35">
      <c r="A653" s="2" t="s">
        <v>203</v>
      </c>
      <c r="B653" s="2" t="s">
        <v>204</v>
      </c>
      <c r="C653" s="2" t="s">
        <v>114</v>
      </c>
      <c r="D653" s="2" t="s">
        <v>205</v>
      </c>
      <c r="E653" s="2" t="s">
        <v>4</v>
      </c>
      <c r="F653" s="2" t="s">
        <v>17</v>
      </c>
      <c r="G653" s="2" t="s">
        <v>27</v>
      </c>
      <c r="H653" s="2" t="s">
        <v>145</v>
      </c>
      <c r="I653" s="2" t="s">
        <v>3393</v>
      </c>
      <c r="J653" s="3">
        <v>20.82</v>
      </c>
      <c r="K653" s="3">
        <v>20.82</v>
      </c>
      <c r="L653" s="2" t="s">
        <v>3391</v>
      </c>
      <c r="M653" s="2" t="s">
        <v>9</v>
      </c>
      <c r="N653" s="3">
        <v>226</v>
      </c>
      <c r="O653" s="2" t="s">
        <v>75</v>
      </c>
      <c r="P653" s="2" t="s">
        <v>30</v>
      </c>
      <c r="Q653" s="3"/>
      <c r="R653" s="3"/>
      <c r="S653" s="2" t="s">
        <v>21</v>
      </c>
      <c r="T653" s="4">
        <v>44955</v>
      </c>
      <c r="U653" s="2" t="s">
        <v>206</v>
      </c>
      <c r="V653" s="6">
        <f>(Real_Sales[[#This Row],[Price_retail]]-Real_Sales[[#This Row],[Price_current]])/Real_Sales[[#This Row],[Price_retail]]</f>
        <v>0</v>
      </c>
      <c r="W653" s="3" t="str" cm="1">
        <f t="array" ref="W65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53" s="2" t="str">
        <f>IF(Real_Sales[[#This Row],[Price_retail]]&gt;$AC$3,"Premium","Average")</f>
        <v>Premium</v>
      </c>
      <c r="Y653" s="2" t="str">
        <f>IF(ISNUMBER(SEARCH("Basic",Real_Sales[[#This Row],[Product_name]])),"Yes","No")</f>
        <v>No</v>
      </c>
      <c r="Z653" s="2" cm="1">
        <f t="array" ref="Z653">_xlfn.IFS(Real_Sales[[#This Row],[Price_retail]]&lt;=15,1, Real_Sales[[#This Row],[Price_retail]]&lt;=30,2, Real_Sales[[#This Row],[Price_retail]]&lt;=50,3,Real_Sales[[#This Row],[Price_retail]]&gt;50,4)</f>
        <v>2</v>
      </c>
    </row>
    <row r="654" spans="1:26" x14ac:dyDescent="0.35">
      <c r="A654" s="2" t="s">
        <v>1996</v>
      </c>
      <c r="B654" s="2" t="s">
        <v>1997</v>
      </c>
      <c r="C654" s="2" t="s">
        <v>1090</v>
      </c>
      <c r="D654" s="2" t="s">
        <v>3</v>
      </c>
      <c r="E654" s="2" t="s">
        <v>4</v>
      </c>
      <c r="F654" s="2" t="s">
        <v>5</v>
      </c>
      <c r="G654" s="2" t="s">
        <v>6</v>
      </c>
      <c r="H654" s="2"/>
      <c r="I654" s="2" t="s">
        <v>3395</v>
      </c>
      <c r="J654" s="3">
        <v>20.85</v>
      </c>
      <c r="K654" s="3">
        <v>12.75</v>
      </c>
      <c r="L654" s="2" t="s">
        <v>8</v>
      </c>
      <c r="M654" s="2" t="s">
        <v>9</v>
      </c>
      <c r="N654" s="3">
        <v>366</v>
      </c>
      <c r="O654" s="2" t="s">
        <v>3392</v>
      </c>
      <c r="P654" s="2" t="s">
        <v>76</v>
      </c>
      <c r="Q654" s="3"/>
      <c r="R654" s="3"/>
      <c r="S654" s="2" t="s">
        <v>12</v>
      </c>
      <c r="T654" s="4">
        <v>44955</v>
      </c>
      <c r="U654" s="2" t="s">
        <v>1998</v>
      </c>
      <c r="V654" s="6">
        <f>(Real_Sales[[#This Row],[Price_retail]]-Real_Sales[[#This Row],[Price_current]])/Real_Sales[[#This Row],[Price_retail]]</f>
        <v>0.38848920863309355</v>
      </c>
      <c r="W654" s="3" t="str" cm="1">
        <f t="array" ref="W65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54" s="2" t="str">
        <f>IF(Real_Sales[[#This Row],[Price_retail]]&gt;$AC$3,"Premium","Average")</f>
        <v>Premium</v>
      </c>
      <c r="Y654" s="2" t="str">
        <f>IF(ISNUMBER(SEARCH("Basic",Real_Sales[[#This Row],[Product_name]])),"Yes","No")</f>
        <v>No</v>
      </c>
      <c r="Z654" s="2" cm="1">
        <f t="array" ref="Z654">_xlfn.IFS(Real_Sales[[#This Row],[Price_retail]]&lt;=15,1, Real_Sales[[#This Row],[Price_retail]]&lt;=30,2, Real_Sales[[#This Row],[Price_retail]]&lt;=50,3,Real_Sales[[#This Row],[Price_retail]]&gt;50,4)</f>
        <v>2</v>
      </c>
    </row>
    <row r="655" spans="1:26" x14ac:dyDescent="0.35">
      <c r="A655" s="2" t="s">
        <v>1123</v>
      </c>
      <c r="B655" s="2" t="s">
        <v>1124</v>
      </c>
      <c r="C655" s="2" t="s">
        <v>242</v>
      </c>
      <c r="D655" s="2" t="s">
        <v>1125</v>
      </c>
      <c r="E655" s="2" t="s">
        <v>4</v>
      </c>
      <c r="F655" s="2" t="s">
        <v>5</v>
      </c>
      <c r="G655" s="2" t="s">
        <v>82</v>
      </c>
      <c r="H655" s="2" t="s">
        <v>333</v>
      </c>
      <c r="I655" s="2" t="s">
        <v>3395</v>
      </c>
      <c r="J655" s="3">
        <v>20.85</v>
      </c>
      <c r="K655" s="3">
        <v>20.85</v>
      </c>
      <c r="L655" s="2" t="s">
        <v>3391</v>
      </c>
      <c r="M655" s="2" t="s">
        <v>9</v>
      </c>
      <c r="N655" s="3">
        <v>394</v>
      </c>
      <c r="O655" s="2" t="s">
        <v>98</v>
      </c>
      <c r="P655" s="2" t="s">
        <v>238</v>
      </c>
      <c r="Q655" s="3"/>
      <c r="R655" s="3"/>
      <c r="S655" s="2" t="s">
        <v>21</v>
      </c>
      <c r="T655" s="4">
        <v>44955</v>
      </c>
      <c r="U655" s="2" t="s">
        <v>1126</v>
      </c>
      <c r="V655" s="6">
        <f>(Real_Sales[[#This Row],[Price_retail]]-Real_Sales[[#This Row],[Price_current]])/Real_Sales[[#This Row],[Price_retail]]</f>
        <v>0</v>
      </c>
      <c r="W655" s="3" t="str" cm="1">
        <f t="array" ref="W65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55" s="2" t="str">
        <f>IF(Real_Sales[[#This Row],[Price_retail]]&gt;$AC$3,"Premium","Average")</f>
        <v>Premium</v>
      </c>
      <c r="Y655" s="2" t="str">
        <f>IF(ISNUMBER(SEARCH("Basic",Real_Sales[[#This Row],[Product_name]])),"Yes","No")</f>
        <v>Yes</v>
      </c>
      <c r="Z655" s="2" cm="1">
        <f t="array" ref="Z655">_xlfn.IFS(Real_Sales[[#This Row],[Price_retail]]&lt;=15,1, Real_Sales[[#This Row],[Price_retail]]&lt;=30,2, Real_Sales[[#This Row],[Price_retail]]&lt;=50,3,Real_Sales[[#This Row],[Price_retail]]&gt;50,4)</f>
        <v>2</v>
      </c>
    </row>
    <row r="656" spans="1:26" x14ac:dyDescent="0.35">
      <c r="A656" s="2" t="s">
        <v>1759</v>
      </c>
      <c r="B656" s="2" t="s">
        <v>1760</v>
      </c>
      <c r="C656" s="2" t="s">
        <v>3406</v>
      </c>
      <c r="D656" s="2" t="s">
        <v>279</v>
      </c>
      <c r="E656" s="2" t="s">
        <v>4</v>
      </c>
      <c r="F656" s="2" t="s">
        <v>17</v>
      </c>
      <c r="G656" s="2" t="s">
        <v>50</v>
      </c>
      <c r="H656" s="2" t="s">
        <v>28</v>
      </c>
      <c r="I656" s="2" t="s">
        <v>3395</v>
      </c>
      <c r="J656" s="3">
        <v>20.92</v>
      </c>
      <c r="K656" s="3">
        <v>10.6</v>
      </c>
      <c r="L656" s="2" t="s">
        <v>8</v>
      </c>
      <c r="M656" s="2" t="s">
        <v>9</v>
      </c>
      <c r="N656" s="3">
        <v>968</v>
      </c>
      <c r="O656" s="2" t="s">
        <v>98</v>
      </c>
      <c r="P656" s="2" t="s">
        <v>30</v>
      </c>
      <c r="Q656" s="3"/>
      <c r="R656" s="3"/>
      <c r="S656" s="2" t="s">
        <v>21</v>
      </c>
      <c r="T656" s="4">
        <v>44955</v>
      </c>
      <c r="U656" s="2" t="s">
        <v>1761</v>
      </c>
      <c r="V656" s="6">
        <f>(Real_Sales[[#This Row],[Price_retail]]-Real_Sales[[#This Row],[Price_current]])/Real_Sales[[#This Row],[Price_retail]]</f>
        <v>0.49330783938814537</v>
      </c>
      <c r="W656" s="3" t="str" cm="1">
        <f t="array" ref="W65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56" s="2" t="str">
        <f>IF(Real_Sales[[#This Row],[Price_retail]]&gt;$AC$3,"Premium","Average")</f>
        <v>Premium</v>
      </c>
      <c r="Y656" s="2" t="str">
        <f>IF(ISNUMBER(SEARCH("Basic",Real_Sales[[#This Row],[Product_name]])),"Yes","No")</f>
        <v>No</v>
      </c>
      <c r="Z656" s="2" cm="1">
        <f t="array" ref="Z656">_xlfn.IFS(Real_Sales[[#This Row],[Price_retail]]&lt;=15,1, Real_Sales[[#This Row],[Price_retail]]&lt;=30,2, Real_Sales[[#This Row],[Price_retail]]&lt;=50,3,Real_Sales[[#This Row],[Price_retail]]&gt;50,4)</f>
        <v>2</v>
      </c>
    </row>
    <row r="657" spans="1:26" x14ac:dyDescent="0.35">
      <c r="A657" s="2" t="s">
        <v>602</v>
      </c>
      <c r="B657" s="2" t="s">
        <v>603</v>
      </c>
      <c r="C657" s="2" t="s">
        <v>65</v>
      </c>
      <c r="D657" s="2" t="s">
        <v>604</v>
      </c>
      <c r="E657" s="2" t="s">
        <v>4</v>
      </c>
      <c r="F657" s="2" t="s">
        <v>5</v>
      </c>
      <c r="G657" s="2" t="s">
        <v>82</v>
      </c>
      <c r="H657" s="2" t="s">
        <v>418</v>
      </c>
      <c r="I657" s="2" t="s">
        <v>3393</v>
      </c>
      <c r="J657" s="3">
        <v>21.02</v>
      </c>
      <c r="K657" s="3">
        <v>21.02</v>
      </c>
      <c r="L657" s="2" t="s">
        <v>3391</v>
      </c>
      <c r="M657" s="2" t="s">
        <v>9</v>
      </c>
      <c r="N657" s="3">
        <v>329</v>
      </c>
      <c r="O657" s="2" t="s">
        <v>140</v>
      </c>
      <c r="P657" s="2" t="s">
        <v>3392</v>
      </c>
      <c r="Q657" s="3"/>
      <c r="R657" s="3"/>
      <c r="S657" s="2" t="s">
        <v>21</v>
      </c>
      <c r="T657" s="4">
        <v>44955</v>
      </c>
      <c r="U657" s="2" t="s">
        <v>605</v>
      </c>
      <c r="V657" s="6">
        <f>(Real_Sales[[#This Row],[Price_retail]]-Real_Sales[[#This Row],[Price_current]])/Real_Sales[[#This Row],[Price_retail]]</f>
        <v>0</v>
      </c>
      <c r="W657" s="3" t="str" cm="1">
        <f t="array" ref="W65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57" s="2" t="str">
        <f>IF(Real_Sales[[#This Row],[Price_retail]]&gt;$AC$3,"Premium","Average")</f>
        <v>Premium</v>
      </c>
      <c r="Y657" s="2" t="str">
        <f>IF(ISNUMBER(SEARCH("Basic",Real_Sales[[#This Row],[Product_name]])),"Yes","No")</f>
        <v>No</v>
      </c>
      <c r="Z657" s="2" cm="1">
        <f t="array" ref="Z657">_xlfn.IFS(Real_Sales[[#This Row],[Price_retail]]&lt;=15,1, Real_Sales[[#This Row],[Price_retail]]&lt;=30,2, Real_Sales[[#This Row],[Price_retail]]&lt;=50,3,Real_Sales[[#This Row],[Price_retail]]&gt;50,4)</f>
        <v>2</v>
      </c>
    </row>
    <row r="658" spans="1:26" x14ac:dyDescent="0.35">
      <c r="A658" s="2" t="s">
        <v>2623</v>
      </c>
      <c r="B658" s="2" t="s">
        <v>2624</v>
      </c>
      <c r="C658" s="2" t="s">
        <v>3407</v>
      </c>
      <c r="D658" s="2" t="s">
        <v>205</v>
      </c>
      <c r="E658" s="2" t="s">
        <v>4</v>
      </c>
      <c r="F658" s="2" t="s">
        <v>17</v>
      </c>
      <c r="G658" s="2" t="s">
        <v>18</v>
      </c>
      <c r="H658" s="2" t="s">
        <v>145</v>
      </c>
      <c r="I658" s="2" t="s">
        <v>3393</v>
      </c>
      <c r="J658" s="3">
        <v>21.04</v>
      </c>
      <c r="K658" s="3">
        <v>21.04</v>
      </c>
      <c r="L658" s="2" t="s">
        <v>3391</v>
      </c>
      <c r="M658" s="2" t="s">
        <v>9</v>
      </c>
      <c r="N658" s="3">
        <v>838</v>
      </c>
      <c r="O658" s="2" t="s">
        <v>3392</v>
      </c>
      <c r="P658" s="2" t="s">
        <v>843</v>
      </c>
      <c r="Q658" s="3"/>
      <c r="R658" s="3"/>
      <c r="S658" s="2" t="s">
        <v>12</v>
      </c>
      <c r="T658" s="4">
        <v>44955</v>
      </c>
      <c r="U658" s="2" t="s">
        <v>2625</v>
      </c>
      <c r="V658" s="6">
        <f>(Real_Sales[[#This Row],[Price_retail]]-Real_Sales[[#This Row],[Price_current]])/Real_Sales[[#This Row],[Price_retail]]</f>
        <v>0</v>
      </c>
      <c r="W658" s="3" t="str" cm="1">
        <f t="array" ref="W65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58" s="2" t="str">
        <f>IF(Real_Sales[[#This Row],[Price_retail]]&gt;$AC$3,"Premium","Average")</f>
        <v>Premium</v>
      </c>
      <c r="Y658" s="2" t="str">
        <f>IF(ISNUMBER(SEARCH("Basic",Real_Sales[[#This Row],[Product_name]])),"Yes","No")</f>
        <v>No</v>
      </c>
      <c r="Z658" s="2" cm="1">
        <f t="array" ref="Z658">_xlfn.IFS(Real_Sales[[#This Row],[Price_retail]]&lt;=15,1, Real_Sales[[#This Row],[Price_retail]]&lt;=30,2, Real_Sales[[#This Row],[Price_retail]]&lt;=50,3,Real_Sales[[#This Row],[Price_retail]]&gt;50,4)</f>
        <v>2</v>
      </c>
    </row>
    <row r="659" spans="1:26" x14ac:dyDescent="0.35">
      <c r="A659" s="2" t="s">
        <v>32</v>
      </c>
      <c r="B659" s="2" t="s">
        <v>33</v>
      </c>
      <c r="C659" s="2" t="s">
        <v>3394</v>
      </c>
      <c r="D659" s="2" t="s">
        <v>34</v>
      </c>
      <c r="E659" s="2" t="s">
        <v>4</v>
      </c>
      <c r="F659" s="2" t="s">
        <v>17</v>
      </c>
      <c r="G659" s="2" t="s">
        <v>27</v>
      </c>
      <c r="H659" s="2" t="s">
        <v>35</v>
      </c>
      <c r="I659" s="2" t="s">
        <v>3395</v>
      </c>
      <c r="J659" s="3">
        <v>21.05</v>
      </c>
      <c r="K659" s="3">
        <v>12.67</v>
      </c>
      <c r="L659" s="2" t="s">
        <v>8</v>
      </c>
      <c r="M659" s="2" t="s">
        <v>9</v>
      </c>
      <c r="N659" s="3">
        <v>473</v>
      </c>
      <c r="O659" s="2" t="s">
        <v>36</v>
      </c>
      <c r="P659" s="2" t="s">
        <v>37</v>
      </c>
      <c r="Q659" s="3"/>
      <c r="R659" s="3"/>
      <c r="S659" s="2" t="s">
        <v>21</v>
      </c>
      <c r="T659" s="4">
        <v>44955</v>
      </c>
      <c r="U659" s="2" t="s">
        <v>38</v>
      </c>
      <c r="V659" s="6">
        <f>(Real_Sales[[#This Row],[Price_retail]]-Real_Sales[[#This Row],[Price_current]])/Real_Sales[[#This Row],[Price_retail]]</f>
        <v>0.39809976247030882</v>
      </c>
      <c r="W659" s="3" t="str" cm="1">
        <f t="array" ref="W65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59" s="2" t="str">
        <f>IF(Real_Sales[[#This Row],[Price_retail]]&gt;$AC$3,"Premium","Average")</f>
        <v>Premium</v>
      </c>
      <c r="Y659" s="2" t="str">
        <f>IF(ISNUMBER(SEARCH("Basic",Real_Sales[[#This Row],[Product_name]])),"Yes","No")</f>
        <v>No</v>
      </c>
      <c r="Z659" s="2" cm="1">
        <f t="array" ref="Z659">_xlfn.IFS(Real_Sales[[#This Row],[Price_retail]]&lt;=15,1, Real_Sales[[#This Row],[Price_retail]]&lt;=30,2, Real_Sales[[#This Row],[Price_retail]]&lt;=50,3,Real_Sales[[#This Row],[Price_retail]]&gt;50,4)</f>
        <v>2</v>
      </c>
    </row>
    <row r="660" spans="1:26" x14ac:dyDescent="0.35">
      <c r="A660" s="2" t="s">
        <v>1364</v>
      </c>
      <c r="B660" s="2" t="s">
        <v>1365</v>
      </c>
      <c r="C660" s="2" t="s">
        <v>242</v>
      </c>
      <c r="D660" s="2" t="s">
        <v>725</v>
      </c>
      <c r="E660" s="2" t="s">
        <v>4</v>
      </c>
      <c r="F660" s="2" t="s">
        <v>17</v>
      </c>
      <c r="G660" s="2" t="s">
        <v>67</v>
      </c>
      <c r="H660" s="2" t="s">
        <v>110</v>
      </c>
      <c r="I660" s="2" t="s">
        <v>3389</v>
      </c>
      <c r="J660" s="3">
        <v>21.05</v>
      </c>
      <c r="K660" s="3">
        <v>21.05</v>
      </c>
      <c r="L660" s="2" t="s">
        <v>3391</v>
      </c>
      <c r="M660" s="2" t="s">
        <v>9</v>
      </c>
      <c r="N660" s="3">
        <v>849</v>
      </c>
      <c r="O660" s="2" t="s">
        <v>60</v>
      </c>
      <c r="P660" s="2" t="s">
        <v>177</v>
      </c>
      <c r="Q660" s="3"/>
      <c r="R660" s="3"/>
      <c r="S660" s="2" t="s">
        <v>12</v>
      </c>
      <c r="T660" s="4">
        <v>44955</v>
      </c>
      <c r="U660" s="2" t="s">
        <v>1366</v>
      </c>
      <c r="V660" s="6">
        <f>(Real_Sales[[#This Row],[Price_retail]]-Real_Sales[[#This Row],[Price_current]])/Real_Sales[[#This Row],[Price_retail]]</f>
        <v>0</v>
      </c>
      <c r="W660" s="3" t="str" cm="1">
        <f t="array" ref="W66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0" s="2" t="str">
        <f>IF(Real_Sales[[#This Row],[Price_retail]]&gt;$AC$3,"Premium","Average")</f>
        <v>Premium</v>
      </c>
      <c r="Y660" s="2" t="str">
        <f>IF(ISNUMBER(SEARCH("Basic",Real_Sales[[#This Row],[Product_name]])),"Yes","No")</f>
        <v>Yes</v>
      </c>
      <c r="Z660" s="2" cm="1">
        <f t="array" ref="Z660">_xlfn.IFS(Real_Sales[[#This Row],[Price_retail]]&lt;=15,1, Real_Sales[[#This Row],[Price_retail]]&lt;=30,2, Real_Sales[[#This Row],[Price_retail]]&lt;=50,3,Real_Sales[[#This Row],[Price_retail]]&gt;50,4)</f>
        <v>2</v>
      </c>
    </row>
    <row r="661" spans="1:26" x14ac:dyDescent="0.35">
      <c r="A661" s="2" t="s">
        <v>194</v>
      </c>
      <c r="B661" s="2" t="s">
        <v>195</v>
      </c>
      <c r="C661" s="2" t="s">
        <v>119</v>
      </c>
      <c r="D661" s="2" t="s">
        <v>196</v>
      </c>
      <c r="E661" s="2" t="s">
        <v>4</v>
      </c>
      <c r="F661" s="2" t="s">
        <v>17</v>
      </c>
      <c r="G661" s="2" t="s">
        <v>50</v>
      </c>
      <c r="H661" s="2" t="s">
        <v>7</v>
      </c>
      <c r="I661" s="2" t="s">
        <v>3390</v>
      </c>
      <c r="J661" s="3">
        <v>21.06</v>
      </c>
      <c r="K661" s="3">
        <v>21.06</v>
      </c>
      <c r="L661" s="2" t="s">
        <v>3391</v>
      </c>
      <c r="M661" s="2" t="s">
        <v>9</v>
      </c>
      <c r="N661" s="3">
        <v>429</v>
      </c>
      <c r="O661" s="2" t="s">
        <v>69</v>
      </c>
      <c r="P661" s="2" t="s">
        <v>70</v>
      </c>
      <c r="Q661" s="3"/>
      <c r="R661" s="3"/>
      <c r="S661" s="2" t="s">
        <v>21</v>
      </c>
      <c r="T661" s="4">
        <v>44955</v>
      </c>
      <c r="U661" s="2" t="s">
        <v>197</v>
      </c>
      <c r="V661" s="6">
        <f>(Real_Sales[[#This Row],[Price_retail]]-Real_Sales[[#This Row],[Price_current]])/Real_Sales[[#This Row],[Price_retail]]</f>
        <v>0</v>
      </c>
      <c r="W661" s="3" t="str" cm="1">
        <f t="array" ref="W66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1" s="2" t="str">
        <f>IF(Real_Sales[[#This Row],[Price_retail]]&gt;$AC$3,"Premium","Average")</f>
        <v>Premium</v>
      </c>
      <c r="Y661" s="2" t="str">
        <f>IF(ISNUMBER(SEARCH("Basic",Real_Sales[[#This Row],[Product_name]])),"Yes","No")</f>
        <v>No</v>
      </c>
      <c r="Z661" s="2" cm="1">
        <f t="array" ref="Z661">_xlfn.IFS(Real_Sales[[#This Row],[Price_retail]]&lt;=15,1, Real_Sales[[#This Row],[Price_retail]]&lt;=30,2, Real_Sales[[#This Row],[Price_retail]]&lt;=50,3,Real_Sales[[#This Row],[Price_retail]]&gt;50,4)</f>
        <v>2</v>
      </c>
    </row>
    <row r="662" spans="1:26" x14ac:dyDescent="0.35">
      <c r="A662" s="2" t="s">
        <v>3359</v>
      </c>
      <c r="B662" s="2" t="s">
        <v>3360</v>
      </c>
      <c r="C662" s="2" t="s">
        <v>1115</v>
      </c>
      <c r="D662" s="2" t="s">
        <v>660</v>
      </c>
      <c r="E662" s="2" t="s">
        <v>4</v>
      </c>
      <c r="F662" s="2" t="s">
        <v>5</v>
      </c>
      <c r="G662" s="2" t="s">
        <v>6</v>
      </c>
      <c r="H662" s="2" t="s">
        <v>237</v>
      </c>
      <c r="I662" s="2" t="s">
        <v>3390</v>
      </c>
      <c r="J662" s="3">
        <v>21.06</v>
      </c>
      <c r="K662" s="3">
        <v>21.06</v>
      </c>
      <c r="L662" s="2" t="s">
        <v>3391</v>
      </c>
      <c r="M662" s="2" t="s">
        <v>9</v>
      </c>
      <c r="N662" s="3">
        <v>156</v>
      </c>
      <c r="O662" s="2" t="s">
        <v>20</v>
      </c>
      <c r="P662" s="2" t="s">
        <v>44</v>
      </c>
      <c r="Q662" s="3"/>
      <c r="R662" s="3"/>
      <c r="S662" s="2"/>
      <c r="T662" s="4">
        <v>44955</v>
      </c>
      <c r="U662" s="2" t="s">
        <v>3361</v>
      </c>
      <c r="V662" s="6">
        <f>(Real_Sales[[#This Row],[Price_retail]]-Real_Sales[[#This Row],[Price_current]])/Real_Sales[[#This Row],[Price_retail]]</f>
        <v>0</v>
      </c>
      <c r="W662" s="3" t="str" cm="1">
        <f t="array" ref="W6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2" s="2" t="str">
        <f>IF(Real_Sales[[#This Row],[Price_retail]]&gt;$AC$3,"Premium","Average")</f>
        <v>Premium</v>
      </c>
      <c r="Y662" s="2" t="str">
        <f>IF(ISNUMBER(SEARCH("Basic",Real_Sales[[#This Row],[Product_name]])),"Yes","No")</f>
        <v>No</v>
      </c>
      <c r="Z662" s="2" cm="1">
        <f t="array" ref="Z662">_xlfn.IFS(Real_Sales[[#This Row],[Price_retail]]&lt;=15,1, Real_Sales[[#This Row],[Price_retail]]&lt;=30,2, Real_Sales[[#This Row],[Price_retail]]&lt;=50,3,Real_Sales[[#This Row],[Price_retail]]&gt;50,4)</f>
        <v>2</v>
      </c>
    </row>
    <row r="663" spans="1:26" x14ac:dyDescent="0.35">
      <c r="A663" s="2" t="s">
        <v>727</v>
      </c>
      <c r="B663" s="2" t="s">
        <v>728</v>
      </c>
      <c r="C663" s="2" t="s">
        <v>3394</v>
      </c>
      <c r="D663" s="2" t="s">
        <v>729</v>
      </c>
      <c r="E663" s="2" t="s">
        <v>4</v>
      </c>
      <c r="F663" s="2" t="s">
        <v>17</v>
      </c>
      <c r="G663" s="2" t="s">
        <v>18</v>
      </c>
      <c r="H663" s="2" t="s">
        <v>168</v>
      </c>
      <c r="I663" s="2" t="s">
        <v>3395</v>
      </c>
      <c r="J663" s="3">
        <v>21.11</v>
      </c>
      <c r="K663" s="3">
        <v>13.27</v>
      </c>
      <c r="L663" s="2" t="s">
        <v>8</v>
      </c>
      <c r="M663" s="2" t="s">
        <v>9</v>
      </c>
      <c r="N663" s="3">
        <v>813</v>
      </c>
      <c r="O663" s="2" t="s">
        <v>29</v>
      </c>
      <c r="P663" s="2" t="s">
        <v>221</v>
      </c>
      <c r="Q663" s="3"/>
      <c r="R663" s="3"/>
      <c r="S663" s="2" t="s">
        <v>21</v>
      </c>
      <c r="T663" s="4">
        <v>44955</v>
      </c>
      <c r="U663" s="2" t="s">
        <v>730</v>
      </c>
      <c r="V663" s="6">
        <f>(Real_Sales[[#This Row],[Price_retail]]-Real_Sales[[#This Row],[Price_current]])/Real_Sales[[#This Row],[Price_retail]]</f>
        <v>0.37138796778777833</v>
      </c>
      <c r="W663" s="3" t="str" cm="1">
        <f t="array" ref="W66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63" s="2" t="str">
        <f>IF(Real_Sales[[#This Row],[Price_retail]]&gt;$AC$3,"Premium","Average")</f>
        <v>Premium</v>
      </c>
      <c r="Y663" s="2" t="str">
        <f>IF(ISNUMBER(SEARCH("Basic",Real_Sales[[#This Row],[Product_name]])),"Yes","No")</f>
        <v>No</v>
      </c>
      <c r="Z663" s="2" cm="1">
        <f t="array" ref="Z663">_xlfn.IFS(Real_Sales[[#This Row],[Price_retail]]&lt;=15,1, Real_Sales[[#This Row],[Price_retail]]&lt;=30,2, Real_Sales[[#This Row],[Price_retail]]&lt;=50,3,Real_Sales[[#This Row],[Price_retail]]&gt;50,4)</f>
        <v>2</v>
      </c>
    </row>
    <row r="664" spans="1:26" x14ac:dyDescent="0.35">
      <c r="A664" s="2" t="s">
        <v>2811</v>
      </c>
      <c r="B664" s="2" t="s">
        <v>2812</v>
      </c>
      <c r="C664" s="2" t="s">
        <v>41</v>
      </c>
      <c r="D664" s="2" t="s">
        <v>1165</v>
      </c>
      <c r="E664" s="2" t="s">
        <v>4</v>
      </c>
      <c r="F664" s="2" t="s">
        <v>17</v>
      </c>
      <c r="G664" s="2" t="s">
        <v>18</v>
      </c>
      <c r="H664" s="2" t="s">
        <v>185</v>
      </c>
      <c r="I664" s="2" t="s">
        <v>3390</v>
      </c>
      <c r="J664" s="3">
        <v>21.11</v>
      </c>
      <c r="K664" s="3">
        <v>13.7</v>
      </c>
      <c r="L664" s="2" t="s">
        <v>8</v>
      </c>
      <c r="M664" s="2" t="s">
        <v>9</v>
      </c>
      <c r="N664" s="3">
        <v>47</v>
      </c>
      <c r="O664" s="2" t="s">
        <v>52</v>
      </c>
      <c r="P664" s="2" t="s">
        <v>44</v>
      </c>
      <c r="Q664" s="3"/>
      <c r="R664" s="3"/>
      <c r="S664" s="2" t="s">
        <v>21</v>
      </c>
      <c r="T664" s="4">
        <v>44955</v>
      </c>
      <c r="U664" s="2" t="s">
        <v>2813</v>
      </c>
      <c r="V664" s="6">
        <f>(Real_Sales[[#This Row],[Price_retail]]-Real_Sales[[#This Row],[Price_current]])/Real_Sales[[#This Row],[Price_retail]]</f>
        <v>0.35101847465656089</v>
      </c>
      <c r="W664" s="3" t="str" cm="1">
        <f t="array" ref="W66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64" s="2" t="str">
        <f>IF(Real_Sales[[#This Row],[Price_retail]]&gt;$AC$3,"Premium","Average")</f>
        <v>Premium</v>
      </c>
      <c r="Y664" s="2" t="str">
        <f>IF(ISNUMBER(SEARCH("Basic",Real_Sales[[#This Row],[Product_name]])),"Yes","No")</f>
        <v>No</v>
      </c>
      <c r="Z664" s="2" cm="1">
        <f t="array" ref="Z664">_xlfn.IFS(Real_Sales[[#This Row],[Price_retail]]&lt;=15,1, Real_Sales[[#This Row],[Price_retail]]&lt;=30,2, Real_Sales[[#This Row],[Price_retail]]&lt;=50,3,Real_Sales[[#This Row],[Price_retail]]&gt;50,4)</f>
        <v>2</v>
      </c>
    </row>
    <row r="665" spans="1:26" x14ac:dyDescent="0.35">
      <c r="A665" s="2" t="s">
        <v>2219</v>
      </c>
      <c r="B665" s="2" t="s">
        <v>2220</v>
      </c>
      <c r="C665" s="2" t="s">
        <v>1670</v>
      </c>
      <c r="D665" s="2" t="s">
        <v>413</v>
      </c>
      <c r="E665" s="2" t="s">
        <v>4</v>
      </c>
      <c r="F665" s="2" t="s">
        <v>17</v>
      </c>
      <c r="G665" s="2" t="s">
        <v>27</v>
      </c>
      <c r="H665" s="2" t="s">
        <v>19</v>
      </c>
      <c r="I665" s="2" t="s">
        <v>3393</v>
      </c>
      <c r="J665" s="3">
        <v>21.15</v>
      </c>
      <c r="K665" s="3">
        <v>21.15</v>
      </c>
      <c r="L665" s="2" t="s">
        <v>3391</v>
      </c>
      <c r="M665" s="2" t="s">
        <v>9</v>
      </c>
      <c r="N665" s="3">
        <v>888</v>
      </c>
      <c r="O665" s="2" t="s">
        <v>60</v>
      </c>
      <c r="P665" s="2" t="s">
        <v>128</v>
      </c>
      <c r="Q665" s="3"/>
      <c r="R665" s="3"/>
      <c r="S665" s="2"/>
      <c r="T665" s="4">
        <v>44955</v>
      </c>
      <c r="U665" s="2" t="s">
        <v>2221</v>
      </c>
      <c r="V665" s="6">
        <f>(Real_Sales[[#This Row],[Price_retail]]-Real_Sales[[#This Row],[Price_current]])/Real_Sales[[#This Row],[Price_retail]]</f>
        <v>0</v>
      </c>
      <c r="W665" s="3" t="str" cm="1">
        <f t="array" ref="W66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5" s="2" t="str">
        <f>IF(Real_Sales[[#This Row],[Price_retail]]&gt;$AC$3,"Premium","Average")</f>
        <v>Premium</v>
      </c>
      <c r="Y665" s="2" t="str">
        <f>IF(ISNUMBER(SEARCH("Basic",Real_Sales[[#This Row],[Product_name]])),"Yes","No")</f>
        <v>No</v>
      </c>
      <c r="Z665" s="2" cm="1">
        <f t="array" ref="Z665">_xlfn.IFS(Real_Sales[[#This Row],[Price_retail]]&lt;=15,1, Real_Sales[[#This Row],[Price_retail]]&lt;=30,2, Real_Sales[[#This Row],[Price_retail]]&lt;=50,3,Real_Sales[[#This Row],[Price_retail]]&gt;50,4)</f>
        <v>2</v>
      </c>
    </row>
    <row r="666" spans="1:26" x14ac:dyDescent="0.35">
      <c r="A666" s="2" t="s">
        <v>3005</v>
      </c>
      <c r="B666" s="2" t="s">
        <v>3006</v>
      </c>
      <c r="C666" s="2" t="s">
        <v>242</v>
      </c>
      <c r="D666" s="2" t="s">
        <v>1523</v>
      </c>
      <c r="E666" s="2" t="s">
        <v>4</v>
      </c>
      <c r="F666" s="2" t="s">
        <v>17</v>
      </c>
      <c r="G666" s="2" t="s">
        <v>50</v>
      </c>
      <c r="H666" s="2" t="s">
        <v>333</v>
      </c>
      <c r="I666" s="2" t="s">
        <v>3390</v>
      </c>
      <c r="J666" s="3">
        <v>21.18</v>
      </c>
      <c r="K666" s="3">
        <v>21.18</v>
      </c>
      <c r="L666" s="2" t="s">
        <v>3391</v>
      </c>
      <c r="M666" s="2" t="s">
        <v>9</v>
      </c>
      <c r="N666" s="3">
        <v>836</v>
      </c>
      <c r="O666" s="2" t="s">
        <v>75</v>
      </c>
      <c r="P666" s="2" t="s">
        <v>334</v>
      </c>
      <c r="Q666" s="3"/>
      <c r="R666" s="3"/>
      <c r="S666" s="2" t="s">
        <v>21</v>
      </c>
      <c r="T666" s="4">
        <v>44955</v>
      </c>
      <c r="U666" s="2" t="s">
        <v>3007</v>
      </c>
      <c r="V666" s="6">
        <f>(Real_Sales[[#This Row],[Price_retail]]-Real_Sales[[#This Row],[Price_current]])/Real_Sales[[#This Row],[Price_retail]]</f>
        <v>0</v>
      </c>
      <c r="W666" s="3" t="str" cm="1">
        <f t="array" ref="W66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6" s="2" t="str">
        <f>IF(Real_Sales[[#This Row],[Price_retail]]&gt;$AC$3,"Premium","Average")</f>
        <v>Premium</v>
      </c>
      <c r="Y666" s="2" t="str">
        <f>IF(ISNUMBER(SEARCH("Basic",Real_Sales[[#This Row],[Product_name]])),"Yes","No")</f>
        <v>No</v>
      </c>
      <c r="Z666" s="2" cm="1">
        <f t="array" ref="Z666">_xlfn.IFS(Real_Sales[[#This Row],[Price_retail]]&lt;=15,1, Real_Sales[[#This Row],[Price_retail]]&lt;=30,2, Real_Sales[[#This Row],[Price_retail]]&lt;=50,3,Real_Sales[[#This Row],[Price_retail]]&gt;50,4)</f>
        <v>2</v>
      </c>
    </row>
    <row r="667" spans="1:26" x14ac:dyDescent="0.35">
      <c r="A667" s="2" t="s">
        <v>1093</v>
      </c>
      <c r="B667" s="2" t="s">
        <v>1094</v>
      </c>
      <c r="C667" s="2" t="s">
        <v>3394</v>
      </c>
      <c r="D667" s="2" t="s">
        <v>501</v>
      </c>
      <c r="E667" s="2" t="s">
        <v>4</v>
      </c>
      <c r="F667" s="2" t="s">
        <v>17</v>
      </c>
      <c r="G667" s="2" t="s">
        <v>27</v>
      </c>
      <c r="H667" s="2" t="s">
        <v>83</v>
      </c>
      <c r="I667" s="2" t="s">
        <v>3393</v>
      </c>
      <c r="J667" s="3">
        <v>21.2</v>
      </c>
      <c r="K667" s="3">
        <v>21.2</v>
      </c>
      <c r="L667" s="2" t="s">
        <v>3391</v>
      </c>
      <c r="M667" s="2" t="s">
        <v>9</v>
      </c>
      <c r="N667" s="3">
        <v>250</v>
      </c>
      <c r="O667" s="2" t="s">
        <v>3392</v>
      </c>
      <c r="P667" s="2" t="s">
        <v>328</v>
      </c>
      <c r="Q667" s="3"/>
      <c r="R667" s="3"/>
      <c r="S667" s="2" t="s">
        <v>21</v>
      </c>
      <c r="T667" s="4">
        <v>44955</v>
      </c>
      <c r="U667" s="2" t="s">
        <v>1095</v>
      </c>
      <c r="V667" s="6">
        <f>(Real_Sales[[#This Row],[Price_retail]]-Real_Sales[[#This Row],[Price_current]])/Real_Sales[[#This Row],[Price_retail]]</f>
        <v>0</v>
      </c>
      <c r="W667" s="3" t="str" cm="1">
        <f t="array" ref="W66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7" s="2" t="str">
        <f>IF(Real_Sales[[#This Row],[Price_retail]]&gt;$AC$3,"Premium","Average")</f>
        <v>Premium</v>
      </c>
      <c r="Y667" s="2" t="str">
        <f>IF(ISNUMBER(SEARCH("Basic",Real_Sales[[#This Row],[Product_name]])),"Yes","No")</f>
        <v>No</v>
      </c>
      <c r="Z667" s="2" cm="1">
        <f t="array" ref="Z667">_xlfn.IFS(Real_Sales[[#This Row],[Price_retail]]&lt;=15,1, Real_Sales[[#This Row],[Price_retail]]&lt;=30,2, Real_Sales[[#This Row],[Price_retail]]&lt;=50,3,Real_Sales[[#This Row],[Price_retail]]&gt;50,4)</f>
        <v>2</v>
      </c>
    </row>
    <row r="668" spans="1:26" x14ac:dyDescent="0.35">
      <c r="A668" s="2" t="s">
        <v>2767</v>
      </c>
      <c r="B668" s="2" t="s">
        <v>2768</v>
      </c>
      <c r="C668" s="2" t="s">
        <v>1010</v>
      </c>
      <c r="D668" s="2" t="s">
        <v>58</v>
      </c>
      <c r="E668" s="2" t="s">
        <v>4</v>
      </c>
      <c r="F668" s="2" t="s">
        <v>17</v>
      </c>
      <c r="G668" s="2" t="s">
        <v>18</v>
      </c>
      <c r="H668" s="2" t="s">
        <v>59</v>
      </c>
      <c r="I668" s="2" t="s">
        <v>3393</v>
      </c>
      <c r="J668" s="3">
        <v>21.21</v>
      </c>
      <c r="K668" s="3">
        <v>21.21</v>
      </c>
      <c r="L668" s="2" t="s">
        <v>3391</v>
      </c>
      <c r="M668" s="2" t="s">
        <v>9</v>
      </c>
      <c r="N668" s="3">
        <v>32</v>
      </c>
      <c r="O668" s="2" t="s">
        <v>3392</v>
      </c>
      <c r="P668" s="2" t="s">
        <v>3392</v>
      </c>
      <c r="Q668" s="3"/>
      <c r="R668" s="3"/>
      <c r="S668" s="2" t="s">
        <v>21</v>
      </c>
      <c r="T668" s="4">
        <v>44955</v>
      </c>
      <c r="U668" s="2" t="s">
        <v>2769</v>
      </c>
      <c r="V668" s="6">
        <f>(Real_Sales[[#This Row],[Price_retail]]-Real_Sales[[#This Row],[Price_current]])/Real_Sales[[#This Row],[Price_retail]]</f>
        <v>0</v>
      </c>
      <c r="W668" s="3" t="str" cm="1">
        <f t="array" ref="W6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8" s="2" t="str">
        <f>IF(Real_Sales[[#This Row],[Price_retail]]&gt;$AC$3,"Premium","Average")</f>
        <v>Premium</v>
      </c>
      <c r="Y668" s="2" t="str">
        <f>IF(ISNUMBER(SEARCH("Basic",Real_Sales[[#This Row],[Product_name]])),"Yes","No")</f>
        <v>No</v>
      </c>
      <c r="Z668" s="2" cm="1">
        <f t="array" ref="Z668">_xlfn.IFS(Real_Sales[[#This Row],[Price_retail]]&lt;=15,1, Real_Sales[[#This Row],[Price_retail]]&lt;=30,2, Real_Sales[[#This Row],[Price_retail]]&lt;=50,3,Real_Sales[[#This Row],[Price_retail]]&gt;50,4)</f>
        <v>2</v>
      </c>
    </row>
    <row r="669" spans="1:26" x14ac:dyDescent="0.35">
      <c r="A669" s="2" t="s">
        <v>2947</v>
      </c>
      <c r="B669" s="2" t="s">
        <v>2948</v>
      </c>
      <c r="C669" s="2" t="s">
        <v>25</v>
      </c>
      <c r="D669" s="2" t="s">
        <v>971</v>
      </c>
      <c r="E669" s="2" t="s">
        <v>4</v>
      </c>
      <c r="F669" s="2" t="s">
        <v>5</v>
      </c>
      <c r="G669" s="2" t="s">
        <v>6</v>
      </c>
      <c r="H669" s="2" t="s">
        <v>134</v>
      </c>
      <c r="I669" s="2" t="s">
        <v>3390</v>
      </c>
      <c r="J669" s="3">
        <v>21.23</v>
      </c>
      <c r="K669" s="3">
        <v>21.23</v>
      </c>
      <c r="L669" s="2" t="s">
        <v>3391</v>
      </c>
      <c r="M669" s="2" t="s">
        <v>9</v>
      </c>
      <c r="N669" s="3">
        <v>891</v>
      </c>
      <c r="O669" s="2" t="s">
        <v>36</v>
      </c>
      <c r="P669" s="2" t="s">
        <v>53</v>
      </c>
      <c r="Q669" s="3"/>
      <c r="R669" s="3"/>
      <c r="S669" s="2" t="s">
        <v>21</v>
      </c>
      <c r="T669" s="4">
        <v>44955</v>
      </c>
      <c r="U669" s="2" t="s">
        <v>2949</v>
      </c>
      <c r="V669" s="6">
        <f>(Real_Sales[[#This Row],[Price_retail]]-Real_Sales[[#This Row],[Price_current]])/Real_Sales[[#This Row],[Price_retail]]</f>
        <v>0</v>
      </c>
      <c r="W669" s="3" t="str" cm="1">
        <f t="array" ref="W66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69" s="2" t="str">
        <f>IF(Real_Sales[[#This Row],[Price_retail]]&gt;$AC$3,"Premium","Average")</f>
        <v>Premium</v>
      </c>
      <c r="Y669" s="2" t="str">
        <f>IF(ISNUMBER(SEARCH("Basic",Real_Sales[[#This Row],[Product_name]])),"Yes","No")</f>
        <v>No</v>
      </c>
      <c r="Z669" s="2" cm="1">
        <f t="array" ref="Z669">_xlfn.IFS(Real_Sales[[#This Row],[Price_retail]]&lt;=15,1, Real_Sales[[#This Row],[Price_retail]]&lt;=30,2, Real_Sales[[#This Row],[Price_retail]]&lt;=50,3,Real_Sales[[#This Row],[Price_retail]]&gt;50,4)</f>
        <v>2</v>
      </c>
    </row>
    <row r="670" spans="1:26" x14ac:dyDescent="0.35">
      <c r="A670" s="2" t="s">
        <v>784</v>
      </c>
      <c r="B670" s="2" t="s">
        <v>785</v>
      </c>
      <c r="C670" s="2" t="s">
        <v>786</v>
      </c>
      <c r="D670" s="2" t="s">
        <v>89</v>
      </c>
      <c r="E670" s="2" t="s">
        <v>4</v>
      </c>
      <c r="F670" s="2" t="s">
        <v>5</v>
      </c>
      <c r="G670" s="2" t="s">
        <v>121</v>
      </c>
      <c r="H670" s="2" t="s">
        <v>90</v>
      </c>
      <c r="I670" s="2" t="s">
        <v>3393</v>
      </c>
      <c r="J670" s="3">
        <v>21.24</v>
      </c>
      <c r="K670" s="3">
        <v>11.55</v>
      </c>
      <c r="L670" s="2" t="s">
        <v>8</v>
      </c>
      <c r="M670" s="2" t="s">
        <v>9</v>
      </c>
      <c r="N670" s="3">
        <v>416</v>
      </c>
      <c r="O670" s="2" t="s">
        <v>3392</v>
      </c>
      <c r="P670" s="2" t="s">
        <v>76</v>
      </c>
      <c r="Q670" s="3"/>
      <c r="R670" s="3"/>
      <c r="S670" s="2" t="s">
        <v>21</v>
      </c>
      <c r="T670" s="4">
        <v>44955</v>
      </c>
      <c r="U670" s="2" t="s">
        <v>787</v>
      </c>
      <c r="V670" s="6">
        <f>(Real_Sales[[#This Row],[Price_retail]]-Real_Sales[[#This Row],[Price_current]])/Real_Sales[[#This Row],[Price_retail]]</f>
        <v>0.45621468926553665</v>
      </c>
      <c r="W670" s="3" t="str" cm="1">
        <f t="array" ref="W67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70" s="2" t="str">
        <f>IF(Real_Sales[[#This Row],[Price_retail]]&gt;$AC$3,"Premium","Average")</f>
        <v>Premium</v>
      </c>
      <c r="Y670" s="2" t="str">
        <f>IF(ISNUMBER(SEARCH("Basic",Real_Sales[[#This Row],[Product_name]])),"Yes","No")</f>
        <v>No</v>
      </c>
      <c r="Z670" s="2" cm="1">
        <f t="array" ref="Z670">_xlfn.IFS(Real_Sales[[#This Row],[Price_retail]]&lt;=15,1, Real_Sales[[#This Row],[Price_retail]]&lt;=30,2, Real_Sales[[#This Row],[Price_retail]]&lt;=50,3,Real_Sales[[#This Row],[Price_retail]]&gt;50,4)</f>
        <v>2</v>
      </c>
    </row>
    <row r="671" spans="1:26" x14ac:dyDescent="0.35">
      <c r="A671" s="2" t="s">
        <v>1427</v>
      </c>
      <c r="B671" s="2" t="s">
        <v>1428</v>
      </c>
      <c r="C671" s="2" t="s">
        <v>616</v>
      </c>
      <c r="D671" s="2" t="s">
        <v>236</v>
      </c>
      <c r="E671" s="2" t="s">
        <v>4</v>
      </c>
      <c r="F671" s="2" t="s">
        <v>17</v>
      </c>
      <c r="G671" s="2" t="s">
        <v>50</v>
      </c>
      <c r="H671" s="2" t="s">
        <v>237</v>
      </c>
      <c r="I671" s="2" t="s">
        <v>3390</v>
      </c>
      <c r="J671" s="3">
        <v>21.37</v>
      </c>
      <c r="K671" s="3">
        <v>21.37</v>
      </c>
      <c r="L671" s="2" t="s">
        <v>3391</v>
      </c>
      <c r="M671" s="2" t="s">
        <v>9</v>
      </c>
      <c r="N671" s="3">
        <v>373</v>
      </c>
      <c r="O671" s="2" t="s">
        <v>302</v>
      </c>
      <c r="P671" s="2" t="s">
        <v>53</v>
      </c>
      <c r="Q671" s="3"/>
      <c r="R671" s="3"/>
      <c r="S671" s="2" t="s">
        <v>21</v>
      </c>
      <c r="T671" s="4">
        <v>44955</v>
      </c>
      <c r="U671" s="2" t="s">
        <v>1429</v>
      </c>
      <c r="V671" s="6">
        <f>(Real_Sales[[#This Row],[Price_retail]]-Real_Sales[[#This Row],[Price_current]])/Real_Sales[[#This Row],[Price_retail]]</f>
        <v>0</v>
      </c>
      <c r="W671" s="3" t="str" cm="1">
        <f t="array" ref="W6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1" s="2" t="str">
        <f>IF(Real_Sales[[#This Row],[Price_retail]]&gt;$AC$3,"Premium","Average")</f>
        <v>Premium</v>
      </c>
      <c r="Y671" s="2" t="str">
        <f>IF(ISNUMBER(SEARCH("Basic",Real_Sales[[#This Row],[Product_name]])),"Yes","No")</f>
        <v>No</v>
      </c>
      <c r="Z671" s="2" cm="1">
        <f t="array" ref="Z671">_xlfn.IFS(Real_Sales[[#This Row],[Price_retail]]&lt;=15,1, Real_Sales[[#This Row],[Price_retail]]&lt;=30,2, Real_Sales[[#This Row],[Price_retail]]&lt;=50,3,Real_Sales[[#This Row],[Price_retail]]&gt;50,4)</f>
        <v>2</v>
      </c>
    </row>
    <row r="672" spans="1:26" x14ac:dyDescent="0.35">
      <c r="A672" s="2" t="s">
        <v>499</v>
      </c>
      <c r="B672" s="2" t="s">
        <v>500</v>
      </c>
      <c r="C672" s="2" t="s">
        <v>65</v>
      </c>
      <c r="D672" s="2" t="s">
        <v>501</v>
      </c>
      <c r="E672" s="2" t="s">
        <v>4</v>
      </c>
      <c r="F672" s="2" t="s">
        <v>17</v>
      </c>
      <c r="G672" s="2" t="s">
        <v>27</v>
      </c>
      <c r="H672" s="2" t="s">
        <v>83</v>
      </c>
      <c r="I672" s="2" t="s">
        <v>3390</v>
      </c>
      <c r="J672" s="3">
        <v>21.38</v>
      </c>
      <c r="K672" s="3">
        <v>21.38</v>
      </c>
      <c r="L672" s="2" t="s">
        <v>3391</v>
      </c>
      <c r="M672" s="2" t="s">
        <v>9</v>
      </c>
      <c r="N672" s="3">
        <v>562</v>
      </c>
      <c r="O672" s="2" t="s">
        <v>287</v>
      </c>
      <c r="P672" s="2" t="s">
        <v>53</v>
      </c>
      <c r="Q672" s="3"/>
      <c r="R672" s="3"/>
      <c r="S672" s="2" t="s">
        <v>12</v>
      </c>
      <c r="T672" s="4">
        <v>44955</v>
      </c>
      <c r="U672" s="2" t="s">
        <v>502</v>
      </c>
      <c r="V672" s="6">
        <f>(Real_Sales[[#This Row],[Price_retail]]-Real_Sales[[#This Row],[Price_current]])/Real_Sales[[#This Row],[Price_retail]]</f>
        <v>0</v>
      </c>
      <c r="W672" s="3" t="str" cm="1">
        <f t="array" ref="W67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2" s="2" t="str">
        <f>IF(Real_Sales[[#This Row],[Price_retail]]&gt;$AC$3,"Premium","Average")</f>
        <v>Premium</v>
      </c>
      <c r="Y672" s="2" t="str">
        <f>IF(ISNUMBER(SEARCH("Basic",Real_Sales[[#This Row],[Product_name]])),"Yes","No")</f>
        <v>No</v>
      </c>
      <c r="Z672" s="2" cm="1">
        <f t="array" ref="Z672">_xlfn.IFS(Real_Sales[[#This Row],[Price_retail]]&lt;=15,1, Real_Sales[[#This Row],[Price_retail]]&lt;=30,2, Real_Sales[[#This Row],[Price_retail]]&lt;=50,3,Real_Sales[[#This Row],[Price_retail]]&gt;50,4)</f>
        <v>2</v>
      </c>
    </row>
    <row r="673" spans="1:26" x14ac:dyDescent="0.35">
      <c r="A673" s="2" t="s">
        <v>3164</v>
      </c>
      <c r="B673" s="2" t="s">
        <v>3165</v>
      </c>
      <c r="C673" s="2" t="s">
        <v>3394</v>
      </c>
      <c r="D673" s="2" t="s">
        <v>1125</v>
      </c>
      <c r="E673" s="2" t="s">
        <v>4</v>
      </c>
      <c r="F673" s="2" t="s">
        <v>5</v>
      </c>
      <c r="G673" s="2" t="s">
        <v>82</v>
      </c>
      <c r="H673" s="2" t="s">
        <v>333</v>
      </c>
      <c r="I673" s="2" t="s">
        <v>3390</v>
      </c>
      <c r="J673" s="3">
        <v>21.38</v>
      </c>
      <c r="K673" s="3">
        <v>21.38</v>
      </c>
      <c r="L673" s="2" t="s">
        <v>3391</v>
      </c>
      <c r="M673" s="2" t="s">
        <v>9</v>
      </c>
      <c r="N673" s="3">
        <v>855</v>
      </c>
      <c r="O673" s="2" t="s">
        <v>98</v>
      </c>
      <c r="P673" s="2" t="s">
        <v>186</v>
      </c>
      <c r="Q673" s="3"/>
      <c r="R673" s="3"/>
      <c r="S673" s="2" t="s">
        <v>21</v>
      </c>
      <c r="T673" s="4">
        <v>44955</v>
      </c>
      <c r="U673" s="2" t="s">
        <v>3166</v>
      </c>
      <c r="V673" s="6">
        <f>(Real_Sales[[#This Row],[Price_retail]]-Real_Sales[[#This Row],[Price_current]])/Real_Sales[[#This Row],[Price_retail]]</f>
        <v>0</v>
      </c>
      <c r="W673" s="3" t="str" cm="1">
        <f t="array" ref="W67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3" s="2" t="str">
        <f>IF(Real_Sales[[#This Row],[Price_retail]]&gt;$AC$3,"Premium","Average")</f>
        <v>Premium</v>
      </c>
      <c r="Y673" s="2" t="str">
        <f>IF(ISNUMBER(SEARCH("Basic",Real_Sales[[#This Row],[Product_name]])),"Yes","No")</f>
        <v>Yes</v>
      </c>
      <c r="Z673" s="2" cm="1">
        <f t="array" ref="Z673">_xlfn.IFS(Real_Sales[[#This Row],[Price_retail]]&lt;=15,1, Real_Sales[[#This Row],[Price_retail]]&lt;=30,2, Real_Sales[[#This Row],[Price_retail]]&lt;=50,3,Real_Sales[[#This Row],[Price_retail]]&gt;50,4)</f>
        <v>2</v>
      </c>
    </row>
    <row r="674" spans="1:26" x14ac:dyDescent="0.35">
      <c r="A674" s="2" t="s">
        <v>1825</v>
      </c>
      <c r="B674" s="2" t="s">
        <v>1826</v>
      </c>
      <c r="C674" s="2" t="s">
        <v>1743</v>
      </c>
      <c r="D674" s="2" t="s">
        <v>521</v>
      </c>
      <c r="E674" s="2" t="s">
        <v>4</v>
      </c>
      <c r="F674" s="2" t="s">
        <v>5</v>
      </c>
      <c r="G674" s="2" t="s">
        <v>6</v>
      </c>
      <c r="H674" s="2" t="s">
        <v>19</v>
      </c>
      <c r="I674" s="2" t="s">
        <v>3395</v>
      </c>
      <c r="J674" s="3">
        <v>21.4</v>
      </c>
      <c r="K674" s="3">
        <v>21.4</v>
      </c>
      <c r="L674" s="2" t="s">
        <v>3391</v>
      </c>
      <c r="M674" s="2" t="s">
        <v>9</v>
      </c>
      <c r="N674" s="3">
        <v>311</v>
      </c>
      <c r="O674" s="2" t="s">
        <v>163</v>
      </c>
      <c r="P674" s="2" t="s">
        <v>61</v>
      </c>
      <c r="Q674" s="3"/>
      <c r="R674" s="3"/>
      <c r="S674" s="2" t="s">
        <v>21</v>
      </c>
      <c r="T674" s="4">
        <v>44955</v>
      </c>
      <c r="U674" s="2" t="s">
        <v>1827</v>
      </c>
      <c r="V674" s="6">
        <f>(Real_Sales[[#This Row],[Price_retail]]-Real_Sales[[#This Row],[Price_current]])/Real_Sales[[#This Row],[Price_retail]]</f>
        <v>0</v>
      </c>
      <c r="W674" s="3" t="str" cm="1">
        <f t="array" ref="W6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4" s="2" t="str">
        <f>IF(Real_Sales[[#This Row],[Price_retail]]&gt;$AC$3,"Premium","Average")</f>
        <v>Premium</v>
      </c>
      <c r="Y674" s="2" t="str">
        <f>IF(ISNUMBER(SEARCH("Basic",Real_Sales[[#This Row],[Product_name]])),"Yes","No")</f>
        <v>Yes</v>
      </c>
      <c r="Z674" s="2" cm="1">
        <f t="array" ref="Z674">_xlfn.IFS(Real_Sales[[#This Row],[Price_retail]]&lt;=15,1, Real_Sales[[#This Row],[Price_retail]]&lt;=30,2, Real_Sales[[#This Row],[Price_retail]]&lt;=50,3,Real_Sales[[#This Row],[Price_retail]]&gt;50,4)</f>
        <v>2</v>
      </c>
    </row>
    <row r="675" spans="1:26" x14ac:dyDescent="0.35">
      <c r="A675" s="2" t="s">
        <v>1182</v>
      </c>
      <c r="B675" s="2" t="s">
        <v>1183</v>
      </c>
      <c r="C675" s="2" t="s">
        <v>108</v>
      </c>
      <c r="D675" s="2" t="s">
        <v>1184</v>
      </c>
      <c r="E675" s="2" t="s">
        <v>4</v>
      </c>
      <c r="F675" s="2" t="s">
        <v>17</v>
      </c>
      <c r="G675" s="2" t="s">
        <v>50</v>
      </c>
      <c r="H675" s="2" t="s">
        <v>90</v>
      </c>
      <c r="I675" s="2" t="s">
        <v>3393</v>
      </c>
      <c r="J675" s="3">
        <v>21.42</v>
      </c>
      <c r="K675" s="3">
        <v>21.42</v>
      </c>
      <c r="L675" s="2" t="s">
        <v>3391</v>
      </c>
      <c r="M675" s="2" t="s">
        <v>9</v>
      </c>
      <c r="N675" s="3">
        <v>408</v>
      </c>
      <c r="O675" s="2" t="s">
        <v>20</v>
      </c>
      <c r="P675" s="2" t="s">
        <v>186</v>
      </c>
      <c r="Q675" s="3"/>
      <c r="R675" s="3"/>
      <c r="S675" s="2" t="s">
        <v>12</v>
      </c>
      <c r="T675" s="4">
        <v>44955</v>
      </c>
      <c r="U675" s="2" t="s">
        <v>1185</v>
      </c>
      <c r="V675" s="6">
        <f>(Real_Sales[[#This Row],[Price_retail]]-Real_Sales[[#This Row],[Price_current]])/Real_Sales[[#This Row],[Price_retail]]</f>
        <v>0</v>
      </c>
      <c r="W675" s="3" t="str" cm="1">
        <f t="array" ref="W67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5" s="2" t="str">
        <f>IF(Real_Sales[[#This Row],[Price_retail]]&gt;$AC$3,"Premium","Average")</f>
        <v>Premium</v>
      </c>
      <c r="Y675" s="2" t="str">
        <f>IF(ISNUMBER(SEARCH("Basic",Real_Sales[[#This Row],[Product_name]])),"Yes","No")</f>
        <v>No</v>
      </c>
      <c r="Z675" s="2" cm="1">
        <f t="array" ref="Z675">_xlfn.IFS(Real_Sales[[#This Row],[Price_retail]]&lt;=15,1, Real_Sales[[#This Row],[Price_retail]]&lt;=30,2, Real_Sales[[#This Row],[Price_retail]]&lt;=50,3,Real_Sales[[#This Row],[Price_retail]]&gt;50,4)</f>
        <v>2</v>
      </c>
    </row>
    <row r="676" spans="1:26" x14ac:dyDescent="0.35">
      <c r="A676" s="2" t="s">
        <v>915</v>
      </c>
      <c r="B676" s="2" t="s">
        <v>916</v>
      </c>
      <c r="C676" s="2" t="s">
        <v>505</v>
      </c>
      <c r="D676" s="2" t="s">
        <v>686</v>
      </c>
      <c r="E676" s="2" t="s">
        <v>4</v>
      </c>
      <c r="F676" s="2" t="s">
        <v>5</v>
      </c>
      <c r="G676" s="2" t="s">
        <v>6</v>
      </c>
      <c r="H676" s="2"/>
      <c r="I676" s="2" t="s">
        <v>3393</v>
      </c>
      <c r="J676" s="3">
        <v>21.49</v>
      </c>
      <c r="K676" s="3">
        <v>15.76</v>
      </c>
      <c r="L676" s="2" t="s">
        <v>8</v>
      </c>
      <c r="M676" s="2" t="s">
        <v>9</v>
      </c>
      <c r="N676" s="3">
        <v>465</v>
      </c>
      <c r="O676" s="2" t="s">
        <v>75</v>
      </c>
      <c r="P676" s="2" t="s">
        <v>92</v>
      </c>
      <c r="Q676" s="3"/>
      <c r="R676" s="3"/>
      <c r="S676" s="2" t="s">
        <v>21</v>
      </c>
      <c r="T676" s="4">
        <v>44955</v>
      </c>
      <c r="U676" s="2" t="s">
        <v>917</v>
      </c>
      <c r="V676" s="6">
        <f>(Real_Sales[[#This Row],[Price_retail]]-Real_Sales[[#This Row],[Price_current]])/Real_Sales[[#This Row],[Price_retail]]</f>
        <v>0.26663564448580729</v>
      </c>
      <c r="W676" s="3" t="str" cm="1">
        <f t="array" ref="W67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76" s="2" t="str">
        <f>IF(Real_Sales[[#This Row],[Price_retail]]&gt;$AC$3,"Premium","Average")</f>
        <v>Premium</v>
      </c>
      <c r="Y676" s="2" t="str">
        <f>IF(ISNUMBER(SEARCH("Basic",Real_Sales[[#This Row],[Product_name]])),"Yes","No")</f>
        <v>No</v>
      </c>
      <c r="Z676" s="2" cm="1">
        <f t="array" ref="Z676">_xlfn.IFS(Real_Sales[[#This Row],[Price_retail]]&lt;=15,1, Real_Sales[[#This Row],[Price_retail]]&lt;=30,2, Real_Sales[[#This Row],[Price_retail]]&lt;=50,3,Real_Sales[[#This Row],[Price_retail]]&gt;50,4)</f>
        <v>2</v>
      </c>
    </row>
    <row r="677" spans="1:26" x14ac:dyDescent="0.35">
      <c r="A677" s="2" t="s">
        <v>1258</v>
      </c>
      <c r="B677" s="2" t="s">
        <v>1259</v>
      </c>
      <c r="C677" s="2" t="s">
        <v>2915</v>
      </c>
      <c r="D677" s="2" t="s">
        <v>1050</v>
      </c>
      <c r="E677" s="2" t="s">
        <v>4</v>
      </c>
      <c r="F677" s="2" t="s">
        <v>5</v>
      </c>
      <c r="G677" s="2" t="s">
        <v>82</v>
      </c>
      <c r="H677" s="2" t="s">
        <v>68</v>
      </c>
      <c r="I677" s="2" t="s">
        <v>3390</v>
      </c>
      <c r="J677" s="3">
        <v>21.56</v>
      </c>
      <c r="K677" s="3">
        <v>21.56</v>
      </c>
      <c r="L677" s="2" t="s">
        <v>3391</v>
      </c>
      <c r="M677" s="2" t="s">
        <v>9</v>
      </c>
      <c r="N677" s="3">
        <v>564</v>
      </c>
      <c r="O677" s="2" t="s">
        <v>43</v>
      </c>
      <c r="P677" s="2" t="s">
        <v>3392</v>
      </c>
      <c r="Q677" s="3"/>
      <c r="R677" s="3"/>
      <c r="S677" s="2" t="s">
        <v>12</v>
      </c>
      <c r="T677" s="4">
        <v>44955</v>
      </c>
      <c r="U677" s="2" t="s">
        <v>1260</v>
      </c>
      <c r="V677" s="6">
        <f>(Real_Sales[[#This Row],[Price_retail]]-Real_Sales[[#This Row],[Price_current]])/Real_Sales[[#This Row],[Price_retail]]</f>
        <v>0</v>
      </c>
      <c r="W677" s="3" t="str" cm="1">
        <f t="array" ref="W6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7" s="2" t="str">
        <f>IF(Real_Sales[[#This Row],[Price_retail]]&gt;$AC$3,"Premium","Average")</f>
        <v>Premium</v>
      </c>
      <c r="Y677" s="2" t="str">
        <f>IF(ISNUMBER(SEARCH("Basic",Real_Sales[[#This Row],[Product_name]])),"Yes","No")</f>
        <v>Yes</v>
      </c>
      <c r="Z677" s="2" cm="1">
        <f t="array" ref="Z677">_xlfn.IFS(Real_Sales[[#This Row],[Price_retail]]&lt;=15,1, Real_Sales[[#This Row],[Price_retail]]&lt;=30,2, Real_Sales[[#This Row],[Price_retail]]&lt;=50,3,Real_Sales[[#This Row],[Price_retail]]&gt;50,4)</f>
        <v>2</v>
      </c>
    </row>
    <row r="678" spans="1:26" x14ac:dyDescent="0.35">
      <c r="A678" s="2" t="s">
        <v>1390</v>
      </c>
      <c r="B678" s="2" t="s">
        <v>1391</v>
      </c>
      <c r="C678" s="2" t="s">
        <v>1392</v>
      </c>
      <c r="D678" s="2" t="s">
        <v>201</v>
      </c>
      <c r="E678" s="2" t="s">
        <v>4</v>
      </c>
      <c r="F678" s="2" t="s">
        <v>5</v>
      </c>
      <c r="G678" s="2" t="s">
        <v>121</v>
      </c>
      <c r="H678" s="2" t="s">
        <v>185</v>
      </c>
      <c r="I678" s="2" t="s">
        <v>3393</v>
      </c>
      <c r="J678" s="3">
        <v>21.61</v>
      </c>
      <c r="K678" s="3">
        <v>21.61</v>
      </c>
      <c r="L678" s="2" t="s">
        <v>3391</v>
      </c>
      <c r="M678" s="2" t="s">
        <v>9</v>
      </c>
      <c r="N678" s="3">
        <v>627</v>
      </c>
      <c r="O678" s="2" t="s">
        <v>267</v>
      </c>
      <c r="P678" s="2" t="s">
        <v>192</v>
      </c>
      <c r="Q678" s="3"/>
      <c r="R678" s="3"/>
      <c r="S678" s="2" t="s">
        <v>21</v>
      </c>
      <c r="T678" s="4">
        <v>44955</v>
      </c>
      <c r="U678" s="2" t="s">
        <v>1393</v>
      </c>
      <c r="V678" s="6">
        <f>(Real_Sales[[#This Row],[Price_retail]]-Real_Sales[[#This Row],[Price_current]])/Real_Sales[[#This Row],[Price_retail]]</f>
        <v>0</v>
      </c>
      <c r="W678" s="3" t="str" cm="1">
        <f t="array" ref="W6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8" s="2" t="str">
        <f>IF(Real_Sales[[#This Row],[Price_retail]]&gt;$AC$3,"Premium","Average")</f>
        <v>Premium</v>
      </c>
      <c r="Y678" s="2" t="str">
        <f>IF(ISNUMBER(SEARCH("Basic",Real_Sales[[#This Row],[Product_name]])),"Yes","No")</f>
        <v>No</v>
      </c>
      <c r="Z678" s="2" cm="1">
        <f t="array" ref="Z678">_xlfn.IFS(Real_Sales[[#This Row],[Price_retail]]&lt;=15,1, Real_Sales[[#This Row],[Price_retail]]&lt;=30,2, Real_Sales[[#This Row],[Price_retail]]&lt;=50,3,Real_Sales[[#This Row],[Price_retail]]&gt;50,4)</f>
        <v>2</v>
      </c>
    </row>
    <row r="679" spans="1:26" x14ac:dyDescent="0.35">
      <c r="A679" s="2" t="s">
        <v>2372</v>
      </c>
      <c r="B679" s="2" t="s">
        <v>2373</v>
      </c>
      <c r="C679" s="2" t="s">
        <v>2374</v>
      </c>
      <c r="D679" s="2" t="s">
        <v>633</v>
      </c>
      <c r="E679" s="2" t="s">
        <v>4</v>
      </c>
      <c r="F679" s="2" t="s">
        <v>5</v>
      </c>
      <c r="G679" s="2" t="s">
        <v>6</v>
      </c>
      <c r="H679" s="2"/>
      <c r="I679" s="2" t="s">
        <v>3393</v>
      </c>
      <c r="J679" s="3">
        <v>21.62</v>
      </c>
      <c r="K679" s="3">
        <v>21.62</v>
      </c>
      <c r="L679" s="2" t="s">
        <v>3391</v>
      </c>
      <c r="M679" s="2" t="s">
        <v>9</v>
      </c>
      <c r="N679" s="3">
        <v>559</v>
      </c>
      <c r="O679" s="2" t="s">
        <v>60</v>
      </c>
      <c r="P679" s="2" t="s">
        <v>221</v>
      </c>
      <c r="Q679" s="3"/>
      <c r="R679" s="3"/>
      <c r="S679" s="2" t="s">
        <v>21</v>
      </c>
      <c r="T679" s="4">
        <v>44955</v>
      </c>
      <c r="U679" s="2" t="s">
        <v>2375</v>
      </c>
      <c r="V679" s="6">
        <f>(Real_Sales[[#This Row],[Price_retail]]-Real_Sales[[#This Row],[Price_current]])/Real_Sales[[#This Row],[Price_retail]]</f>
        <v>0</v>
      </c>
      <c r="W679" s="3" t="str" cm="1">
        <f t="array" ref="W6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79" s="2" t="str">
        <f>IF(Real_Sales[[#This Row],[Price_retail]]&gt;$AC$3,"Premium","Average")</f>
        <v>Premium</v>
      </c>
      <c r="Y679" s="2" t="str">
        <f>IF(ISNUMBER(SEARCH("Basic",Real_Sales[[#This Row],[Product_name]])),"Yes","No")</f>
        <v>No</v>
      </c>
      <c r="Z679" s="2" cm="1">
        <f t="array" ref="Z679">_xlfn.IFS(Real_Sales[[#This Row],[Price_retail]]&lt;=15,1, Real_Sales[[#This Row],[Price_retail]]&lt;=30,2, Real_Sales[[#This Row],[Price_retail]]&lt;=50,3,Real_Sales[[#This Row],[Price_retail]]&gt;50,4)</f>
        <v>2</v>
      </c>
    </row>
    <row r="680" spans="1:26" x14ac:dyDescent="0.35">
      <c r="A680" s="2" t="s">
        <v>2547</v>
      </c>
      <c r="B680" s="2" t="s">
        <v>2548</v>
      </c>
      <c r="C680" s="2" t="s">
        <v>454</v>
      </c>
      <c r="D680" s="2" t="s">
        <v>97</v>
      </c>
      <c r="E680" s="2" t="s">
        <v>4</v>
      </c>
      <c r="F680" s="2" t="s">
        <v>5</v>
      </c>
      <c r="G680" s="2" t="s">
        <v>6</v>
      </c>
      <c r="H680" s="2" t="s">
        <v>90</v>
      </c>
      <c r="I680" s="2" t="s">
        <v>3390</v>
      </c>
      <c r="J680" s="3">
        <v>21.82</v>
      </c>
      <c r="K680" s="3">
        <v>21.82</v>
      </c>
      <c r="L680" s="2" t="s">
        <v>3391</v>
      </c>
      <c r="M680" s="2" t="s">
        <v>9</v>
      </c>
      <c r="N680" s="3">
        <v>168</v>
      </c>
      <c r="O680" s="2" t="s">
        <v>75</v>
      </c>
      <c r="P680" s="2" t="s">
        <v>553</v>
      </c>
      <c r="Q680" s="3"/>
      <c r="R680" s="3"/>
      <c r="S680" s="2" t="s">
        <v>21</v>
      </c>
      <c r="T680" s="4">
        <v>44955</v>
      </c>
      <c r="U680" s="2" t="s">
        <v>2549</v>
      </c>
      <c r="V680" s="6">
        <f>(Real_Sales[[#This Row],[Price_retail]]-Real_Sales[[#This Row],[Price_current]])/Real_Sales[[#This Row],[Price_retail]]</f>
        <v>0</v>
      </c>
      <c r="W680" s="3" t="str" cm="1">
        <f t="array" ref="W68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80" s="2" t="str">
        <f>IF(Real_Sales[[#This Row],[Price_retail]]&gt;$AC$3,"Premium","Average")</f>
        <v>Premium</v>
      </c>
      <c r="Y680" s="2" t="str">
        <f>IF(ISNUMBER(SEARCH("Basic",Real_Sales[[#This Row],[Product_name]])),"Yes","No")</f>
        <v>No</v>
      </c>
      <c r="Z680" s="2" cm="1">
        <f t="array" ref="Z680">_xlfn.IFS(Real_Sales[[#This Row],[Price_retail]]&lt;=15,1, Real_Sales[[#This Row],[Price_retail]]&lt;=30,2, Real_Sales[[#This Row],[Price_retail]]&lt;=50,3,Real_Sales[[#This Row],[Price_retail]]&gt;50,4)</f>
        <v>2</v>
      </c>
    </row>
    <row r="681" spans="1:26" x14ac:dyDescent="0.35">
      <c r="A681" s="2" t="s">
        <v>997</v>
      </c>
      <c r="B681" s="2" t="s">
        <v>998</v>
      </c>
      <c r="C681" s="2" t="s">
        <v>999</v>
      </c>
      <c r="D681" s="2" t="s">
        <v>1000</v>
      </c>
      <c r="E681" s="2" t="s">
        <v>4</v>
      </c>
      <c r="F681" s="2" t="s">
        <v>17</v>
      </c>
      <c r="G681" s="2" t="s">
        <v>27</v>
      </c>
      <c r="H681" s="2" t="s">
        <v>68</v>
      </c>
      <c r="I681" s="2" t="s">
        <v>3390</v>
      </c>
      <c r="J681" s="3">
        <v>21.83</v>
      </c>
      <c r="K681" s="3">
        <v>15.11</v>
      </c>
      <c r="L681" s="2" t="s">
        <v>8</v>
      </c>
      <c r="M681" s="2" t="s">
        <v>9</v>
      </c>
      <c r="N681" s="3">
        <v>720</v>
      </c>
      <c r="O681" s="2" t="s">
        <v>664</v>
      </c>
      <c r="P681" s="2" t="s">
        <v>53</v>
      </c>
      <c r="Q681" s="3"/>
      <c r="R681" s="3"/>
      <c r="S681" s="2" t="s">
        <v>21</v>
      </c>
      <c r="T681" s="4">
        <v>44955</v>
      </c>
      <c r="U681" s="2" t="s">
        <v>1001</v>
      </c>
      <c r="V681" s="6">
        <f>(Real_Sales[[#This Row],[Price_retail]]-Real_Sales[[#This Row],[Price_current]])/Real_Sales[[#This Row],[Price_retail]]</f>
        <v>0.30783325698579933</v>
      </c>
      <c r="W681" s="3" t="str" cm="1">
        <f t="array" ref="W68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81" s="2" t="str">
        <f>IF(Real_Sales[[#This Row],[Price_retail]]&gt;$AC$3,"Premium","Average")</f>
        <v>Premium</v>
      </c>
      <c r="Y681" s="2" t="str">
        <f>IF(ISNUMBER(SEARCH("Basic",Real_Sales[[#This Row],[Product_name]])),"Yes","No")</f>
        <v>No</v>
      </c>
      <c r="Z681" s="2" cm="1">
        <f t="array" ref="Z681">_xlfn.IFS(Real_Sales[[#This Row],[Price_retail]]&lt;=15,1, Real_Sales[[#This Row],[Price_retail]]&lt;=30,2, Real_Sales[[#This Row],[Price_retail]]&lt;=50,3,Real_Sales[[#This Row],[Price_retail]]&gt;50,4)</f>
        <v>2</v>
      </c>
    </row>
    <row r="682" spans="1:26" x14ac:dyDescent="0.35">
      <c r="A682" s="2" t="s">
        <v>3260</v>
      </c>
      <c r="B682" s="2" t="s">
        <v>3261</v>
      </c>
      <c r="C682" s="2" t="s">
        <v>3433</v>
      </c>
      <c r="D682" s="2" t="s">
        <v>1727</v>
      </c>
      <c r="E682" s="2" t="s">
        <v>4</v>
      </c>
      <c r="F682" s="2" t="s">
        <v>5</v>
      </c>
      <c r="G682" s="2" t="s">
        <v>121</v>
      </c>
      <c r="H682" s="2" t="s">
        <v>418</v>
      </c>
      <c r="I682" s="2" t="s">
        <v>3395</v>
      </c>
      <c r="J682" s="3">
        <v>21.86</v>
      </c>
      <c r="K682" s="3">
        <v>21.86</v>
      </c>
      <c r="L682" s="2" t="s">
        <v>3391</v>
      </c>
      <c r="M682" s="2" t="s">
        <v>9</v>
      </c>
      <c r="N682" s="3">
        <v>672</v>
      </c>
      <c r="O682" s="2" t="s">
        <v>29</v>
      </c>
      <c r="P682" s="2" t="s">
        <v>186</v>
      </c>
      <c r="Q682" s="3"/>
      <c r="R682" s="3"/>
      <c r="S682" s="2" t="s">
        <v>21</v>
      </c>
      <c r="T682" s="4">
        <v>44955</v>
      </c>
      <c r="U682" s="2" t="s">
        <v>3262</v>
      </c>
      <c r="V682" s="6">
        <f>(Real_Sales[[#This Row],[Price_retail]]-Real_Sales[[#This Row],[Price_current]])/Real_Sales[[#This Row],[Price_retail]]</f>
        <v>0</v>
      </c>
      <c r="W682" s="3" t="str" cm="1">
        <f t="array" ref="W6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82" s="2" t="str">
        <f>IF(Real_Sales[[#This Row],[Price_retail]]&gt;$AC$3,"Premium","Average")</f>
        <v>Premium</v>
      </c>
      <c r="Y682" s="2" t="str">
        <f>IF(ISNUMBER(SEARCH("Basic",Real_Sales[[#This Row],[Product_name]])),"Yes","No")</f>
        <v>Yes</v>
      </c>
      <c r="Z682" s="2" cm="1">
        <f t="array" ref="Z682">_xlfn.IFS(Real_Sales[[#This Row],[Price_retail]]&lt;=15,1, Real_Sales[[#This Row],[Price_retail]]&lt;=30,2, Real_Sales[[#This Row],[Price_retail]]&lt;=50,3,Real_Sales[[#This Row],[Price_retail]]&gt;50,4)</f>
        <v>2</v>
      </c>
    </row>
    <row r="683" spans="1:26" x14ac:dyDescent="0.35">
      <c r="A683" s="2" t="s">
        <v>2959</v>
      </c>
      <c r="B683" s="2" t="s">
        <v>2960</v>
      </c>
      <c r="C683" s="2" t="s">
        <v>3423</v>
      </c>
      <c r="D683" s="2" t="s">
        <v>1651</v>
      </c>
      <c r="E683" s="2" t="s">
        <v>4</v>
      </c>
      <c r="F683" s="2" t="s">
        <v>5</v>
      </c>
      <c r="G683" s="2" t="s">
        <v>121</v>
      </c>
      <c r="H683" s="2" t="s">
        <v>139</v>
      </c>
      <c r="I683" s="2" t="s">
        <v>3390</v>
      </c>
      <c r="J683" s="3">
        <v>21.89</v>
      </c>
      <c r="K683" s="3">
        <v>21.89</v>
      </c>
      <c r="L683" s="2" t="s">
        <v>248</v>
      </c>
      <c r="M683" s="2" t="s">
        <v>9</v>
      </c>
      <c r="N683" s="3">
        <v>433</v>
      </c>
      <c r="O683" s="2" t="s">
        <v>98</v>
      </c>
      <c r="P683" s="2" t="s">
        <v>288</v>
      </c>
      <c r="Q683" s="3"/>
      <c r="R683" s="3"/>
      <c r="S683" s="2" t="s">
        <v>21</v>
      </c>
      <c r="T683" s="4">
        <v>44955</v>
      </c>
      <c r="U683" s="2" t="s">
        <v>2961</v>
      </c>
      <c r="V683" s="6">
        <f>(Real_Sales[[#This Row],[Price_retail]]-Real_Sales[[#This Row],[Price_current]])/Real_Sales[[#This Row],[Price_retail]]</f>
        <v>0</v>
      </c>
      <c r="W683" s="3" t="str" cm="1">
        <f t="array" ref="W68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83" s="2" t="str">
        <f>IF(Real_Sales[[#This Row],[Price_retail]]&gt;$AC$3,"Premium","Average")</f>
        <v>Premium</v>
      </c>
      <c r="Y683" s="2" t="str">
        <f>IF(ISNUMBER(SEARCH("Basic",Real_Sales[[#This Row],[Product_name]])),"Yes","No")</f>
        <v>No</v>
      </c>
      <c r="Z683" s="2" cm="1">
        <f t="array" ref="Z683">_xlfn.IFS(Real_Sales[[#This Row],[Price_retail]]&lt;=15,1, Real_Sales[[#This Row],[Price_retail]]&lt;=30,2, Real_Sales[[#This Row],[Price_retail]]&lt;=50,3,Real_Sales[[#This Row],[Price_retail]]&gt;50,4)</f>
        <v>2</v>
      </c>
    </row>
    <row r="684" spans="1:26" x14ac:dyDescent="0.35">
      <c r="A684" s="2" t="s">
        <v>1531</v>
      </c>
      <c r="B684" s="2" t="s">
        <v>1532</v>
      </c>
      <c r="C684" s="2" t="s">
        <v>242</v>
      </c>
      <c r="D684" s="2" t="s">
        <v>450</v>
      </c>
      <c r="E684" s="2" t="s">
        <v>4</v>
      </c>
      <c r="F684" s="2" t="s">
        <v>5</v>
      </c>
      <c r="G684" s="2" t="s">
        <v>6</v>
      </c>
      <c r="H684" s="2" t="s">
        <v>59</v>
      </c>
      <c r="I684" s="2" t="s">
        <v>3393</v>
      </c>
      <c r="J684" s="3">
        <v>21.98</v>
      </c>
      <c r="K684" s="3">
        <v>16.100000000000001</v>
      </c>
      <c r="L684" s="2" t="s">
        <v>8</v>
      </c>
      <c r="M684" s="2" t="s">
        <v>9</v>
      </c>
      <c r="N684" s="3">
        <v>998</v>
      </c>
      <c r="O684" s="2" t="s">
        <v>302</v>
      </c>
      <c r="P684" s="2" t="s">
        <v>328</v>
      </c>
      <c r="Q684" s="3"/>
      <c r="R684" s="3"/>
      <c r="S684" s="2" t="s">
        <v>12</v>
      </c>
      <c r="T684" s="4">
        <v>44955</v>
      </c>
      <c r="U684" s="2" t="s">
        <v>1533</v>
      </c>
      <c r="V684" s="6">
        <f>(Real_Sales[[#This Row],[Price_retail]]-Real_Sales[[#This Row],[Price_current]])/Real_Sales[[#This Row],[Price_retail]]</f>
        <v>0.26751592356687892</v>
      </c>
      <c r="W684" s="3" t="str" cm="1">
        <f t="array" ref="W68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84" s="2" t="str">
        <f>IF(Real_Sales[[#This Row],[Price_retail]]&gt;$AC$3,"Premium","Average")</f>
        <v>Premium</v>
      </c>
      <c r="Y684" s="2" t="str">
        <f>IF(ISNUMBER(SEARCH("Basic",Real_Sales[[#This Row],[Product_name]])),"Yes","No")</f>
        <v>No</v>
      </c>
      <c r="Z684" s="2" cm="1">
        <f t="array" ref="Z684">_xlfn.IFS(Real_Sales[[#This Row],[Price_retail]]&lt;=15,1, Real_Sales[[#This Row],[Price_retail]]&lt;=30,2, Real_Sales[[#This Row],[Price_retail]]&lt;=50,3,Real_Sales[[#This Row],[Price_retail]]&gt;50,4)</f>
        <v>2</v>
      </c>
    </row>
    <row r="685" spans="1:26" x14ac:dyDescent="0.35">
      <c r="A685" s="2" t="s">
        <v>592</v>
      </c>
      <c r="B685" s="2" t="s">
        <v>593</v>
      </c>
      <c r="C685" s="2" t="s">
        <v>306</v>
      </c>
      <c r="D685" s="2" t="s">
        <v>501</v>
      </c>
      <c r="E685" s="2" t="s">
        <v>4</v>
      </c>
      <c r="F685" s="2" t="s">
        <v>17</v>
      </c>
      <c r="G685" s="2" t="s">
        <v>67</v>
      </c>
      <c r="H685" s="2" t="s">
        <v>83</v>
      </c>
      <c r="I685" s="2" t="s">
        <v>3390</v>
      </c>
      <c r="J685" s="3">
        <v>21.98</v>
      </c>
      <c r="K685" s="3">
        <v>21.98</v>
      </c>
      <c r="L685" s="2" t="s">
        <v>3391</v>
      </c>
      <c r="M685" s="2" t="s">
        <v>9</v>
      </c>
      <c r="N685" s="3">
        <v>427</v>
      </c>
      <c r="O685" s="2" t="s">
        <v>3392</v>
      </c>
      <c r="P685" s="2" t="s">
        <v>169</v>
      </c>
      <c r="Q685" s="3"/>
      <c r="R685" s="3"/>
      <c r="S685" s="2" t="s">
        <v>21</v>
      </c>
      <c r="T685" s="4">
        <v>44955</v>
      </c>
      <c r="U685" s="2" t="s">
        <v>594</v>
      </c>
      <c r="V685" s="6">
        <f>(Real_Sales[[#This Row],[Price_retail]]-Real_Sales[[#This Row],[Price_current]])/Real_Sales[[#This Row],[Price_retail]]</f>
        <v>0</v>
      </c>
      <c r="W685" s="3" t="str" cm="1">
        <f t="array" ref="W68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85" s="2" t="str">
        <f>IF(Real_Sales[[#This Row],[Price_retail]]&gt;$AC$3,"Premium","Average")</f>
        <v>Premium</v>
      </c>
      <c r="Y685" s="2" t="str">
        <f>IF(ISNUMBER(SEARCH("Basic",Real_Sales[[#This Row],[Product_name]])),"Yes","No")</f>
        <v>No</v>
      </c>
      <c r="Z685" s="2" cm="1">
        <f t="array" ref="Z685">_xlfn.IFS(Real_Sales[[#This Row],[Price_retail]]&lt;=15,1, Real_Sales[[#This Row],[Price_retail]]&lt;=30,2, Real_Sales[[#This Row],[Price_retail]]&lt;=50,3,Real_Sales[[#This Row],[Price_retail]]&gt;50,4)</f>
        <v>2</v>
      </c>
    </row>
    <row r="686" spans="1:26" x14ac:dyDescent="0.35">
      <c r="A686" s="2" t="s">
        <v>1290</v>
      </c>
      <c r="B686" s="2" t="s">
        <v>1291</v>
      </c>
      <c r="C686" s="2" t="s">
        <v>469</v>
      </c>
      <c r="D686" s="2" t="s">
        <v>26</v>
      </c>
      <c r="E686" s="2" t="s">
        <v>4</v>
      </c>
      <c r="F686" s="2" t="s">
        <v>17</v>
      </c>
      <c r="G686" s="2" t="s">
        <v>27</v>
      </c>
      <c r="H686" s="2" t="s">
        <v>28</v>
      </c>
      <c r="I686" s="2" t="s">
        <v>3395</v>
      </c>
      <c r="J686" s="3">
        <v>22.03</v>
      </c>
      <c r="K686" s="3">
        <v>17.66</v>
      </c>
      <c r="L686" s="2" t="s">
        <v>8</v>
      </c>
      <c r="M686" s="2" t="s">
        <v>9</v>
      </c>
      <c r="N686" s="3">
        <v>663</v>
      </c>
      <c r="O686" s="2" t="s">
        <v>3392</v>
      </c>
      <c r="P686" s="2" t="s">
        <v>11</v>
      </c>
      <c r="Q686" s="3"/>
      <c r="R686" s="3"/>
      <c r="S686" s="2" t="s">
        <v>21</v>
      </c>
      <c r="T686" s="4">
        <v>44955</v>
      </c>
      <c r="U686" s="2" t="s">
        <v>1292</v>
      </c>
      <c r="V686" s="6">
        <f>(Real_Sales[[#This Row],[Price_retail]]-Real_Sales[[#This Row],[Price_current]])/Real_Sales[[#This Row],[Price_retail]]</f>
        <v>0.1983658647299138</v>
      </c>
      <c r="W686" s="3" t="str" cm="1">
        <f t="array" ref="W68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86" s="2" t="str">
        <f>IF(Real_Sales[[#This Row],[Price_retail]]&gt;$AC$3,"Premium","Average")</f>
        <v>Premium</v>
      </c>
      <c r="Y686" s="2" t="str">
        <f>IF(ISNUMBER(SEARCH("Basic",Real_Sales[[#This Row],[Product_name]])),"Yes","No")</f>
        <v>No</v>
      </c>
      <c r="Z686" s="2" cm="1">
        <f t="array" ref="Z686">_xlfn.IFS(Real_Sales[[#This Row],[Price_retail]]&lt;=15,1, Real_Sales[[#This Row],[Price_retail]]&lt;=30,2, Real_Sales[[#This Row],[Price_retail]]&lt;=50,3,Real_Sales[[#This Row],[Price_retail]]&gt;50,4)</f>
        <v>2</v>
      </c>
    </row>
    <row r="687" spans="1:26" x14ac:dyDescent="0.35">
      <c r="A687" s="2" t="s">
        <v>14</v>
      </c>
      <c r="B687" s="2" t="s">
        <v>15</v>
      </c>
      <c r="C687" s="2" t="s">
        <v>2915</v>
      </c>
      <c r="D687" s="2" t="s">
        <v>16</v>
      </c>
      <c r="E687" s="2" t="s">
        <v>4</v>
      </c>
      <c r="F687" s="2" t="s">
        <v>17</v>
      </c>
      <c r="G687" s="2" t="s">
        <v>18</v>
      </c>
      <c r="H687" s="2" t="s">
        <v>19</v>
      </c>
      <c r="I687" s="2" t="s">
        <v>3390</v>
      </c>
      <c r="J687" s="3">
        <v>22.03</v>
      </c>
      <c r="K687" s="3">
        <v>22.03</v>
      </c>
      <c r="L687" s="2" t="s">
        <v>3391</v>
      </c>
      <c r="M687" s="2" t="s">
        <v>9</v>
      </c>
      <c r="N687" s="3">
        <v>316</v>
      </c>
      <c r="O687" s="2" t="s">
        <v>20</v>
      </c>
      <c r="P687" s="2" t="s">
        <v>3392</v>
      </c>
      <c r="Q687" s="3"/>
      <c r="R687" s="3"/>
      <c r="S687" s="2" t="s">
        <v>21</v>
      </c>
      <c r="T687" s="4">
        <v>44955</v>
      </c>
      <c r="U687" s="2" t="s">
        <v>22</v>
      </c>
      <c r="V687" s="6">
        <f>(Real_Sales[[#This Row],[Price_retail]]-Real_Sales[[#This Row],[Price_current]])/Real_Sales[[#This Row],[Price_retail]]</f>
        <v>0</v>
      </c>
      <c r="W687" s="3" t="str" cm="1">
        <f t="array" ref="W68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87" s="2" t="str">
        <f>IF(Real_Sales[[#This Row],[Price_retail]]&gt;$AC$3,"Premium","Average")</f>
        <v>Premium</v>
      </c>
      <c r="Y687" s="2" t="str">
        <f>IF(ISNUMBER(SEARCH("Basic",Real_Sales[[#This Row],[Product_name]])),"Yes","No")</f>
        <v>No</v>
      </c>
      <c r="Z687" s="2" cm="1">
        <f t="array" ref="Z687">_xlfn.IFS(Real_Sales[[#This Row],[Price_retail]]&lt;=15,1, Real_Sales[[#This Row],[Price_retail]]&lt;=30,2, Real_Sales[[#This Row],[Price_retail]]&lt;=50,3,Real_Sales[[#This Row],[Price_retail]]&gt;50,4)</f>
        <v>2</v>
      </c>
    </row>
    <row r="688" spans="1:26" x14ac:dyDescent="0.35">
      <c r="A688" s="2" t="s">
        <v>623</v>
      </c>
      <c r="B688" s="2" t="s">
        <v>624</v>
      </c>
      <c r="C688" s="2" t="s">
        <v>41</v>
      </c>
      <c r="D688" s="2" t="s">
        <v>625</v>
      </c>
      <c r="E688" s="2" t="s">
        <v>4</v>
      </c>
      <c r="F688" s="2" t="s">
        <v>17</v>
      </c>
      <c r="G688" s="2" t="s">
        <v>67</v>
      </c>
      <c r="H688" s="2" t="s">
        <v>333</v>
      </c>
      <c r="I688" s="2" t="s">
        <v>3395</v>
      </c>
      <c r="J688" s="3">
        <v>22.14</v>
      </c>
      <c r="K688" s="3">
        <v>21.03</v>
      </c>
      <c r="L688" s="2" t="s">
        <v>8</v>
      </c>
      <c r="M688" s="2" t="s">
        <v>9</v>
      </c>
      <c r="N688" s="3">
        <v>912</v>
      </c>
      <c r="O688" s="2" t="s">
        <v>69</v>
      </c>
      <c r="P688" s="2" t="s">
        <v>70</v>
      </c>
      <c r="Q688" s="3"/>
      <c r="R688" s="3"/>
      <c r="S688" s="2" t="s">
        <v>21</v>
      </c>
      <c r="T688" s="4">
        <v>44955</v>
      </c>
      <c r="U688" s="2" t="s">
        <v>626</v>
      </c>
      <c r="V688" s="6">
        <f>(Real_Sales[[#This Row],[Price_retail]]-Real_Sales[[#This Row],[Price_current]])/Real_Sales[[#This Row],[Price_retail]]</f>
        <v>5.0135501355013525E-2</v>
      </c>
      <c r="W688" s="3" t="str" cm="1">
        <f t="array" ref="W688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88" s="2" t="str">
        <f>IF(Real_Sales[[#This Row],[Price_retail]]&gt;$AC$3,"Premium","Average")</f>
        <v>Premium</v>
      </c>
      <c r="Y688" s="2" t="str">
        <f>IF(ISNUMBER(SEARCH("Basic",Real_Sales[[#This Row],[Product_name]])),"Yes","No")</f>
        <v>No</v>
      </c>
      <c r="Z688" s="2" cm="1">
        <f t="array" ref="Z688">_xlfn.IFS(Real_Sales[[#This Row],[Price_retail]]&lt;=15,1, Real_Sales[[#This Row],[Price_retail]]&lt;=30,2, Real_Sales[[#This Row],[Price_retail]]&lt;=50,3,Real_Sales[[#This Row],[Price_retail]]&gt;50,4)</f>
        <v>2</v>
      </c>
    </row>
    <row r="689" spans="1:26" x14ac:dyDescent="0.35">
      <c r="A689" s="2" t="s">
        <v>1950</v>
      </c>
      <c r="B689" s="2" t="s">
        <v>1951</v>
      </c>
      <c r="C689" s="2" t="s">
        <v>242</v>
      </c>
      <c r="D689" s="2" t="s">
        <v>1101</v>
      </c>
      <c r="E689" s="2" t="s">
        <v>4</v>
      </c>
      <c r="F689" s="2" t="s">
        <v>5</v>
      </c>
      <c r="G689" s="2" t="s">
        <v>6</v>
      </c>
      <c r="H689" s="2" t="s">
        <v>134</v>
      </c>
      <c r="I689" s="2" t="s">
        <v>3390</v>
      </c>
      <c r="J689" s="3">
        <v>22.14</v>
      </c>
      <c r="K689" s="3">
        <v>22.14</v>
      </c>
      <c r="L689" s="2" t="s">
        <v>3391</v>
      </c>
      <c r="M689" s="2" t="s">
        <v>9</v>
      </c>
      <c r="N689" s="3">
        <v>758</v>
      </c>
      <c r="O689" s="2" t="s">
        <v>75</v>
      </c>
      <c r="P689" s="2" t="s">
        <v>177</v>
      </c>
      <c r="Q689" s="3"/>
      <c r="R689" s="3"/>
      <c r="S689" s="2" t="s">
        <v>12</v>
      </c>
      <c r="T689" s="4">
        <v>44955</v>
      </c>
      <c r="U689" s="2" t="s">
        <v>1952</v>
      </c>
      <c r="V689" s="6">
        <f>(Real_Sales[[#This Row],[Price_retail]]-Real_Sales[[#This Row],[Price_current]])/Real_Sales[[#This Row],[Price_retail]]</f>
        <v>0</v>
      </c>
      <c r="W689" s="3" t="str" cm="1">
        <f t="array" ref="W68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89" s="2" t="str">
        <f>IF(Real_Sales[[#This Row],[Price_retail]]&gt;$AC$3,"Premium","Average")</f>
        <v>Premium</v>
      </c>
      <c r="Y689" s="2" t="str">
        <f>IF(ISNUMBER(SEARCH("Basic",Real_Sales[[#This Row],[Product_name]])),"Yes","No")</f>
        <v>No</v>
      </c>
      <c r="Z689" s="2" cm="1">
        <f t="array" ref="Z689">_xlfn.IFS(Real_Sales[[#This Row],[Price_retail]]&lt;=15,1, Real_Sales[[#This Row],[Price_retail]]&lt;=30,2, Real_Sales[[#This Row],[Price_retail]]&lt;=50,3,Real_Sales[[#This Row],[Price_retail]]&gt;50,4)</f>
        <v>2</v>
      </c>
    </row>
    <row r="690" spans="1:26" x14ac:dyDescent="0.35">
      <c r="A690" s="2" t="s">
        <v>539</v>
      </c>
      <c r="B690" s="2" t="s">
        <v>540</v>
      </c>
      <c r="C690" s="2" t="s">
        <v>541</v>
      </c>
      <c r="D690" s="2" t="s">
        <v>542</v>
      </c>
      <c r="E690" s="2" t="s">
        <v>4</v>
      </c>
      <c r="F690" s="2" t="s">
        <v>17</v>
      </c>
      <c r="G690" s="2" t="s">
        <v>50</v>
      </c>
      <c r="H690" s="2" t="s">
        <v>333</v>
      </c>
      <c r="I690" s="2" t="s">
        <v>3390</v>
      </c>
      <c r="J690" s="3">
        <v>22.2</v>
      </c>
      <c r="K690" s="3">
        <v>21.09</v>
      </c>
      <c r="L690" s="2" t="s">
        <v>8</v>
      </c>
      <c r="M690" s="2" t="s">
        <v>9</v>
      </c>
      <c r="N690" s="3">
        <v>276</v>
      </c>
      <c r="O690" s="2" t="s">
        <v>104</v>
      </c>
      <c r="P690" s="2" t="s">
        <v>11</v>
      </c>
      <c r="Q690" s="3"/>
      <c r="R690" s="3"/>
      <c r="S690" s="2" t="s">
        <v>21</v>
      </c>
      <c r="T690" s="4">
        <v>44955</v>
      </c>
      <c r="U690" s="2" t="s">
        <v>543</v>
      </c>
      <c r="V690" s="6">
        <f>(Real_Sales[[#This Row],[Price_retail]]-Real_Sales[[#This Row],[Price_current]])/Real_Sales[[#This Row],[Price_retail]]</f>
        <v>4.9999999999999975E-2</v>
      </c>
      <c r="W690" s="3" t="str" cm="1">
        <f t="array" ref="W690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90" s="2" t="str">
        <f>IF(Real_Sales[[#This Row],[Price_retail]]&gt;$AC$3,"Premium","Average")</f>
        <v>Premium</v>
      </c>
      <c r="Y690" s="2" t="str">
        <f>IF(ISNUMBER(SEARCH("Basic",Real_Sales[[#This Row],[Product_name]])),"Yes","No")</f>
        <v>No</v>
      </c>
      <c r="Z690" s="2" cm="1">
        <f t="array" ref="Z690">_xlfn.IFS(Real_Sales[[#This Row],[Price_retail]]&lt;=15,1, Real_Sales[[#This Row],[Price_retail]]&lt;=30,2, Real_Sales[[#This Row],[Price_retail]]&lt;=50,3,Real_Sales[[#This Row],[Price_retail]]&gt;50,4)</f>
        <v>2</v>
      </c>
    </row>
    <row r="691" spans="1:26" x14ac:dyDescent="0.35">
      <c r="A691" s="2" t="s">
        <v>739</v>
      </c>
      <c r="B691" s="2" t="s">
        <v>740</v>
      </c>
      <c r="C691" s="2" t="s">
        <v>741</v>
      </c>
      <c r="D691" s="2" t="s">
        <v>742</v>
      </c>
      <c r="E691" s="2" t="s">
        <v>4</v>
      </c>
      <c r="F691" s="2" t="s">
        <v>5</v>
      </c>
      <c r="G691" s="2" t="s">
        <v>121</v>
      </c>
      <c r="H691" s="2" t="s">
        <v>168</v>
      </c>
      <c r="I691" s="2" t="s">
        <v>3393</v>
      </c>
      <c r="J691" s="3">
        <v>22.22</v>
      </c>
      <c r="K691" s="3">
        <v>22.22</v>
      </c>
      <c r="L691" s="2" t="s">
        <v>3391</v>
      </c>
      <c r="M691" s="2" t="s">
        <v>9</v>
      </c>
      <c r="N691" s="3">
        <v>644</v>
      </c>
      <c r="O691" s="2" t="s">
        <v>60</v>
      </c>
      <c r="P691" s="2" t="s">
        <v>221</v>
      </c>
      <c r="Q691" s="3"/>
      <c r="R691" s="3"/>
      <c r="S691" s="2" t="s">
        <v>21</v>
      </c>
      <c r="T691" s="4">
        <v>44955</v>
      </c>
      <c r="U691" s="2" t="s">
        <v>743</v>
      </c>
      <c r="V691" s="6">
        <f>(Real_Sales[[#This Row],[Price_retail]]-Real_Sales[[#This Row],[Price_current]])/Real_Sales[[#This Row],[Price_retail]]</f>
        <v>0</v>
      </c>
      <c r="W691" s="3" t="str" cm="1">
        <f t="array" ref="W69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91" s="2" t="str">
        <f>IF(Real_Sales[[#This Row],[Price_retail]]&gt;$AC$3,"Premium","Average")</f>
        <v>Premium</v>
      </c>
      <c r="Y691" s="2" t="str">
        <f>IF(ISNUMBER(SEARCH("Basic",Real_Sales[[#This Row],[Product_name]])),"Yes","No")</f>
        <v>Yes</v>
      </c>
      <c r="Z691" s="2" cm="1">
        <f t="array" ref="Z691">_xlfn.IFS(Real_Sales[[#This Row],[Price_retail]]&lt;=15,1, Real_Sales[[#This Row],[Price_retail]]&lt;=30,2, Real_Sales[[#This Row],[Price_retail]]&lt;=50,3,Real_Sales[[#This Row],[Price_retail]]&gt;50,4)</f>
        <v>2</v>
      </c>
    </row>
    <row r="692" spans="1:26" x14ac:dyDescent="0.35">
      <c r="A692" s="2" t="s">
        <v>792</v>
      </c>
      <c r="B692" s="2" t="s">
        <v>793</v>
      </c>
      <c r="C692" s="2" t="s">
        <v>41</v>
      </c>
      <c r="D692" s="2" t="s">
        <v>621</v>
      </c>
      <c r="E692" s="2" t="s">
        <v>4</v>
      </c>
      <c r="F692" s="2" t="s">
        <v>17</v>
      </c>
      <c r="G692" s="2" t="s">
        <v>50</v>
      </c>
      <c r="H692" s="2" t="s">
        <v>68</v>
      </c>
      <c r="I692" s="2" t="s">
        <v>3395</v>
      </c>
      <c r="J692" s="3">
        <v>22.23</v>
      </c>
      <c r="K692" s="3">
        <v>22.23</v>
      </c>
      <c r="L692" s="2" t="s">
        <v>3391</v>
      </c>
      <c r="M692" s="2" t="s">
        <v>9</v>
      </c>
      <c r="N692" s="3">
        <v>268</v>
      </c>
      <c r="O692" s="2" t="s">
        <v>60</v>
      </c>
      <c r="P692" s="2" t="s">
        <v>84</v>
      </c>
      <c r="Q692" s="3"/>
      <c r="R692" s="3"/>
      <c r="S692" s="2" t="s">
        <v>21</v>
      </c>
      <c r="T692" s="4">
        <v>44955</v>
      </c>
      <c r="U692" s="2" t="s">
        <v>794</v>
      </c>
      <c r="V692" s="6">
        <f>(Real_Sales[[#This Row],[Price_retail]]-Real_Sales[[#This Row],[Price_current]])/Real_Sales[[#This Row],[Price_retail]]</f>
        <v>0</v>
      </c>
      <c r="W692" s="3" t="str" cm="1">
        <f t="array" ref="W6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92" s="2" t="str">
        <f>IF(Real_Sales[[#This Row],[Price_retail]]&gt;$AC$3,"Premium","Average")</f>
        <v>Premium</v>
      </c>
      <c r="Y692" s="2" t="str">
        <f>IF(ISNUMBER(SEARCH("Basic",Real_Sales[[#This Row],[Product_name]])),"Yes","No")</f>
        <v>No</v>
      </c>
      <c r="Z692" s="2" cm="1">
        <f t="array" ref="Z692">_xlfn.IFS(Real_Sales[[#This Row],[Price_retail]]&lt;=15,1, Real_Sales[[#This Row],[Price_retail]]&lt;=30,2, Real_Sales[[#This Row],[Price_retail]]&lt;=50,3,Real_Sales[[#This Row],[Price_retail]]&gt;50,4)</f>
        <v>2</v>
      </c>
    </row>
    <row r="693" spans="1:26" x14ac:dyDescent="0.35">
      <c r="A693" s="2" t="s">
        <v>941</v>
      </c>
      <c r="B693" s="2" t="s">
        <v>942</v>
      </c>
      <c r="C693" s="2" t="s">
        <v>367</v>
      </c>
      <c r="D693" s="2" t="s">
        <v>229</v>
      </c>
      <c r="E693" s="2" t="s">
        <v>4</v>
      </c>
      <c r="F693" s="2" t="s">
        <v>5</v>
      </c>
      <c r="G693" s="2" t="s">
        <v>121</v>
      </c>
      <c r="H693" s="2" t="s">
        <v>168</v>
      </c>
      <c r="I693" s="2" t="s">
        <v>3393</v>
      </c>
      <c r="J693" s="3">
        <v>22.24</v>
      </c>
      <c r="K693" s="3">
        <v>17.95</v>
      </c>
      <c r="L693" s="2" t="s">
        <v>8</v>
      </c>
      <c r="M693" s="2" t="s">
        <v>9</v>
      </c>
      <c r="N693" s="3">
        <v>976</v>
      </c>
      <c r="O693" s="2" t="s">
        <v>140</v>
      </c>
      <c r="P693" s="2" t="s">
        <v>92</v>
      </c>
      <c r="Q693" s="3"/>
      <c r="R693" s="3"/>
      <c r="S693" s="2" t="s">
        <v>21</v>
      </c>
      <c r="T693" s="4">
        <v>44955</v>
      </c>
      <c r="U693" s="2" t="s">
        <v>943</v>
      </c>
      <c r="V693" s="6">
        <f>(Real_Sales[[#This Row],[Price_retail]]-Real_Sales[[#This Row],[Price_current]])/Real_Sales[[#This Row],[Price_retail]]</f>
        <v>0.19289568345323738</v>
      </c>
      <c r="W693" s="3" t="str" cm="1">
        <f t="array" ref="W693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693" s="2" t="str">
        <f>IF(Real_Sales[[#This Row],[Price_retail]]&gt;$AC$3,"Premium","Average")</f>
        <v>Premium</v>
      </c>
      <c r="Y693" s="2" t="str">
        <f>IF(ISNUMBER(SEARCH("Basic",Real_Sales[[#This Row],[Product_name]])),"Yes","No")</f>
        <v>No</v>
      </c>
      <c r="Z693" s="2" cm="1">
        <f t="array" ref="Z693">_xlfn.IFS(Real_Sales[[#This Row],[Price_retail]]&lt;=15,1, Real_Sales[[#This Row],[Price_retail]]&lt;=30,2, Real_Sales[[#This Row],[Price_retail]]&lt;=50,3,Real_Sales[[#This Row],[Price_retail]]&gt;50,4)</f>
        <v>2</v>
      </c>
    </row>
    <row r="694" spans="1:26" x14ac:dyDescent="0.35">
      <c r="A694" s="2" t="s">
        <v>2683</v>
      </c>
      <c r="B694" s="2" t="s">
        <v>2684</v>
      </c>
      <c r="C694" s="2" t="s">
        <v>750</v>
      </c>
      <c r="D694" s="2" t="s">
        <v>1147</v>
      </c>
      <c r="E694" s="2" t="s">
        <v>4</v>
      </c>
      <c r="F694" s="2" t="s">
        <v>5</v>
      </c>
      <c r="G694" s="2" t="s">
        <v>121</v>
      </c>
      <c r="H694" s="2" t="s">
        <v>51</v>
      </c>
      <c r="I694" s="2" t="s">
        <v>3393</v>
      </c>
      <c r="J694" s="3">
        <v>22.27</v>
      </c>
      <c r="K694" s="3">
        <v>22.27</v>
      </c>
      <c r="L694" s="2" t="s">
        <v>3391</v>
      </c>
      <c r="M694" s="2" t="s">
        <v>9</v>
      </c>
      <c r="N694" s="3">
        <v>423</v>
      </c>
      <c r="O694" s="2" t="s">
        <v>104</v>
      </c>
      <c r="P694" s="2" t="s">
        <v>44</v>
      </c>
      <c r="Q694" s="3"/>
      <c r="R694" s="3"/>
      <c r="S694" s="2" t="s">
        <v>21</v>
      </c>
      <c r="T694" s="4">
        <v>44955</v>
      </c>
      <c r="U694" s="2" t="s">
        <v>2685</v>
      </c>
      <c r="V694" s="6">
        <f>(Real_Sales[[#This Row],[Price_retail]]-Real_Sales[[#This Row],[Price_current]])/Real_Sales[[#This Row],[Price_retail]]</f>
        <v>0</v>
      </c>
      <c r="W694" s="3" t="str" cm="1">
        <f t="array" ref="W6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94" s="2" t="str">
        <f>IF(Real_Sales[[#This Row],[Price_retail]]&gt;$AC$3,"Premium","Average")</f>
        <v>Premium</v>
      </c>
      <c r="Y694" s="2" t="str">
        <f>IF(ISNUMBER(SEARCH("Basic",Real_Sales[[#This Row],[Product_name]])),"Yes","No")</f>
        <v>Yes</v>
      </c>
      <c r="Z694" s="2" cm="1">
        <f t="array" ref="Z694">_xlfn.IFS(Real_Sales[[#This Row],[Price_retail]]&lt;=15,1, Real_Sales[[#This Row],[Price_retail]]&lt;=30,2, Real_Sales[[#This Row],[Price_retail]]&lt;=50,3,Real_Sales[[#This Row],[Price_retail]]&gt;50,4)</f>
        <v>2</v>
      </c>
    </row>
    <row r="695" spans="1:26" x14ac:dyDescent="0.35">
      <c r="A695" s="2" t="s">
        <v>2199</v>
      </c>
      <c r="B695" s="2" t="s">
        <v>2200</v>
      </c>
      <c r="C695" s="2" t="s">
        <v>3398</v>
      </c>
      <c r="D695" s="2" t="s">
        <v>205</v>
      </c>
      <c r="E695" s="2" t="s">
        <v>4</v>
      </c>
      <c r="F695" s="2" t="s">
        <v>17</v>
      </c>
      <c r="G695" s="2" t="s">
        <v>67</v>
      </c>
      <c r="H695" s="2" t="s">
        <v>145</v>
      </c>
      <c r="I695" s="2" t="s">
        <v>3390</v>
      </c>
      <c r="J695" s="3">
        <v>22.31</v>
      </c>
      <c r="K695" s="3">
        <v>22.31</v>
      </c>
      <c r="L695" s="2" t="s">
        <v>3391</v>
      </c>
      <c r="M695" s="2" t="s">
        <v>9</v>
      </c>
      <c r="N695" s="3">
        <v>875</v>
      </c>
      <c r="O695" s="2" t="s">
        <v>98</v>
      </c>
      <c r="P695" s="2" t="s">
        <v>84</v>
      </c>
      <c r="Q695" s="3"/>
      <c r="R695" s="3"/>
      <c r="S695" s="2" t="s">
        <v>21</v>
      </c>
      <c r="T695" s="4">
        <v>44955</v>
      </c>
      <c r="U695" s="2" t="s">
        <v>2201</v>
      </c>
      <c r="V695" s="6">
        <f>(Real_Sales[[#This Row],[Price_retail]]-Real_Sales[[#This Row],[Price_current]])/Real_Sales[[#This Row],[Price_retail]]</f>
        <v>0</v>
      </c>
      <c r="W695" s="3" t="str" cm="1">
        <f t="array" ref="W69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95" s="2" t="str">
        <f>IF(Real_Sales[[#This Row],[Price_retail]]&gt;$AC$3,"Premium","Average")</f>
        <v>Premium</v>
      </c>
      <c r="Y695" s="2" t="str">
        <f>IF(ISNUMBER(SEARCH("Basic",Real_Sales[[#This Row],[Product_name]])),"Yes","No")</f>
        <v>No</v>
      </c>
      <c r="Z695" s="2" cm="1">
        <f t="array" ref="Z695">_xlfn.IFS(Real_Sales[[#This Row],[Price_retail]]&lt;=15,1, Real_Sales[[#This Row],[Price_retail]]&lt;=30,2, Real_Sales[[#This Row],[Price_retail]]&lt;=50,3,Real_Sales[[#This Row],[Price_retail]]&gt;50,4)</f>
        <v>2</v>
      </c>
    </row>
    <row r="696" spans="1:26" x14ac:dyDescent="0.35">
      <c r="A696" s="2" t="s">
        <v>3020</v>
      </c>
      <c r="B696" s="2" t="s">
        <v>3021</v>
      </c>
      <c r="C696" s="2" t="s">
        <v>65</v>
      </c>
      <c r="D696" s="2" t="s">
        <v>1247</v>
      </c>
      <c r="E696" s="2" t="s">
        <v>4</v>
      </c>
      <c r="F696" s="2" t="s">
        <v>5</v>
      </c>
      <c r="G696" s="2" t="s">
        <v>121</v>
      </c>
      <c r="H696" s="2" t="s">
        <v>237</v>
      </c>
      <c r="I696" s="2" t="s">
        <v>3393</v>
      </c>
      <c r="J696" s="3">
        <v>22.37</v>
      </c>
      <c r="K696" s="3">
        <v>14.03</v>
      </c>
      <c r="L696" s="2" t="s">
        <v>8</v>
      </c>
      <c r="M696" s="2" t="s">
        <v>9</v>
      </c>
      <c r="N696" s="3">
        <v>615</v>
      </c>
      <c r="O696" s="2" t="s">
        <v>20</v>
      </c>
      <c r="P696" s="2" t="s">
        <v>53</v>
      </c>
      <c r="Q696" s="3"/>
      <c r="R696" s="3"/>
      <c r="S696" s="2" t="s">
        <v>21</v>
      </c>
      <c r="T696" s="4">
        <v>44955</v>
      </c>
      <c r="U696" s="2" t="s">
        <v>3022</v>
      </c>
      <c r="V696" s="6">
        <f>(Real_Sales[[#This Row],[Price_retail]]-Real_Sales[[#This Row],[Price_current]])/Real_Sales[[#This Row],[Price_retail]]</f>
        <v>0.37282074206526605</v>
      </c>
      <c r="W696" s="3" t="str" cm="1">
        <f t="array" ref="W69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96" s="2" t="str">
        <f>IF(Real_Sales[[#This Row],[Price_retail]]&gt;$AC$3,"Premium","Average")</f>
        <v>Premium</v>
      </c>
      <c r="Y696" s="2" t="str">
        <f>IF(ISNUMBER(SEARCH("Basic",Real_Sales[[#This Row],[Product_name]])),"Yes","No")</f>
        <v>No</v>
      </c>
      <c r="Z696" s="2" cm="1">
        <f t="array" ref="Z696">_xlfn.IFS(Real_Sales[[#This Row],[Price_retail]]&lt;=15,1, Real_Sales[[#This Row],[Price_retail]]&lt;=30,2, Real_Sales[[#This Row],[Price_retail]]&lt;=50,3,Real_Sales[[#This Row],[Price_retail]]&gt;50,4)</f>
        <v>2</v>
      </c>
    </row>
    <row r="697" spans="1:26" x14ac:dyDescent="0.35">
      <c r="A697" s="2" t="s">
        <v>2162</v>
      </c>
      <c r="B697" s="2" t="s">
        <v>2163</v>
      </c>
      <c r="C697" s="2" t="s">
        <v>616</v>
      </c>
      <c r="D697" s="2" t="s">
        <v>1780</v>
      </c>
      <c r="E697" s="2" t="s">
        <v>4</v>
      </c>
      <c r="F697" s="2" t="s">
        <v>17</v>
      </c>
      <c r="G697" s="2" t="s">
        <v>67</v>
      </c>
      <c r="H697" s="2" t="s">
        <v>7</v>
      </c>
      <c r="I697" s="2" t="s">
        <v>3393</v>
      </c>
      <c r="J697" s="3">
        <v>22.46</v>
      </c>
      <c r="K697" s="3">
        <v>15.97</v>
      </c>
      <c r="L697" s="2" t="s">
        <v>8</v>
      </c>
      <c r="M697" s="2" t="s">
        <v>9</v>
      </c>
      <c r="N697" s="3">
        <v>679</v>
      </c>
      <c r="O697" s="2" t="s">
        <v>43</v>
      </c>
      <c r="P697" s="2" t="s">
        <v>92</v>
      </c>
      <c r="Q697" s="3"/>
      <c r="R697" s="3"/>
      <c r="S697" s="2" t="s">
        <v>21</v>
      </c>
      <c r="T697" s="4">
        <v>44955</v>
      </c>
      <c r="U697" s="2" t="s">
        <v>2164</v>
      </c>
      <c r="V697" s="6">
        <f>(Real_Sales[[#This Row],[Price_retail]]-Real_Sales[[#This Row],[Price_current]])/Real_Sales[[#This Row],[Price_retail]]</f>
        <v>0.28895814781834372</v>
      </c>
      <c r="W697" s="3" t="str" cm="1">
        <f t="array" ref="W69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697" s="2" t="str">
        <f>IF(Real_Sales[[#This Row],[Price_retail]]&gt;$AC$3,"Premium","Average")</f>
        <v>Premium</v>
      </c>
      <c r="Y697" s="2" t="str">
        <f>IF(ISNUMBER(SEARCH("Basic",Real_Sales[[#This Row],[Product_name]])),"Yes","No")</f>
        <v>Yes</v>
      </c>
      <c r="Z697" s="2" cm="1">
        <f t="array" ref="Z697">_xlfn.IFS(Real_Sales[[#This Row],[Price_retail]]&lt;=15,1, Real_Sales[[#This Row],[Price_retail]]&lt;=30,2, Real_Sales[[#This Row],[Price_retail]]&lt;=50,3,Real_Sales[[#This Row],[Price_retail]]&gt;50,4)</f>
        <v>2</v>
      </c>
    </row>
    <row r="698" spans="1:26" x14ac:dyDescent="0.35">
      <c r="A698" s="2" t="s">
        <v>294</v>
      </c>
      <c r="B698" s="2" t="s">
        <v>295</v>
      </c>
      <c r="C698" s="2" t="s">
        <v>3401</v>
      </c>
      <c r="D698" s="2" t="s">
        <v>296</v>
      </c>
      <c r="E698" s="2" t="s">
        <v>4</v>
      </c>
      <c r="F698" s="2" t="s">
        <v>5</v>
      </c>
      <c r="G698" s="2" t="s">
        <v>121</v>
      </c>
      <c r="H698" s="2" t="s">
        <v>145</v>
      </c>
      <c r="I698" s="2" t="s">
        <v>3390</v>
      </c>
      <c r="J698" s="3">
        <v>22.53</v>
      </c>
      <c r="K698" s="3">
        <v>22.53</v>
      </c>
      <c r="L698" s="2" t="s">
        <v>3391</v>
      </c>
      <c r="M698" s="2" t="s">
        <v>9</v>
      </c>
      <c r="N698" s="3">
        <v>158</v>
      </c>
      <c r="O698" s="2" t="s">
        <v>43</v>
      </c>
      <c r="P698" s="2" t="s">
        <v>192</v>
      </c>
      <c r="Q698" s="3"/>
      <c r="R698" s="3"/>
      <c r="S698" s="2" t="s">
        <v>21</v>
      </c>
      <c r="T698" s="4">
        <v>44955</v>
      </c>
      <c r="U698" s="2" t="s">
        <v>297</v>
      </c>
      <c r="V698" s="6">
        <f>(Real_Sales[[#This Row],[Price_retail]]-Real_Sales[[#This Row],[Price_current]])/Real_Sales[[#This Row],[Price_retail]]</f>
        <v>0</v>
      </c>
      <c r="W698" s="3" t="str" cm="1">
        <f t="array" ref="W69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98" s="2" t="str">
        <f>IF(Real_Sales[[#This Row],[Price_retail]]&gt;$AC$3,"Premium","Average")</f>
        <v>Premium</v>
      </c>
      <c r="Y698" s="2" t="str">
        <f>IF(ISNUMBER(SEARCH("Basic",Real_Sales[[#This Row],[Product_name]])),"Yes","No")</f>
        <v>Yes</v>
      </c>
      <c r="Z698" s="2" cm="1">
        <f t="array" ref="Z698">_xlfn.IFS(Real_Sales[[#This Row],[Price_retail]]&lt;=15,1, Real_Sales[[#This Row],[Price_retail]]&lt;=30,2, Real_Sales[[#This Row],[Price_retail]]&lt;=50,3,Real_Sales[[#This Row],[Price_retail]]&gt;50,4)</f>
        <v>2</v>
      </c>
    </row>
    <row r="699" spans="1:26" x14ac:dyDescent="0.35">
      <c r="A699" s="2" t="s">
        <v>2704</v>
      </c>
      <c r="B699" s="2" t="s">
        <v>2705</v>
      </c>
      <c r="C699" s="2" t="s">
        <v>423</v>
      </c>
      <c r="D699" s="2" t="s">
        <v>372</v>
      </c>
      <c r="E699" s="2" t="s">
        <v>4</v>
      </c>
      <c r="F699" s="2" t="s">
        <v>5</v>
      </c>
      <c r="G699" s="2" t="s">
        <v>82</v>
      </c>
      <c r="H699" s="2" t="s">
        <v>134</v>
      </c>
      <c r="I699" s="2" t="s">
        <v>3390</v>
      </c>
      <c r="J699" s="3">
        <v>22.63</v>
      </c>
      <c r="K699" s="3">
        <v>22.63</v>
      </c>
      <c r="L699" s="2" t="s">
        <v>3391</v>
      </c>
      <c r="M699" s="2" t="s">
        <v>9</v>
      </c>
      <c r="N699" s="3">
        <v>563</v>
      </c>
      <c r="O699" s="2" t="s">
        <v>287</v>
      </c>
      <c r="P699" s="2" t="s">
        <v>30</v>
      </c>
      <c r="Q699" s="3"/>
      <c r="R699" s="3"/>
      <c r="S699" s="2" t="s">
        <v>21</v>
      </c>
      <c r="T699" s="4">
        <v>44955</v>
      </c>
      <c r="U699" s="2" t="s">
        <v>2706</v>
      </c>
      <c r="V699" s="6">
        <f>(Real_Sales[[#This Row],[Price_retail]]-Real_Sales[[#This Row],[Price_current]])/Real_Sales[[#This Row],[Price_retail]]</f>
        <v>0</v>
      </c>
      <c r="W699" s="3" t="str" cm="1">
        <f t="array" ref="W6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699" s="2" t="str">
        <f>IF(Real_Sales[[#This Row],[Price_retail]]&gt;$AC$3,"Premium","Average")</f>
        <v>Premium</v>
      </c>
      <c r="Y699" s="2" t="str">
        <f>IF(ISNUMBER(SEARCH("Basic",Real_Sales[[#This Row],[Product_name]])),"Yes","No")</f>
        <v>No</v>
      </c>
      <c r="Z699" s="2" cm="1">
        <f t="array" ref="Z699">_xlfn.IFS(Real_Sales[[#This Row],[Price_retail]]&lt;=15,1, Real_Sales[[#This Row],[Price_retail]]&lt;=30,2, Real_Sales[[#This Row],[Price_retail]]&lt;=50,3,Real_Sales[[#This Row],[Price_retail]]&gt;50,4)</f>
        <v>2</v>
      </c>
    </row>
    <row r="700" spans="1:26" x14ac:dyDescent="0.35">
      <c r="A700" s="2" t="s">
        <v>2252</v>
      </c>
      <c r="B700" s="2" t="s">
        <v>2253</v>
      </c>
      <c r="C700" s="2" t="s">
        <v>65</v>
      </c>
      <c r="D700" s="2" t="s">
        <v>1598</v>
      </c>
      <c r="E700" s="2" t="s">
        <v>4</v>
      </c>
      <c r="F700" s="2" t="s">
        <v>5</v>
      </c>
      <c r="G700" s="2" t="s">
        <v>121</v>
      </c>
      <c r="H700" s="2" t="s">
        <v>418</v>
      </c>
      <c r="I700" s="2" t="s">
        <v>3393</v>
      </c>
      <c r="J700" s="3">
        <v>22.66</v>
      </c>
      <c r="K700" s="3">
        <v>12.96</v>
      </c>
      <c r="L700" s="2" t="s">
        <v>8</v>
      </c>
      <c r="M700" s="2" t="s">
        <v>9</v>
      </c>
      <c r="N700" s="3">
        <v>977</v>
      </c>
      <c r="O700" s="2" t="s">
        <v>75</v>
      </c>
      <c r="P700" s="2" t="s">
        <v>53</v>
      </c>
      <c r="Q700" s="3"/>
      <c r="R700" s="3"/>
      <c r="S700" s="2" t="s">
        <v>21</v>
      </c>
      <c r="T700" s="4">
        <v>44955</v>
      </c>
      <c r="U700" s="2" t="s">
        <v>2254</v>
      </c>
      <c r="V700" s="6">
        <f>(Real_Sales[[#This Row],[Price_retail]]-Real_Sales[[#This Row],[Price_current]])/Real_Sales[[#This Row],[Price_retail]]</f>
        <v>0.42806707855251541</v>
      </c>
      <c r="W700" s="3" t="str" cm="1">
        <f t="array" ref="W70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00" s="2" t="str">
        <f>IF(Real_Sales[[#This Row],[Price_retail]]&gt;$AC$3,"Premium","Average")</f>
        <v>Premium</v>
      </c>
      <c r="Y700" s="2" t="str">
        <f>IF(ISNUMBER(SEARCH("Basic",Real_Sales[[#This Row],[Product_name]])),"Yes","No")</f>
        <v>No</v>
      </c>
      <c r="Z700" s="2" cm="1">
        <f t="array" ref="Z700">_xlfn.IFS(Real_Sales[[#This Row],[Price_retail]]&lt;=15,1, Real_Sales[[#This Row],[Price_retail]]&lt;=30,2, Real_Sales[[#This Row],[Price_retail]]&lt;=50,3,Real_Sales[[#This Row],[Price_retail]]&gt;50,4)</f>
        <v>2</v>
      </c>
    </row>
    <row r="701" spans="1:26" x14ac:dyDescent="0.35">
      <c r="A701" s="2" t="s">
        <v>845</v>
      </c>
      <c r="B701" s="2" t="s">
        <v>846</v>
      </c>
      <c r="C701" s="2" t="s">
        <v>3394</v>
      </c>
      <c r="D701" s="2" t="s">
        <v>847</v>
      </c>
      <c r="E701" s="2" t="s">
        <v>4</v>
      </c>
      <c r="F701" s="2" t="s">
        <v>5</v>
      </c>
      <c r="G701" s="2" t="s">
        <v>6</v>
      </c>
      <c r="H701" s="2" t="s">
        <v>237</v>
      </c>
      <c r="I701" s="2" t="s">
        <v>3393</v>
      </c>
      <c r="J701" s="3">
        <v>22.7</v>
      </c>
      <c r="K701" s="3">
        <v>22.7</v>
      </c>
      <c r="L701" s="2" t="s">
        <v>248</v>
      </c>
      <c r="M701" s="2" t="s">
        <v>9</v>
      </c>
      <c r="N701" s="3">
        <v>236</v>
      </c>
      <c r="O701" s="2" t="s">
        <v>3392</v>
      </c>
      <c r="P701" s="2" t="s">
        <v>419</v>
      </c>
      <c r="Q701" s="3"/>
      <c r="R701" s="3"/>
      <c r="S701" s="2" t="s">
        <v>21</v>
      </c>
      <c r="T701" s="4">
        <v>44955</v>
      </c>
      <c r="U701" s="2" t="s">
        <v>848</v>
      </c>
      <c r="V701" s="6">
        <f>(Real_Sales[[#This Row],[Price_retail]]-Real_Sales[[#This Row],[Price_current]])/Real_Sales[[#This Row],[Price_retail]]</f>
        <v>0</v>
      </c>
      <c r="W701" s="3" t="str" cm="1">
        <f t="array" ref="W7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1" s="2" t="str">
        <f>IF(Real_Sales[[#This Row],[Price_retail]]&gt;$AC$3,"Premium","Average")</f>
        <v>Premium</v>
      </c>
      <c r="Y701" s="2" t="str">
        <f>IF(ISNUMBER(SEARCH("Basic",Real_Sales[[#This Row],[Product_name]])),"Yes","No")</f>
        <v>No</v>
      </c>
      <c r="Z701" s="2" cm="1">
        <f t="array" ref="Z701">_xlfn.IFS(Real_Sales[[#This Row],[Price_retail]]&lt;=15,1, Real_Sales[[#This Row],[Price_retail]]&lt;=30,2, Real_Sales[[#This Row],[Price_retail]]&lt;=50,3,Real_Sales[[#This Row],[Price_retail]]&gt;50,4)</f>
        <v>2</v>
      </c>
    </row>
    <row r="702" spans="1:26" x14ac:dyDescent="0.35">
      <c r="A702" s="2" t="s">
        <v>655</v>
      </c>
      <c r="B702" s="2" t="s">
        <v>656</v>
      </c>
      <c r="C702" s="2" t="s">
        <v>561</v>
      </c>
      <c r="D702" s="2" t="s">
        <v>372</v>
      </c>
      <c r="E702" s="2" t="s">
        <v>4</v>
      </c>
      <c r="F702" s="2" t="s">
        <v>5</v>
      </c>
      <c r="G702" s="2" t="s">
        <v>82</v>
      </c>
      <c r="H702" s="2" t="s">
        <v>134</v>
      </c>
      <c r="I702" s="2" t="s">
        <v>3393</v>
      </c>
      <c r="J702" s="3">
        <v>22.78</v>
      </c>
      <c r="K702" s="3">
        <v>22.78</v>
      </c>
      <c r="L702" s="2" t="s">
        <v>3391</v>
      </c>
      <c r="M702" s="2" t="s">
        <v>9</v>
      </c>
      <c r="N702" s="3">
        <v>711</v>
      </c>
      <c r="O702" s="2" t="s">
        <v>91</v>
      </c>
      <c r="P702" s="2" t="s">
        <v>238</v>
      </c>
      <c r="Q702" s="3"/>
      <c r="R702" s="3"/>
      <c r="S702" s="2" t="s">
        <v>21</v>
      </c>
      <c r="T702" s="4">
        <v>44955</v>
      </c>
      <c r="U702" s="2" t="s">
        <v>657</v>
      </c>
      <c r="V702" s="6">
        <f>(Real_Sales[[#This Row],[Price_retail]]-Real_Sales[[#This Row],[Price_current]])/Real_Sales[[#This Row],[Price_retail]]</f>
        <v>0</v>
      </c>
      <c r="W702" s="3" t="str" cm="1">
        <f t="array" ref="W7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2" s="2" t="str">
        <f>IF(Real_Sales[[#This Row],[Price_retail]]&gt;$AC$3,"Premium","Average")</f>
        <v>Premium</v>
      </c>
      <c r="Y702" s="2" t="str">
        <f>IF(ISNUMBER(SEARCH("Basic",Real_Sales[[#This Row],[Product_name]])),"Yes","No")</f>
        <v>No</v>
      </c>
      <c r="Z702" s="2" cm="1">
        <f t="array" ref="Z702">_xlfn.IFS(Real_Sales[[#This Row],[Price_retail]]&lt;=15,1, Real_Sales[[#This Row],[Price_retail]]&lt;=30,2, Real_Sales[[#This Row],[Price_retail]]&lt;=50,3,Real_Sales[[#This Row],[Price_retail]]&gt;50,4)</f>
        <v>2</v>
      </c>
    </row>
    <row r="703" spans="1:26" x14ac:dyDescent="0.35">
      <c r="A703" s="2" t="s">
        <v>316</v>
      </c>
      <c r="B703" s="2" t="s">
        <v>317</v>
      </c>
      <c r="C703" s="2" t="s">
        <v>318</v>
      </c>
      <c r="D703" s="2" t="s">
        <v>319</v>
      </c>
      <c r="E703" s="2" t="s">
        <v>4</v>
      </c>
      <c r="F703" s="2" t="s">
        <v>5</v>
      </c>
      <c r="G703" s="2" t="s">
        <v>6</v>
      </c>
      <c r="H703" s="2" t="s">
        <v>90</v>
      </c>
      <c r="I703" s="2" t="s">
        <v>3390</v>
      </c>
      <c r="J703" s="3">
        <v>22.85</v>
      </c>
      <c r="K703" s="3">
        <v>22.85</v>
      </c>
      <c r="L703" s="2" t="s">
        <v>3391</v>
      </c>
      <c r="M703" s="2" t="s">
        <v>9</v>
      </c>
      <c r="N703" s="3">
        <v>300</v>
      </c>
      <c r="O703" s="2" t="s">
        <v>267</v>
      </c>
      <c r="P703" s="2" t="s">
        <v>3392</v>
      </c>
      <c r="Q703" s="3"/>
      <c r="R703" s="3"/>
      <c r="S703" s="2" t="s">
        <v>21</v>
      </c>
      <c r="T703" s="4">
        <v>44955</v>
      </c>
      <c r="U703" s="2" t="s">
        <v>320</v>
      </c>
      <c r="V703" s="6">
        <f>(Real_Sales[[#This Row],[Price_retail]]-Real_Sales[[#This Row],[Price_current]])/Real_Sales[[#This Row],[Price_retail]]</f>
        <v>0</v>
      </c>
      <c r="W703" s="3" t="str" cm="1">
        <f t="array" ref="W7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3" s="2" t="str">
        <f>IF(Real_Sales[[#This Row],[Price_retail]]&gt;$AC$3,"Premium","Average")</f>
        <v>Premium</v>
      </c>
      <c r="Y703" s="2" t="str">
        <f>IF(ISNUMBER(SEARCH("Basic",Real_Sales[[#This Row],[Product_name]])),"Yes","No")</f>
        <v>No</v>
      </c>
      <c r="Z703" s="2" cm="1">
        <f t="array" ref="Z703">_xlfn.IFS(Real_Sales[[#This Row],[Price_retail]]&lt;=15,1, Real_Sales[[#This Row],[Price_retail]]&lt;=30,2, Real_Sales[[#This Row],[Price_retail]]&lt;=50,3,Real_Sales[[#This Row],[Price_retail]]&gt;50,4)</f>
        <v>2</v>
      </c>
    </row>
    <row r="704" spans="1:26" x14ac:dyDescent="0.35">
      <c r="A704" s="2" t="s">
        <v>948</v>
      </c>
      <c r="B704" s="2" t="s">
        <v>949</v>
      </c>
      <c r="C704" s="2" t="s">
        <v>721</v>
      </c>
      <c r="D704" s="2" t="s">
        <v>144</v>
      </c>
      <c r="E704" s="2" t="s">
        <v>4</v>
      </c>
      <c r="F704" s="2" t="s">
        <v>17</v>
      </c>
      <c r="G704" s="2" t="s">
        <v>67</v>
      </c>
      <c r="H704" s="2" t="s">
        <v>145</v>
      </c>
      <c r="I704" s="2" t="s">
        <v>3390</v>
      </c>
      <c r="J704" s="3">
        <v>22.86</v>
      </c>
      <c r="K704" s="3">
        <v>22.86</v>
      </c>
      <c r="L704" s="2" t="s">
        <v>3391</v>
      </c>
      <c r="M704" s="2" t="s">
        <v>9</v>
      </c>
      <c r="N704" s="3">
        <v>222</v>
      </c>
      <c r="O704" s="2" t="s">
        <v>359</v>
      </c>
      <c r="P704" s="2" t="s">
        <v>44</v>
      </c>
      <c r="Q704" s="3"/>
      <c r="R704" s="3"/>
      <c r="S704" s="2" t="s">
        <v>12</v>
      </c>
      <c r="T704" s="4">
        <v>44955</v>
      </c>
      <c r="U704" s="2" t="s">
        <v>950</v>
      </c>
      <c r="V704" s="6">
        <f>(Real_Sales[[#This Row],[Price_retail]]-Real_Sales[[#This Row],[Price_current]])/Real_Sales[[#This Row],[Price_retail]]</f>
        <v>0</v>
      </c>
      <c r="W704" s="3" t="str" cm="1">
        <f t="array" ref="W70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4" s="2" t="str">
        <f>IF(Real_Sales[[#This Row],[Price_retail]]&gt;$AC$3,"Premium","Average")</f>
        <v>Premium</v>
      </c>
      <c r="Y704" s="2" t="str">
        <f>IF(ISNUMBER(SEARCH("Basic",Real_Sales[[#This Row],[Product_name]])),"Yes","No")</f>
        <v>No</v>
      </c>
      <c r="Z704" s="2" cm="1">
        <f t="array" ref="Z704">_xlfn.IFS(Real_Sales[[#This Row],[Price_retail]]&lt;=15,1, Real_Sales[[#This Row],[Price_retail]]&lt;=30,2, Real_Sales[[#This Row],[Price_retail]]&lt;=50,3,Real_Sales[[#This Row],[Price_retail]]&gt;50,4)</f>
        <v>2</v>
      </c>
    </row>
    <row r="705" spans="1:26" x14ac:dyDescent="0.35">
      <c r="A705" s="2" t="s">
        <v>1814</v>
      </c>
      <c r="B705" s="2" t="s">
        <v>1815</v>
      </c>
      <c r="C705" s="2" t="s">
        <v>318</v>
      </c>
      <c r="D705" s="2" t="s">
        <v>939</v>
      </c>
      <c r="E705" s="2" t="s">
        <v>4</v>
      </c>
      <c r="F705" s="2" t="s">
        <v>5</v>
      </c>
      <c r="G705" s="2" t="s">
        <v>82</v>
      </c>
      <c r="H705" s="2" t="s">
        <v>134</v>
      </c>
      <c r="I705" s="2" t="s">
        <v>3390</v>
      </c>
      <c r="J705" s="3">
        <v>22.9</v>
      </c>
      <c r="K705" s="3">
        <v>11.82</v>
      </c>
      <c r="L705" s="2" t="s">
        <v>8</v>
      </c>
      <c r="M705" s="2" t="s">
        <v>9</v>
      </c>
      <c r="N705" s="3">
        <v>422</v>
      </c>
      <c r="O705" s="2" t="s">
        <v>29</v>
      </c>
      <c r="P705" s="2" t="s">
        <v>53</v>
      </c>
      <c r="Q705" s="3"/>
      <c r="R705" s="3"/>
      <c r="S705" s="2" t="s">
        <v>12</v>
      </c>
      <c r="T705" s="4">
        <v>44955</v>
      </c>
      <c r="U705" s="2" t="s">
        <v>1816</v>
      </c>
      <c r="V705" s="6">
        <f>(Real_Sales[[#This Row],[Price_retail]]-Real_Sales[[#This Row],[Price_current]])/Real_Sales[[#This Row],[Price_retail]]</f>
        <v>0.48384279475982528</v>
      </c>
      <c r="W705" s="3" t="str" cm="1">
        <f t="array" ref="W70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05" s="2" t="str">
        <f>IF(Real_Sales[[#This Row],[Price_retail]]&gt;$AC$3,"Premium","Average")</f>
        <v>Premium</v>
      </c>
      <c r="Y705" s="2" t="str">
        <f>IF(ISNUMBER(SEARCH("Basic",Real_Sales[[#This Row],[Product_name]])),"Yes","No")</f>
        <v>No</v>
      </c>
      <c r="Z705" s="2" cm="1">
        <f t="array" ref="Z705">_xlfn.IFS(Real_Sales[[#This Row],[Price_retail]]&lt;=15,1, Real_Sales[[#This Row],[Price_retail]]&lt;=30,2, Real_Sales[[#This Row],[Price_retail]]&lt;=50,3,Real_Sales[[#This Row],[Price_retail]]&gt;50,4)</f>
        <v>2</v>
      </c>
    </row>
    <row r="706" spans="1:26" x14ac:dyDescent="0.35">
      <c r="A706" s="2" t="s">
        <v>2847</v>
      </c>
      <c r="B706" s="2" t="s">
        <v>2848</v>
      </c>
      <c r="C706" s="2" t="s">
        <v>65</v>
      </c>
      <c r="D706" s="2" t="s">
        <v>301</v>
      </c>
      <c r="E706" s="2" t="s">
        <v>4</v>
      </c>
      <c r="F706" s="2" t="s">
        <v>17</v>
      </c>
      <c r="G706" s="2" t="s">
        <v>50</v>
      </c>
      <c r="H706" s="2" t="s">
        <v>145</v>
      </c>
      <c r="I706" s="2" t="s">
        <v>3393</v>
      </c>
      <c r="J706" s="3">
        <v>22.91</v>
      </c>
      <c r="K706" s="3">
        <v>22.91</v>
      </c>
      <c r="L706" s="2" t="s">
        <v>3391</v>
      </c>
      <c r="M706" s="2" t="s">
        <v>9</v>
      </c>
      <c r="N706" s="3">
        <v>826</v>
      </c>
      <c r="O706" s="2" t="s">
        <v>60</v>
      </c>
      <c r="P706" s="2" t="s">
        <v>238</v>
      </c>
      <c r="Q706" s="3"/>
      <c r="R706" s="3"/>
      <c r="S706" s="2" t="s">
        <v>21</v>
      </c>
      <c r="T706" s="4">
        <v>44955</v>
      </c>
      <c r="U706" s="2" t="s">
        <v>2849</v>
      </c>
      <c r="V706" s="6">
        <f>(Real_Sales[[#This Row],[Price_retail]]-Real_Sales[[#This Row],[Price_current]])/Real_Sales[[#This Row],[Price_retail]]</f>
        <v>0</v>
      </c>
      <c r="W706" s="3" t="str" cm="1">
        <f t="array" ref="W70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6" s="2" t="str">
        <f>IF(Real_Sales[[#This Row],[Price_retail]]&gt;$AC$3,"Premium","Average")</f>
        <v>Premium</v>
      </c>
      <c r="Y706" s="2" t="str">
        <f>IF(ISNUMBER(SEARCH("Basic",Real_Sales[[#This Row],[Product_name]])),"Yes","No")</f>
        <v>No</v>
      </c>
      <c r="Z706" s="2" cm="1">
        <f t="array" ref="Z706">_xlfn.IFS(Real_Sales[[#This Row],[Price_retail]]&lt;=15,1, Real_Sales[[#This Row],[Price_retail]]&lt;=30,2, Real_Sales[[#This Row],[Price_retail]]&lt;=50,3,Real_Sales[[#This Row],[Price_retail]]&gt;50,4)</f>
        <v>2</v>
      </c>
    </row>
    <row r="707" spans="1:26" x14ac:dyDescent="0.35">
      <c r="A707" s="2" t="s">
        <v>1643</v>
      </c>
      <c r="B707" s="2" t="s">
        <v>1644</v>
      </c>
      <c r="C707" s="2" t="s">
        <v>1314</v>
      </c>
      <c r="D707" s="2" t="s">
        <v>127</v>
      </c>
      <c r="E707" s="2" t="s">
        <v>4</v>
      </c>
      <c r="F707" s="2" t="s">
        <v>5</v>
      </c>
      <c r="G707" s="2" t="s">
        <v>82</v>
      </c>
      <c r="H707" s="2" t="s">
        <v>110</v>
      </c>
      <c r="I707" s="2" t="s">
        <v>3390</v>
      </c>
      <c r="J707" s="3">
        <v>22.96</v>
      </c>
      <c r="K707" s="3">
        <v>22.96</v>
      </c>
      <c r="L707" s="2" t="s">
        <v>3391</v>
      </c>
      <c r="M707" s="2" t="s">
        <v>9</v>
      </c>
      <c r="N707" s="3">
        <v>522</v>
      </c>
      <c r="O707" s="2" t="s">
        <v>347</v>
      </c>
      <c r="P707" s="2" t="s">
        <v>238</v>
      </c>
      <c r="Q707" s="3"/>
      <c r="R707" s="3"/>
      <c r="S707" s="2" t="s">
        <v>12</v>
      </c>
      <c r="T707" s="4">
        <v>44955</v>
      </c>
      <c r="U707" s="2" t="s">
        <v>1645</v>
      </c>
      <c r="V707" s="6">
        <f>(Real_Sales[[#This Row],[Price_retail]]-Real_Sales[[#This Row],[Price_current]])/Real_Sales[[#This Row],[Price_retail]]</f>
        <v>0</v>
      </c>
      <c r="W707" s="3" t="str" cm="1">
        <f t="array" ref="W70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07" s="2" t="str">
        <f>IF(Real_Sales[[#This Row],[Price_retail]]&gt;$AC$3,"Premium","Average")</f>
        <v>Premium</v>
      </c>
      <c r="Y707" s="2" t="str">
        <f>IF(ISNUMBER(SEARCH("Basic",Real_Sales[[#This Row],[Product_name]])),"Yes","No")</f>
        <v>No</v>
      </c>
      <c r="Z707" s="2" cm="1">
        <f t="array" ref="Z707">_xlfn.IFS(Real_Sales[[#This Row],[Price_retail]]&lt;=15,1, Real_Sales[[#This Row],[Price_retail]]&lt;=30,2, Real_Sales[[#This Row],[Price_retail]]&lt;=50,3,Real_Sales[[#This Row],[Price_retail]]&gt;50,4)</f>
        <v>2</v>
      </c>
    </row>
    <row r="708" spans="1:26" x14ac:dyDescent="0.35">
      <c r="A708" s="2" t="s">
        <v>1416</v>
      </c>
      <c r="B708" s="2" t="s">
        <v>1417</v>
      </c>
      <c r="C708" s="2" t="s">
        <v>1314</v>
      </c>
      <c r="D708" s="2" t="s">
        <v>220</v>
      </c>
      <c r="E708" s="2" t="s">
        <v>4</v>
      </c>
      <c r="F708" s="2" t="s">
        <v>17</v>
      </c>
      <c r="G708" s="2" t="s">
        <v>50</v>
      </c>
      <c r="H708" s="2" t="s">
        <v>139</v>
      </c>
      <c r="I708" s="2" t="s">
        <v>3390</v>
      </c>
      <c r="J708" s="3">
        <v>23.08</v>
      </c>
      <c r="K708" s="3">
        <v>17.34</v>
      </c>
      <c r="L708" s="2" t="s">
        <v>8</v>
      </c>
      <c r="M708" s="2" t="s">
        <v>9</v>
      </c>
      <c r="N708" s="3">
        <v>381</v>
      </c>
      <c r="O708" s="2" t="s">
        <v>140</v>
      </c>
      <c r="P708" s="2" t="s">
        <v>177</v>
      </c>
      <c r="Q708" s="3"/>
      <c r="R708" s="3"/>
      <c r="S708" s="2" t="s">
        <v>21</v>
      </c>
      <c r="T708" s="4">
        <v>44955</v>
      </c>
      <c r="U708" s="2" t="s">
        <v>1418</v>
      </c>
      <c r="V708" s="6">
        <f>(Real_Sales[[#This Row],[Price_retail]]-Real_Sales[[#This Row],[Price_current]])/Real_Sales[[#This Row],[Price_retail]]</f>
        <v>0.24870017331022526</v>
      </c>
      <c r="W708" s="3" t="str" cm="1">
        <f t="array" ref="W70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08" s="2" t="str">
        <f>IF(Real_Sales[[#This Row],[Price_retail]]&gt;$AC$3,"Premium","Average")</f>
        <v>Premium</v>
      </c>
      <c r="Y708" s="2" t="str">
        <f>IF(ISNUMBER(SEARCH("Basic",Real_Sales[[#This Row],[Product_name]])),"Yes","No")</f>
        <v>No</v>
      </c>
      <c r="Z708" s="2" cm="1">
        <f t="array" ref="Z708">_xlfn.IFS(Real_Sales[[#This Row],[Price_retail]]&lt;=15,1, Real_Sales[[#This Row],[Price_retail]]&lt;=30,2, Real_Sales[[#This Row],[Price_retail]]&lt;=50,3,Real_Sales[[#This Row],[Price_retail]]&gt;50,4)</f>
        <v>2</v>
      </c>
    </row>
    <row r="709" spans="1:26" x14ac:dyDescent="0.35">
      <c r="A709" s="2" t="s">
        <v>2114</v>
      </c>
      <c r="B709" s="2" t="s">
        <v>2115</v>
      </c>
      <c r="C709" s="2" t="s">
        <v>703</v>
      </c>
      <c r="D709" s="2" t="s">
        <v>209</v>
      </c>
      <c r="E709" s="2" t="s">
        <v>4</v>
      </c>
      <c r="F709" s="2" t="s">
        <v>5</v>
      </c>
      <c r="G709" s="2" t="s">
        <v>121</v>
      </c>
      <c r="H709" s="2" t="s">
        <v>35</v>
      </c>
      <c r="I709" s="2" t="s">
        <v>3390</v>
      </c>
      <c r="J709" s="3">
        <v>23.14</v>
      </c>
      <c r="K709" s="3">
        <v>12.07</v>
      </c>
      <c r="L709" s="2" t="s">
        <v>8</v>
      </c>
      <c r="M709" s="2" t="s">
        <v>9</v>
      </c>
      <c r="N709" s="3">
        <v>449</v>
      </c>
      <c r="O709" s="2" t="s">
        <v>261</v>
      </c>
      <c r="P709" s="2" t="s">
        <v>419</v>
      </c>
      <c r="Q709" s="3"/>
      <c r="R709" s="3"/>
      <c r="S709" s="2" t="s">
        <v>21</v>
      </c>
      <c r="T709" s="4">
        <v>44955</v>
      </c>
      <c r="U709" s="2" t="s">
        <v>2116</v>
      </c>
      <c r="V709" s="6">
        <f>(Real_Sales[[#This Row],[Price_retail]]-Real_Sales[[#This Row],[Price_current]])/Real_Sales[[#This Row],[Price_retail]]</f>
        <v>0.47839239412273121</v>
      </c>
      <c r="W709" s="3" t="str" cm="1">
        <f t="array" ref="W70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09" s="2" t="str">
        <f>IF(Real_Sales[[#This Row],[Price_retail]]&gt;$AC$3,"Premium","Average")</f>
        <v>Premium</v>
      </c>
      <c r="Y709" s="2" t="str">
        <f>IF(ISNUMBER(SEARCH("Basic",Real_Sales[[#This Row],[Product_name]])),"Yes","No")</f>
        <v>No</v>
      </c>
      <c r="Z709" s="2" cm="1">
        <f t="array" ref="Z709">_xlfn.IFS(Real_Sales[[#This Row],[Price_retail]]&lt;=15,1, Real_Sales[[#This Row],[Price_retail]]&lt;=30,2, Real_Sales[[#This Row],[Price_retail]]&lt;=50,3,Real_Sales[[#This Row],[Price_retail]]&gt;50,4)</f>
        <v>2</v>
      </c>
    </row>
    <row r="710" spans="1:26" x14ac:dyDescent="0.35">
      <c r="A710" s="2" t="s">
        <v>124</v>
      </c>
      <c r="B710" s="2" t="s">
        <v>125</v>
      </c>
      <c r="C710" s="2" t="s">
        <v>126</v>
      </c>
      <c r="D710" s="2" t="s">
        <v>127</v>
      </c>
      <c r="E710" s="2" t="s">
        <v>4</v>
      </c>
      <c r="F710" s="2" t="s">
        <v>5</v>
      </c>
      <c r="G710" s="2" t="s">
        <v>121</v>
      </c>
      <c r="H710" s="2" t="s">
        <v>110</v>
      </c>
      <c r="I710" s="2" t="s">
        <v>3393</v>
      </c>
      <c r="J710" s="3">
        <v>23.14</v>
      </c>
      <c r="K710" s="3">
        <v>23.14</v>
      </c>
      <c r="L710" s="2" t="s">
        <v>3391</v>
      </c>
      <c r="M710" s="2" t="s">
        <v>9</v>
      </c>
      <c r="N710" s="3">
        <v>9</v>
      </c>
      <c r="O710" s="2" t="s">
        <v>36</v>
      </c>
      <c r="P710" s="2" t="s">
        <v>128</v>
      </c>
      <c r="Q710" s="3"/>
      <c r="R710" s="3"/>
      <c r="S710" s="2" t="s">
        <v>21</v>
      </c>
      <c r="T710" s="4">
        <v>44955</v>
      </c>
      <c r="U710" s="2" t="s">
        <v>129</v>
      </c>
      <c r="V710" s="6">
        <f>(Real_Sales[[#This Row],[Price_retail]]-Real_Sales[[#This Row],[Price_current]])/Real_Sales[[#This Row],[Price_retail]]</f>
        <v>0</v>
      </c>
      <c r="W710" s="3" t="str" cm="1">
        <f t="array" ref="W71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0" s="2" t="str">
        <f>IF(Real_Sales[[#This Row],[Price_retail]]&gt;$AC$3,"Premium","Average")</f>
        <v>Premium</v>
      </c>
      <c r="Y710" s="2" t="str">
        <f>IF(ISNUMBER(SEARCH("Basic",Real_Sales[[#This Row],[Product_name]])),"Yes","No")</f>
        <v>No</v>
      </c>
      <c r="Z710" s="2" cm="1">
        <f t="array" ref="Z710">_xlfn.IFS(Real_Sales[[#This Row],[Price_retail]]&lt;=15,1, Real_Sales[[#This Row],[Price_retail]]&lt;=30,2, Real_Sales[[#This Row],[Price_retail]]&lt;=50,3,Real_Sales[[#This Row],[Price_retail]]&gt;50,4)</f>
        <v>2</v>
      </c>
    </row>
    <row r="711" spans="1:26" x14ac:dyDescent="0.35">
      <c r="A711" s="2" t="s">
        <v>2823</v>
      </c>
      <c r="B711" s="2" t="s">
        <v>2824</v>
      </c>
      <c r="C711" s="2" t="s">
        <v>242</v>
      </c>
      <c r="D711" s="2" t="s">
        <v>887</v>
      </c>
      <c r="E711" s="2" t="s">
        <v>4</v>
      </c>
      <c r="F711" s="2" t="s">
        <v>5</v>
      </c>
      <c r="G711" s="2" t="s">
        <v>6</v>
      </c>
      <c r="H711" s="2" t="s">
        <v>185</v>
      </c>
      <c r="I711" s="2" t="s">
        <v>3390</v>
      </c>
      <c r="J711" s="3">
        <v>23.22</v>
      </c>
      <c r="K711" s="3">
        <v>23.22</v>
      </c>
      <c r="L711" s="2" t="s">
        <v>3391</v>
      </c>
      <c r="M711" s="2" t="s">
        <v>9</v>
      </c>
      <c r="N711" s="3">
        <v>185</v>
      </c>
      <c r="O711" s="2" t="s">
        <v>3392</v>
      </c>
      <c r="P711" s="2" t="s">
        <v>334</v>
      </c>
      <c r="Q711" s="3"/>
      <c r="R711" s="3"/>
      <c r="S711" s="2" t="s">
        <v>12</v>
      </c>
      <c r="T711" s="4">
        <v>44955</v>
      </c>
      <c r="U711" s="2" t="s">
        <v>2825</v>
      </c>
      <c r="V711" s="6">
        <f>(Real_Sales[[#This Row],[Price_retail]]-Real_Sales[[#This Row],[Price_current]])/Real_Sales[[#This Row],[Price_retail]]</f>
        <v>0</v>
      </c>
      <c r="W711" s="3" t="str" cm="1">
        <f t="array" ref="W7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1" s="2" t="str">
        <f>IF(Real_Sales[[#This Row],[Price_retail]]&gt;$AC$3,"Premium","Average")</f>
        <v>Premium</v>
      </c>
      <c r="Y711" s="2" t="str">
        <f>IF(ISNUMBER(SEARCH("Basic",Real_Sales[[#This Row],[Product_name]])),"Yes","No")</f>
        <v>Yes</v>
      </c>
      <c r="Z711" s="2" cm="1">
        <f t="array" ref="Z711">_xlfn.IFS(Real_Sales[[#This Row],[Price_retail]]&lt;=15,1, Real_Sales[[#This Row],[Price_retail]]&lt;=30,2, Real_Sales[[#This Row],[Price_retail]]&lt;=50,3,Real_Sales[[#This Row],[Price_retail]]&gt;50,4)</f>
        <v>2</v>
      </c>
    </row>
    <row r="712" spans="1:26" x14ac:dyDescent="0.35">
      <c r="A712" s="2" t="s">
        <v>2171</v>
      </c>
      <c r="B712" s="2" t="s">
        <v>2172</v>
      </c>
      <c r="C712" s="2" t="s">
        <v>1743</v>
      </c>
      <c r="D712" s="2" t="s">
        <v>804</v>
      </c>
      <c r="E712" s="2" t="s">
        <v>4</v>
      </c>
      <c r="F712" s="2" t="s">
        <v>5</v>
      </c>
      <c r="G712" s="2" t="s">
        <v>82</v>
      </c>
      <c r="H712" s="2" t="s">
        <v>19</v>
      </c>
      <c r="I712" s="2" t="s">
        <v>3390</v>
      </c>
      <c r="J712" s="3">
        <v>23.29</v>
      </c>
      <c r="K712" s="3">
        <v>23.29</v>
      </c>
      <c r="L712" s="2" t="s">
        <v>3391</v>
      </c>
      <c r="M712" s="2" t="s">
        <v>9</v>
      </c>
      <c r="N712" s="3">
        <v>848</v>
      </c>
      <c r="O712" s="2" t="s">
        <v>287</v>
      </c>
      <c r="P712" s="2" t="s">
        <v>221</v>
      </c>
      <c r="Q712" s="3"/>
      <c r="R712" s="3"/>
      <c r="S712" s="2" t="s">
        <v>21</v>
      </c>
      <c r="T712" s="4">
        <v>44955</v>
      </c>
      <c r="U712" s="2" t="s">
        <v>2173</v>
      </c>
      <c r="V712" s="6">
        <f>(Real_Sales[[#This Row],[Price_retail]]-Real_Sales[[#This Row],[Price_current]])/Real_Sales[[#This Row],[Price_retail]]</f>
        <v>0</v>
      </c>
      <c r="W712" s="3" t="str" cm="1">
        <f t="array" ref="W71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2" s="2" t="str">
        <f>IF(Real_Sales[[#This Row],[Price_retail]]&gt;$AC$3,"Premium","Average")</f>
        <v>Premium</v>
      </c>
      <c r="Y712" s="2" t="str">
        <f>IF(ISNUMBER(SEARCH("Basic",Real_Sales[[#This Row],[Product_name]])),"Yes","No")</f>
        <v>No</v>
      </c>
      <c r="Z712" s="2" cm="1">
        <f t="array" ref="Z712">_xlfn.IFS(Real_Sales[[#This Row],[Price_retail]]&lt;=15,1, Real_Sales[[#This Row],[Price_retail]]&lt;=30,2, Real_Sales[[#This Row],[Price_retail]]&lt;=50,3,Real_Sales[[#This Row],[Price_retail]]&gt;50,4)</f>
        <v>2</v>
      </c>
    </row>
    <row r="713" spans="1:26" x14ac:dyDescent="0.35">
      <c r="A713" s="2" t="s">
        <v>2871</v>
      </c>
      <c r="B713" s="2" t="s">
        <v>2872</v>
      </c>
      <c r="C713" s="2" t="s">
        <v>65</v>
      </c>
      <c r="D713" s="2" t="s">
        <v>363</v>
      </c>
      <c r="E713" s="2" t="s">
        <v>4</v>
      </c>
      <c r="F713" s="2" t="s">
        <v>17</v>
      </c>
      <c r="G713" s="2" t="s">
        <v>27</v>
      </c>
      <c r="H713" s="2" t="s">
        <v>59</v>
      </c>
      <c r="I713" s="2" t="s">
        <v>3390</v>
      </c>
      <c r="J713" s="3">
        <v>23.35</v>
      </c>
      <c r="K713" s="3">
        <v>16.57</v>
      </c>
      <c r="L713" s="2" t="s">
        <v>8</v>
      </c>
      <c r="M713" s="2" t="s">
        <v>9</v>
      </c>
      <c r="N713" s="3">
        <v>342</v>
      </c>
      <c r="O713" s="2" t="s">
        <v>140</v>
      </c>
      <c r="P713" s="2" t="s">
        <v>169</v>
      </c>
      <c r="Q713" s="3"/>
      <c r="R713" s="3"/>
      <c r="S713" s="2" t="s">
        <v>21</v>
      </c>
      <c r="T713" s="4">
        <v>44955</v>
      </c>
      <c r="U713" s="2" t="s">
        <v>2873</v>
      </c>
      <c r="V713" s="6">
        <f>(Real_Sales[[#This Row],[Price_retail]]-Real_Sales[[#This Row],[Price_current]])/Real_Sales[[#This Row],[Price_retail]]</f>
        <v>0.2903640256959315</v>
      </c>
      <c r="W713" s="3" t="str" cm="1">
        <f t="array" ref="W71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13" s="2" t="str">
        <f>IF(Real_Sales[[#This Row],[Price_retail]]&gt;$AC$3,"Premium","Average")</f>
        <v>Premium</v>
      </c>
      <c r="Y713" s="2" t="str">
        <f>IF(ISNUMBER(SEARCH("Basic",Real_Sales[[#This Row],[Product_name]])),"Yes","No")</f>
        <v>No</v>
      </c>
      <c r="Z713" s="2" cm="1">
        <f t="array" ref="Z713">_xlfn.IFS(Real_Sales[[#This Row],[Price_retail]]&lt;=15,1, Real_Sales[[#This Row],[Price_retail]]&lt;=30,2, Real_Sales[[#This Row],[Price_retail]]&lt;=50,3,Real_Sales[[#This Row],[Price_retail]]&gt;50,4)</f>
        <v>2</v>
      </c>
    </row>
    <row r="714" spans="1:26" x14ac:dyDescent="0.35">
      <c r="A714" s="2" t="s">
        <v>459</v>
      </c>
      <c r="B714" s="2" t="s">
        <v>460</v>
      </c>
      <c r="C714" s="2" t="s">
        <v>461</v>
      </c>
      <c r="D714" s="2" t="s">
        <v>319</v>
      </c>
      <c r="E714" s="2" t="s">
        <v>4</v>
      </c>
      <c r="F714" s="2" t="s">
        <v>5</v>
      </c>
      <c r="G714" s="2" t="s">
        <v>121</v>
      </c>
      <c r="H714" s="2" t="s">
        <v>90</v>
      </c>
      <c r="I714" s="2" t="s">
        <v>3390</v>
      </c>
      <c r="J714" s="3">
        <v>23.37</v>
      </c>
      <c r="K714" s="3">
        <v>23.37</v>
      </c>
      <c r="L714" s="2" t="s">
        <v>3391</v>
      </c>
      <c r="M714" s="2" t="s">
        <v>9</v>
      </c>
      <c r="N714" s="3">
        <v>448</v>
      </c>
      <c r="O714" s="2" t="s">
        <v>69</v>
      </c>
      <c r="P714" s="2" t="s">
        <v>76</v>
      </c>
      <c r="Q714" s="3"/>
      <c r="R714" s="3"/>
      <c r="S714" s="2" t="s">
        <v>12</v>
      </c>
      <c r="T714" s="4">
        <v>44955</v>
      </c>
      <c r="U714" s="2" t="s">
        <v>462</v>
      </c>
      <c r="V714" s="6">
        <f>(Real_Sales[[#This Row],[Price_retail]]-Real_Sales[[#This Row],[Price_current]])/Real_Sales[[#This Row],[Price_retail]]</f>
        <v>0</v>
      </c>
      <c r="W714" s="3" t="str" cm="1">
        <f t="array" ref="W7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4" s="2" t="str">
        <f>IF(Real_Sales[[#This Row],[Price_retail]]&gt;$AC$3,"Premium","Average")</f>
        <v>Premium</v>
      </c>
      <c r="Y714" s="2" t="str">
        <f>IF(ISNUMBER(SEARCH("Basic",Real_Sales[[#This Row],[Product_name]])),"Yes","No")</f>
        <v>No</v>
      </c>
      <c r="Z714" s="2" cm="1">
        <f t="array" ref="Z714">_xlfn.IFS(Real_Sales[[#This Row],[Price_retail]]&lt;=15,1, Real_Sales[[#This Row],[Price_retail]]&lt;=30,2, Real_Sales[[#This Row],[Price_retail]]&lt;=50,3,Real_Sales[[#This Row],[Price_retail]]&gt;50,4)</f>
        <v>2</v>
      </c>
    </row>
    <row r="715" spans="1:26" x14ac:dyDescent="0.35">
      <c r="A715" s="2" t="s">
        <v>1959</v>
      </c>
      <c r="B715" s="2" t="s">
        <v>1960</v>
      </c>
      <c r="C715" s="2" t="s">
        <v>318</v>
      </c>
      <c r="D715" s="2" t="s">
        <v>769</v>
      </c>
      <c r="E715" s="2" t="s">
        <v>4</v>
      </c>
      <c r="F715" s="2" t="s">
        <v>17</v>
      </c>
      <c r="G715" s="2" t="s">
        <v>67</v>
      </c>
      <c r="H715" s="2" t="s">
        <v>35</v>
      </c>
      <c r="I715" s="2" t="s">
        <v>3393</v>
      </c>
      <c r="J715" s="3">
        <v>23.41</v>
      </c>
      <c r="K715" s="3">
        <v>23.41</v>
      </c>
      <c r="L715" s="2" t="s">
        <v>3391</v>
      </c>
      <c r="M715" s="2" t="s">
        <v>9</v>
      </c>
      <c r="N715" s="3">
        <v>503</v>
      </c>
      <c r="O715" s="2" t="s">
        <v>10</v>
      </c>
      <c r="P715" s="2" t="s">
        <v>30</v>
      </c>
      <c r="Q715" s="3"/>
      <c r="R715" s="3"/>
      <c r="S715" s="2" t="s">
        <v>12</v>
      </c>
      <c r="T715" s="4">
        <v>44955</v>
      </c>
      <c r="U715" s="2" t="s">
        <v>1961</v>
      </c>
      <c r="V715" s="6">
        <f>(Real_Sales[[#This Row],[Price_retail]]-Real_Sales[[#This Row],[Price_current]])/Real_Sales[[#This Row],[Price_retail]]</f>
        <v>0</v>
      </c>
      <c r="W715" s="3" t="str" cm="1">
        <f t="array" ref="W71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5" s="2" t="str">
        <f>IF(Real_Sales[[#This Row],[Price_retail]]&gt;$AC$3,"Premium","Average")</f>
        <v>Premium</v>
      </c>
      <c r="Y715" s="2" t="str">
        <f>IF(ISNUMBER(SEARCH("Basic",Real_Sales[[#This Row],[Product_name]])),"Yes","No")</f>
        <v>Yes</v>
      </c>
      <c r="Z715" s="2" cm="1">
        <f t="array" ref="Z715">_xlfn.IFS(Real_Sales[[#This Row],[Price_retail]]&lt;=15,1, Real_Sales[[#This Row],[Price_retail]]&lt;=30,2, Real_Sales[[#This Row],[Price_retail]]&lt;=50,3,Real_Sales[[#This Row],[Price_retail]]&gt;50,4)</f>
        <v>2</v>
      </c>
    </row>
    <row r="716" spans="1:26" x14ac:dyDescent="0.35">
      <c r="A716" s="2" t="s">
        <v>2832</v>
      </c>
      <c r="B716" s="2" t="s">
        <v>2833</v>
      </c>
      <c r="C716" s="2" t="s">
        <v>541</v>
      </c>
      <c r="D716" s="2" t="s">
        <v>49</v>
      </c>
      <c r="E716" s="2" t="s">
        <v>4</v>
      </c>
      <c r="F716" s="2" t="s">
        <v>17</v>
      </c>
      <c r="G716" s="2" t="s">
        <v>27</v>
      </c>
      <c r="H716" s="2" t="s">
        <v>51</v>
      </c>
      <c r="I716" s="2" t="s">
        <v>3395</v>
      </c>
      <c r="J716" s="3">
        <v>23.43</v>
      </c>
      <c r="K716" s="3">
        <v>16.47</v>
      </c>
      <c r="L716" s="2" t="s">
        <v>8</v>
      </c>
      <c r="M716" s="2" t="s">
        <v>9</v>
      </c>
      <c r="N716" s="3">
        <v>885</v>
      </c>
      <c r="O716" s="2" t="s">
        <v>98</v>
      </c>
      <c r="P716" s="2" t="s">
        <v>186</v>
      </c>
      <c r="Q716" s="3"/>
      <c r="R716" s="3"/>
      <c r="S716" s="2" t="s">
        <v>21</v>
      </c>
      <c r="T716" s="4">
        <v>44955</v>
      </c>
      <c r="U716" s="2" t="s">
        <v>2834</v>
      </c>
      <c r="V716" s="6">
        <f>(Real_Sales[[#This Row],[Price_retail]]-Real_Sales[[#This Row],[Price_current]])/Real_Sales[[#This Row],[Price_retail]]</f>
        <v>0.29705505761843792</v>
      </c>
      <c r="W716" s="3" t="str" cm="1">
        <f t="array" ref="W71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16" s="2" t="str">
        <f>IF(Real_Sales[[#This Row],[Price_retail]]&gt;$AC$3,"Premium","Average")</f>
        <v>Premium</v>
      </c>
      <c r="Y716" s="2" t="str">
        <f>IF(ISNUMBER(SEARCH("Basic",Real_Sales[[#This Row],[Product_name]])),"Yes","No")</f>
        <v>Yes</v>
      </c>
      <c r="Z716" s="2" cm="1">
        <f t="array" ref="Z716">_xlfn.IFS(Real_Sales[[#This Row],[Price_retail]]&lt;=15,1, Real_Sales[[#This Row],[Price_retail]]&lt;=30,2, Real_Sales[[#This Row],[Price_retail]]&lt;=50,3,Real_Sales[[#This Row],[Price_retail]]&gt;50,4)</f>
        <v>2</v>
      </c>
    </row>
    <row r="717" spans="1:26" x14ac:dyDescent="0.35">
      <c r="A717" s="2" t="s">
        <v>3227</v>
      </c>
      <c r="B717" s="2" t="s">
        <v>3228</v>
      </c>
      <c r="C717" s="2" t="s">
        <v>65</v>
      </c>
      <c r="D717" s="2" t="s">
        <v>842</v>
      </c>
      <c r="E717" s="2" t="s">
        <v>4</v>
      </c>
      <c r="F717" s="2" t="s">
        <v>5</v>
      </c>
      <c r="G717" s="2" t="s">
        <v>121</v>
      </c>
      <c r="H717" s="2" t="s">
        <v>7</v>
      </c>
      <c r="I717" s="2" t="s">
        <v>3395</v>
      </c>
      <c r="J717" s="3">
        <v>23.46</v>
      </c>
      <c r="K717" s="3">
        <v>23.46</v>
      </c>
      <c r="L717" s="2" t="s">
        <v>3391</v>
      </c>
      <c r="M717" s="2" t="s">
        <v>9</v>
      </c>
      <c r="N717" s="3">
        <v>625</v>
      </c>
      <c r="O717" s="2" t="s">
        <v>20</v>
      </c>
      <c r="P717" s="2" t="s">
        <v>283</v>
      </c>
      <c r="Q717" s="3"/>
      <c r="R717" s="3"/>
      <c r="S717" s="2" t="s">
        <v>21</v>
      </c>
      <c r="T717" s="4">
        <v>44955</v>
      </c>
      <c r="U717" s="2" t="s">
        <v>3229</v>
      </c>
      <c r="V717" s="6">
        <f>(Real_Sales[[#This Row],[Price_retail]]-Real_Sales[[#This Row],[Price_current]])/Real_Sales[[#This Row],[Price_retail]]</f>
        <v>0</v>
      </c>
      <c r="W717" s="3" t="str" cm="1">
        <f t="array" ref="W7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7" s="2" t="str">
        <f>IF(Real_Sales[[#This Row],[Price_retail]]&gt;$AC$3,"Premium","Average")</f>
        <v>Premium</v>
      </c>
      <c r="Y717" s="2" t="str">
        <f>IF(ISNUMBER(SEARCH("Basic",Real_Sales[[#This Row],[Product_name]])),"Yes","No")</f>
        <v>No</v>
      </c>
      <c r="Z717" s="2" cm="1">
        <f t="array" ref="Z717">_xlfn.IFS(Real_Sales[[#This Row],[Price_retail]]&lt;=15,1, Real_Sales[[#This Row],[Price_retail]]&lt;=30,2, Real_Sales[[#This Row],[Price_retail]]&lt;=50,3,Real_Sales[[#This Row],[Price_retail]]&gt;50,4)</f>
        <v>2</v>
      </c>
    </row>
    <row r="718" spans="1:26" x14ac:dyDescent="0.35">
      <c r="A718" s="2" t="s">
        <v>1795</v>
      </c>
      <c r="B718" s="2" t="s">
        <v>1796</v>
      </c>
      <c r="C718" s="2" t="s">
        <v>1797</v>
      </c>
      <c r="D718" s="2" t="s">
        <v>58</v>
      </c>
      <c r="E718" s="2" t="s">
        <v>4</v>
      </c>
      <c r="F718" s="2" t="s">
        <v>17</v>
      </c>
      <c r="G718" s="2" t="s">
        <v>27</v>
      </c>
      <c r="H718" s="2" t="s">
        <v>59</v>
      </c>
      <c r="I718" s="2" t="s">
        <v>3390</v>
      </c>
      <c r="J718" s="3">
        <v>23.5</v>
      </c>
      <c r="K718" s="3">
        <v>23.5</v>
      </c>
      <c r="L718" s="2" t="s">
        <v>3391</v>
      </c>
      <c r="M718" s="2" t="s">
        <v>9</v>
      </c>
      <c r="N718" s="3">
        <v>654</v>
      </c>
      <c r="O718" s="2" t="s">
        <v>20</v>
      </c>
      <c r="P718" s="2" t="s">
        <v>44</v>
      </c>
      <c r="Q718" s="3"/>
      <c r="R718" s="3"/>
      <c r="S718" s="2" t="s">
        <v>21</v>
      </c>
      <c r="T718" s="4">
        <v>44955</v>
      </c>
      <c r="U718" s="2" t="s">
        <v>1798</v>
      </c>
      <c r="V718" s="6">
        <f>(Real_Sales[[#This Row],[Price_retail]]-Real_Sales[[#This Row],[Price_current]])/Real_Sales[[#This Row],[Price_retail]]</f>
        <v>0</v>
      </c>
      <c r="W718" s="3" t="str" cm="1">
        <f t="array" ref="W7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18" s="2" t="str">
        <f>IF(Real_Sales[[#This Row],[Price_retail]]&gt;$AC$3,"Premium","Average")</f>
        <v>Premium</v>
      </c>
      <c r="Y718" s="2" t="str">
        <f>IF(ISNUMBER(SEARCH("Basic",Real_Sales[[#This Row],[Product_name]])),"Yes","No")</f>
        <v>No</v>
      </c>
      <c r="Z718" s="2" cm="1">
        <f t="array" ref="Z718">_xlfn.IFS(Real_Sales[[#This Row],[Price_retail]]&lt;=15,1, Real_Sales[[#This Row],[Price_retail]]&lt;=30,2, Real_Sales[[#This Row],[Price_retail]]&lt;=50,3,Real_Sales[[#This Row],[Price_retail]]&gt;50,4)</f>
        <v>2</v>
      </c>
    </row>
    <row r="719" spans="1:26" x14ac:dyDescent="0.35">
      <c r="A719" s="2" t="s">
        <v>1045</v>
      </c>
      <c r="B719" s="2" t="s">
        <v>1046</v>
      </c>
      <c r="C719" s="2" t="s">
        <v>1743</v>
      </c>
      <c r="D719" s="2" t="s">
        <v>725</v>
      </c>
      <c r="E719" s="2" t="s">
        <v>4</v>
      </c>
      <c r="F719" s="2" t="s">
        <v>17</v>
      </c>
      <c r="G719" s="2" t="s">
        <v>18</v>
      </c>
      <c r="H719" s="2" t="s">
        <v>110</v>
      </c>
      <c r="I719" s="2" t="s">
        <v>3390</v>
      </c>
      <c r="J719" s="3">
        <v>23.53</v>
      </c>
      <c r="K719" s="3">
        <v>17.850000000000001</v>
      </c>
      <c r="L719" s="2" t="s">
        <v>8</v>
      </c>
      <c r="M719" s="2" t="s">
        <v>9</v>
      </c>
      <c r="N719" s="3">
        <v>550</v>
      </c>
      <c r="O719" s="2" t="s">
        <v>69</v>
      </c>
      <c r="P719" s="2" t="s">
        <v>61</v>
      </c>
      <c r="Q719" s="3"/>
      <c r="R719" s="3"/>
      <c r="S719" s="2" t="s">
        <v>21</v>
      </c>
      <c r="T719" s="4">
        <v>44955</v>
      </c>
      <c r="U719" s="2" t="s">
        <v>1047</v>
      </c>
      <c r="V719" s="6">
        <f>(Real_Sales[[#This Row],[Price_retail]]-Real_Sales[[#This Row],[Price_current]])/Real_Sales[[#This Row],[Price_retail]]</f>
        <v>0.24139396515087119</v>
      </c>
      <c r="W719" s="3" t="str" cm="1">
        <f t="array" ref="W71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19" s="2" t="str">
        <f>IF(Real_Sales[[#This Row],[Price_retail]]&gt;$AC$3,"Premium","Average")</f>
        <v>Premium</v>
      </c>
      <c r="Y719" s="2" t="str">
        <f>IF(ISNUMBER(SEARCH("Basic",Real_Sales[[#This Row],[Product_name]])),"Yes","No")</f>
        <v>Yes</v>
      </c>
      <c r="Z719" s="2" cm="1">
        <f t="array" ref="Z719">_xlfn.IFS(Real_Sales[[#This Row],[Price_retail]]&lt;=15,1, Real_Sales[[#This Row],[Price_retail]]&lt;=30,2, Real_Sales[[#This Row],[Price_retail]]&lt;=50,3,Real_Sales[[#This Row],[Price_retail]]&gt;50,4)</f>
        <v>2</v>
      </c>
    </row>
    <row r="720" spans="1:26" x14ac:dyDescent="0.35">
      <c r="A720" s="2" t="s">
        <v>531</v>
      </c>
      <c r="B720" s="2" t="s">
        <v>532</v>
      </c>
      <c r="C720" s="2" t="s">
        <v>387</v>
      </c>
      <c r="D720" s="2" t="s">
        <v>533</v>
      </c>
      <c r="E720" s="2" t="s">
        <v>4</v>
      </c>
      <c r="F720" s="2" t="s">
        <v>17</v>
      </c>
      <c r="G720" s="2" t="s">
        <v>27</v>
      </c>
      <c r="H720" s="2" t="s">
        <v>59</v>
      </c>
      <c r="I720" s="2" t="s">
        <v>3395</v>
      </c>
      <c r="J720" s="3">
        <v>23.55</v>
      </c>
      <c r="K720" s="3">
        <v>9.2899999999999991</v>
      </c>
      <c r="L720" s="2" t="s">
        <v>8</v>
      </c>
      <c r="M720" s="2" t="s">
        <v>9</v>
      </c>
      <c r="N720" s="3">
        <v>983</v>
      </c>
      <c r="O720" s="2" t="s">
        <v>43</v>
      </c>
      <c r="P720" s="2" t="s">
        <v>186</v>
      </c>
      <c r="Q720" s="3"/>
      <c r="R720" s="3"/>
      <c r="S720" s="2" t="s">
        <v>21</v>
      </c>
      <c r="T720" s="4">
        <v>44955</v>
      </c>
      <c r="U720" s="2" t="s">
        <v>534</v>
      </c>
      <c r="V720" s="6">
        <f>(Real_Sales[[#This Row],[Price_retail]]-Real_Sales[[#This Row],[Price_current]])/Real_Sales[[#This Row],[Price_retail]]</f>
        <v>0.60552016985138013</v>
      </c>
      <c r="W720" s="3" t="str" cm="1">
        <f t="array" ref="W720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20" s="2" t="str">
        <f>IF(Real_Sales[[#This Row],[Price_retail]]&gt;$AC$3,"Premium","Average")</f>
        <v>Premium</v>
      </c>
      <c r="Y720" s="2" t="str">
        <f>IF(ISNUMBER(SEARCH("Basic",Real_Sales[[#This Row],[Product_name]])),"Yes","No")</f>
        <v>No</v>
      </c>
      <c r="Z720" s="2" cm="1">
        <f t="array" ref="Z720">_xlfn.IFS(Real_Sales[[#This Row],[Price_retail]]&lt;=15,1, Real_Sales[[#This Row],[Price_retail]]&lt;=30,2, Real_Sales[[#This Row],[Price_retail]]&lt;=50,3,Real_Sales[[#This Row],[Price_retail]]&gt;50,4)</f>
        <v>2</v>
      </c>
    </row>
    <row r="721" spans="1:26" x14ac:dyDescent="0.35">
      <c r="A721" s="2" t="s">
        <v>3320</v>
      </c>
      <c r="B721" s="2" t="s">
        <v>3321</v>
      </c>
      <c r="C721" s="2" t="s">
        <v>1010</v>
      </c>
      <c r="D721" s="2" t="s">
        <v>1285</v>
      </c>
      <c r="E721" s="2" t="s">
        <v>4</v>
      </c>
      <c r="F721" s="2" t="s">
        <v>17</v>
      </c>
      <c r="G721" s="2" t="s">
        <v>50</v>
      </c>
      <c r="H721" s="2" t="s">
        <v>134</v>
      </c>
      <c r="I721" s="2" t="s">
        <v>3390</v>
      </c>
      <c r="J721" s="3">
        <v>23.58</v>
      </c>
      <c r="K721" s="3">
        <v>16.079999999999998</v>
      </c>
      <c r="L721" s="2" t="s">
        <v>8</v>
      </c>
      <c r="M721" s="2" t="s">
        <v>9</v>
      </c>
      <c r="N721" s="3">
        <v>603</v>
      </c>
      <c r="O721" s="2" t="s">
        <v>140</v>
      </c>
      <c r="P721" s="2" t="s">
        <v>186</v>
      </c>
      <c r="Q721" s="3"/>
      <c r="R721" s="3"/>
      <c r="S721" s="2" t="s">
        <v>21</v>
      </c>
      <c r="T721" s="4">
        <v>44955</v>
      </c>
      <c r="U721" s="2" t="s">
        <v>3322</v>
      </c>
      <c r="V721" s="6">
        <f>(Real_Sales[[#This Row],[Price_retail]]-Real_Sales[[#This Row],[Price_current]])/Real_Sales[[#This Row],[Price_retail]]</f>
        <v>0.31806615776081426</v>
      </c>
      <c r="W721" s="3" t="str" cm="1">
        <f t="array" ref="W72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21" s="2" t="str">
        <f>IF(Real_Sales[[#This Row],[Price_retail]]&gt;$AC$3,"Premium","Average")</f>
        <v>Premium</v>
      </c>
      <c r="Y721" s="2" t="str">
        <f>IF(ISNUMBER(SEARCH("Basic",Real_Sales[[#This Row],[Product_name]])),"Yes","No")</f>
        <v>Yes</v>
      </c>
      <c r="Z721" s="2" cm="1">
        <f t="array" ref="Z721">_xlfn.IFS(Real_Sales[[#This Row],[Price_retail]]&lt;=15,1, Real_Sales[[#This Row],[Price_retail]]&lt;=30,2, Real_Sales[[#This Row],[Price_retail]]&lt;=50,3,Real_Sales[[#This Row],[Price_retail]]&gt;50,4)</f>
        <v>2</v>
      </c>
    </row>
    <row r="722" spans="1:26" x14ac:dyDescent="0.35">
      <c r="A722" s="2" t="s">
        <v>2532</v>
      </c>
      <c r="B722" s="2" t="s">
        <v>2533</v>
      </c>
      <c r="C722" s="2" t="s">
        <v>399</v>
      </c>
      <c r="D722" s="2" t="s">
        <v>814</v>
      </c>
      <c r="E722" s="2" t="s">
        <v>4</v>
      </c>
      <c r="F722" s="2" t="s">
        <v>5</v>
      </c>
      <c r="G722" s="2" t="s">
        <v>82</v>
      </c>
      <c r="H722" s="2" t="s">
        <v>418</v>
      </c>
      <c r="I722" s="2" t="s">
        <v>3395</v>
      </c>
      <c r="J722" s="3">
        <v>23.58</v>
      </c>
      <c r="K722" s="3">
        <v>23.58</v>
      </c>
      <c r="L722" s="2" t="s">
        <v>3391</v>
      </c>
      <c r="M722" s="2" t="s">
        <v>9</v>
      </c>
      <c r="N722" s="3">
        <v>336</v>
      </c>
      <c r="O722" s="2" t="s">
        <v>302</v>
      </c>
      <c r="P722" s="2" t="s">
        <v>3392</v>
      </c>
      <c r="Q722" s="3"/>
      <c r="R722" s="3"/>
      <c r="S722" s="2" t="s">
        <v>21</v>
      </c>
      <c r="T722" s="4">
        <v>44955</v>
      </c>
      <c r="U722" s="2" t="s">
        <v>2534</v>
      </c>
      <c r="V722" s="6">
        <f>(Real_Sales[[#This Row],[Price_retail]]-Real_Sales[[#This Row],[Price_current]])/Real_Sales[[#This Row],[Price_retail]]</f>
        <v>0</v>
      </c>
      <c r="W722" s="3" t="str" cm="1">
        <f t="array" ref="W7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2" s="2" t="str">
        <f>IF(Real_Sales[[#This Row],[Price_retail]]&gt;$AC$3,"Premium","Average")</f>
        <v>Premium</v>
      </c>
      <c r="Y722" s="2" t="str">
        <f>IF(ISNUMBER(SEARCH("Basic",Real_Sales[[#This Row],[Product_name]])),"Yes","No")</f>
        <v>No</v>
      </c>
      <c r="Z722" s="2" cm="1">
        <f t="array" ref="Z722">_xlfn.IFS(Real_Sales[[#This Row],[Price_retail]]&lt;=15,1, Real_Sales[[#This Row],[Price_retail]]&lt;=30,2, Real_Sales[[#This Row],[Price_retail]]&lt;=50,3,Real_Sales[[#This Row],[Price_retail]]&gt;50,4)</f>
        <v>2</v>
      </c>
    </row>
    <row r="723" spans="1:26" x14ac:dyDescent="0.35">
      <c r="A723" s="2" t="s">
        <v>855</v>
      </c>
      <c r="B723" s="2" t="s">
        <v>856</v>
      </c>
      <c r="C723" s="2" t="s">
        <v>65</v>
      </c>
      <c r="D723" s="2" t="s">
        <v>857</v>
      </c>
      <c r="E723" s="2" t="s">
        <v>4</v>
      </c>
      <c r="F723" s="2" t="s">
        <v>5</v>
      </c>
      <c r="G723" s="2" t="s">
        <v>82</v>
      </c>
      <c r="H723" s="2" t="s">
        <v>51</v>
      </c>
      <c r="I723" s="2" t="s">
        <v>3390</v>
      </c>
      <c r="J723" s="3">
        <v>23.65</v>
      </c>
      <c r="K723" s="3">
        <v>23.65</v>
      </c>
      <c r="L723" s="2" t="s">
        <v>248</v>
      </c>
      <c r="M723" s="2" t="s">
        <v>9</v>
      </c>
      <c r="N723" s="3">
        <v>149</v>
      </c>
      <c r="O723" s="2" t="s">
        <v>261</v>
      </c>
      <c r="P723" s="2" t="s">
        <v>221</v>
      </c>
      <c r="Q723" s="3"/>
      <c r="R723" s="3"/>
      <c r="S723" s="2" t="s">
        <v>21</v>
      </c>
      <c r="T723" s="4">
        <v>44955</v>
      </c>
      <c r="U723" s="2" t="s">
        <v>858</v>
      </c>
      <c r="V723" s="6">
        <f>(Real_Sales[[#This Row],[Price_retail]]-Real_Sales[[#This Row],[Price_current]])/Real_Sales[[#This Row],[Price_retail]]</f>
        <v>0</v>
      </c>
      <c r="W723" s="3" t="str" cm="1">
        <f t="array" ref="W72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3" s="2" t="str">
        <f>IF(Real_Sales[[#This Row],[Price_retail]]&gt;$AC$3,"Premium","Average")</f>
        <v>Premium</v>
      </c>
      <c r="Y723" s="2" t="str">
        <f>IF(ISNUMBER(SEARCH("Basic",Real_Sales[[#This Row],[Product_name]])),"Yes","No")</f>
        <v>No</v>
      </c>
      <c r="Z723" s="2" cm="1">
        <f t="array" ref="Z723">_xlfn.IFS(Real_Sales[[#This Row],[Price_retail]]&lt;=15,1, Real_Sales[[#This Row],[Price_retail]]&lt;=30,2, Real_Sales[[#This Row],[Price_retail]]&lt;=50,3,Real_Sales[[#This Row],[Price_retail]]&gt;50,4)</f>
        <v>2</v>
      </c>
    </row>
    <row r="724" spans="1:26" x14ac:dyDescent="0.35">
      <c r="A724" s="2" t="s">
        <v>1208</v>
      </c>
      <c r="B724" s="2" t="s">
        <v>1209</v>
      </c>
      <c r="C724" s="2" t="s">
        <v>323</v>
      </c>
      <c r="D724" s="2" t="s">
        <v>220</v>
      </c>
      <c r="E724" s="2" t="s">
        <v>4</v>
      </c>
      <c r="F724" s="2" t="s">
        <v>17</v>
      </c>
      <c r="G724" s="2" t="s">
        <v>67</v>
      </c>
      <c r="H724" s="2" t="s">
        <v>139</v>
      </c>
      <c r="I724" s="2" t="s">
        <v>3390</v>
      </c>
      <c r="J724" s="3">
        <v>23.66</v>
      </c>
      <c r="K724" s="3">
        <v>23.66</v>
      </c>
      <c r="L724" s="2" t="s">
        <v>3391</v>
      </c>
      <c r="M724" s="2" t="s">
        <v>9</v>
      </c>
      <c r="N724" s="3">
        <v>731</v>
      </c>
      <c r="O724" s="2" t="s">
        <v>91</v>
      </c>
      <c r="P724" s="2" t="s">
        <v>30</v>
      </c>
      <c r="Q724" s="3"/>
      <c r="R724" s="3"/>
      <c r="S724" s="2" t="s">
        <v>21</v>
      </c>
      <c r="T724" s="4">
        <v>44955</v>
      </c>
      <c r="U724" s="2" t="s">
        <v>1210</v>
      </c>
      <c r="V724" s="6">
        <f>(Real_Sales[[#This Row],[Price_retail]]-Real_Sales[[#This Row],[Price_current]])/Real_Sales[[#This Row],[Price_retail]]</f>
        <v>0</v>
      </c>
      <c r="W724" s="3" t="str" cm="1">
        <f t="array" ref="W72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4" s="2" t="str">
        <f>IF(Real_Sales[[#This Row],[Price_retail]]&gt;$AC$3,"Premium","Average")</f>
        <v>Premium</v>
      </c>
      <c r="Y724" s="2" t="str">
        <f>IF(ISNUMBER(SEARCH("Basic",Real_Sales[[#This Row],[Product_name]])),"Yes","No")</f>
        <v>No</v>
      </c>
      <c r="Z724" s="2" cm="1">
        <f t="array" ref="Z724">_xlfn.IFS(Real_Sales[[#This Row],[Price_retail]]&lt;=15,1, Real_Sales[[#This Row],[Price_retail]]&lt;=30,2, Real_Sales[[#This Row],[Price_retail]]&lt;=50,3,Real_Sales[[#This Row],[Price_retail]]&gt;50,4)</f>
        <v>2</v>
      </c>
    </row>
    <row r="725" spans="1:26" x14ac:dyDescent="0.35">
      <c r="A725" s="2" t="s">
        <v>1868</v>
      </c>
      <c r="B725" s="2" t="s">
        <v>1869</v>
      </c>
      <c r="C725" s="2" t="s">
        <v>3394</v>
      </c>
      <c r="D725" s="2" t="s">
        <v>279</v>
      </c>
      <c r="E725" s="2" t="s">
        <v>4</v>
      </c>
      <c r="F725" s="2" t="s">
        <v>17</v>
      </c>
      <c r="G725" s="2" t="s">
        <v>67</v>
      </c>
      <c r="H725" s="2" t="s">
        <v>28</v>
      </c>
      <c r="I725" s="2" t="s">
        <v>3395</v>
      </c>
      <c r="J725" s="3">
        <v>23.66</v>
      </c>
      <c r="K725" s="3">
        <v>23.66</v>
      </c>
      <c r="L725" s="2" t="s">
        <v>3391</v>
      </c>
      <c r="M725" s="2" t="s">
        <v>9</v>
      </c>
      <c r="N725" s="3">
        <v>819</v>
      </c>
      <c r="O725" s="2" t="s">
        <v>287</v>
      </c>
      <c r="P725" s="2" t="s">
        <v>92</v>
      </c>
      <c r="Q725" s="3"/>
      <c r="R725" s="3"/>
      <c r="S725" s="2" t="s">
        <v>21</v>
      </c>
      <c r="T725" s="4">
        <v>44955</v>
      </c>
      <c r="U725" s="2" t="s">
        <v>1870</v>
      </c>
      <c r="V725" s="6">
        <f>(Real_Sales[[#This Row],[Price_retail]]-Real_Sales[[#This Row],[Price_current]])/Real_Sales[[#This Row],[Price_retail]]</f>
        <v>0</v>
      </c>
      <c r="W725" s="3" t="str" cm="1">
        <f t="array" ref="W72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5" s="2" t="str">
        <f>IF(Real_Sales[[#This Row],[Price_retail]]&gt;$AC$3,"Premium","Average")</f>
        <v>Premium</v>
      </c>
      <c r="Y725" s="2" t="str">
        <f>IF(ISNUMBER(SEARCH("Basic",Real_Sales[[#This Row],[Product_name]])),"Yes","No")</f>
        <v>No</v>
      </c>
      <c r="Z725" s="2" cm="1">
        <f t="array" ref="Z725">_xlfn.IFS(Real_Sales[[#This Row],[Price_retail]]&lt;=15,1, Real_Sales[[#This Row],[Price_retail]]&lt;=30,2, Real_Sales[[#This Row],[Price_retail]]&lt;=50,3,Real_Sales[[#This Row],[Price_retail]]&gt;50,4)</f>
        <v>2</v>
      </c>
    </row>
    <row r="726" spans="1:26" x14ac:dyDescent="0.35">
      <c r="A726" s="2" t="s">
        <v>1586</v>
      </c>
      <c r="B726" s="2" t="s">
        <v>1587</v>
      </c>
      <c r="C726" s="2" t="s">
        <v>3394</v>
      </c>
      <c r="D726" s="2" t="s">
        <v>537</v>
      </c>
      <c r="E726" s="2" t="s">
        <v>4</v>
      </c>
      <c r="F726" s="2" t="s">
        <v>5</v>
      </c>
      <c r="G726" s="2" t="s">
        <v>6</v>
      </c>
      <c r="H726" s="2" t="s">
        <v>145</v>
      </c>
      <c r="I726" s="2" t="s">
        <v>3393</v>
      </c>
      <c r="J726" s="3">
        <v>23.67</v>
      </c>
      <c r="K726" s="3">
        <v>19.11</v>
      </c>
      <c r="L726" s="2" t="s">
        <v>8</v>
      </c>
      <c r="M726" s="2" t="s">
        <v>9</v>
      </c>
      <c r="N726" s="3">
        <v>285</v>
      </c>
      <c r="O726" s="2" t="s">
        <v>52</v>
      </c>
      <c r="P726" s="2" t="s">
        <v>61</v>
      </c>
      <c r="Q726" s="3"/>
      <c r="R726" s="3"/>
      <c r="S726" s="2" t="s">
        <v>12</v>
      </c>
      <c r="T726" s="4">
        <v>44955</v>
      </c>
      <c r="U726" s="2" t="s">
        <v>1588</v>
      </c>
      <c r="V726" s="6">
        <f>(Real_Sales[[#This Row],[Price_retail]]-Real_Sales[[#This Row],[Price_current]])/Real_Sales[[#This Row],[Price_retail]]</f>
        <v>0.19264892268694558</v>
      </c>
      <c r="W726" s="3" t="str" cm="1">
        <f t="array" ref="W72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726" s="2" t="str">
        <f>IF(Real_Sales[[#This Row],[Price_retail]]&gt;$AC$3,"Premium","Average")</f>
        <v>Premium</v>
      </c>
      <c r="Y726" s="2" t="str">
        <f>IF(ISNUMBER(SEARCH("Basic",Real_Sales[[#This Row],[Product_name]])),"Yes","No")</f>
        <v>No</v>
      </c>
      <c r="Z726" s="2" cm="1">
        <f t="array" ref="Z726">_xlfn.IFS(Real_Sales[[#This Row],[Price_retail]]&lt;=15,1, Real_Sales[[#This Row],[Price_retail]]&lt;=30,2, Real_Sales[[#This Row],[Price_retail]]&lt;=50,3,Real_Sales[[#This Row],[Price_retail]]&gt;50,4)</f>
        <v>2</v>
      </c>
    </row>
    <row r="727" spans="1:26" x14ac:dyDescent="0.35">
      <c r="A727" s="2" t="s">
        <v>706</v>
      </c>
      <c r="B727" s="2" t="s">
        <v>707</v>
      </c>
      <c r="C727" s="2" t="s">
        <v>484</v>
      </c>
      <c r="D727" s="2" t="s">
        <v>660</v>
      </c>
      <c r="E727" s="2" t="s">
        <v>4</v>
      </c>
      <c r="F727" s="2" t="s">
        <v>5</v>
      </c>
      <c r="G727" s="2" t="s">
        <v>6</v>
      </c>
      <c r="H727" s="2" t="s">
        <v>237</v>
      </c>
      <c r="I727" s="2" t="s">
        <v>3389</v>
      </c>
      <c r="J727" s="3">
        <v>23.72</v>
      </c>
      <c r="K727" s="3">
        <v>23.72</v>
      </c>
      <c r="L727" s="2" t="s">
        <v>3391</v>
      </c>
      <c r="M727" s="2" t="s">
        <v>9</v>
      </c>
      <c r="N727" s="3">
        <v>328</v>
      </c>
      <c r="O727" s="2" t="s">
        <v>3392</v>
      </c>
      <c r="P727" s="2" t="s">
        <v>288</v>
      </c>
      <c r="Q727" s="3"/>
      <c r="R727" s="3"/>
      <c r="S727" s="2" t="s">
        <v>21</v>
      </c>
      <c r="T727" s="4">
        <v>44955</v>
      </c>
      <c r="U727" s="2" t="s">
        <v>708</v>
      </c>
      <c r="V727" s="6">
        <f>(Real_Sales[[#This Row],[Price_retail]]-Real_Sales[[#This Row],[Price_current]])/Real_Sales[[#This Row],[Price_retail]]</f>
        <v>0</v>
      </c>
      <c r="W727" s="3" t="str" cm="1">
        <f t="array" ref="W72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7" s="2" t="str">
        <f>IF(Real_Sales[[#This Row],[Price_retail]]&gt;$AC$3,"Premium","Average")</f>
        <v>Premium</v>
      </c>
      <c r="Y727" s="2" t="str">
        <f>IF(ISNUMBER(SEARCH("Basic",Real_Sales[[#This Row],[Product_name]])),"Yes","No")</f>
        <v>No</v>
      </c>
      <c r="Z727" s="2" cm="1">
        <f t="array" ref="Z727">_xlfn.IFS(Real_Sales[[#This Row],[Price_retail]]&lt;=15,1, Real_Sales[[#This Row],[Price_retail]]&lt;=30,2, Real_Sales[[#This Row],[Price_retail]]&lt;=50,3,Real_Sales[[#This Row],[Price_retail]]&gt;50,4)</f>
        <v>2</v>
      </c>
    </row>
    <row r="728" spans="1:26" x14ac:dyDescent="0.35">
      <c r="A728" s="2" t="s">
        <v>1235</v>
      </c>
      <c r="B728" s="2" t="s">
        <v>1236</v>
      </c>
      <c r="C728" s="2" t="s">
        <v>1237</v>
      </c>
      <c r="D728" s="2" t="s">
        <v>1238</v>
      </c>
      <c r="E728" s="2" t="s">
        <v>4</v>
      </c>
      <c r="F728" s="2" t="s">
        <v>5</v>
      </c>
      <c r="G728" s="2" t="s">
        <v>82</v>
      </c>
      <c r="H728" s="2" t="s">
        <v>168</v>
      </c>
      <c r="I728" s="2" t="s">
        <v>3393</v>
      </c>
      <c r="J728" s="3">
        <v>23.73</v>
      </c>
      <c r="K728" s="3">
        <v>23.73</v>
      </c>
      <c r="L728" s="2" t="s">
        <v>3391</v>
      </c>
      <c r="M728" s="2" t="s">
        <v>9</v>
      </c>
      <c r="N728" s="3">
        <v>232</v>
      </c>
      <c r="O728" s="2" t="s">
        <v>43</v>
      </c>
      <c r="P728" s="2" t="s">
        <v>221</v>
      </c>
      <c r="Q728" s="3"/>
      <c r="R728" s="3"/>
      <c r="S728" s="2" t="s">
        <v>21</v>
      </c>
      <c r="T728" s="4">
        <v>44955</v>
      </c>
      <c r="U728" s="2" t="s">
        <v>1239</v>
      </c>
      <c r="V728" s="6">
        <f>(Real_Sales[[#This Row],[Price_retail]]-Real_Sales[[#This Row],[Price_current]])/Real_Sales[[#This Row],[Price_retail]]</f>
        <v>0</v>
      </c>
      <c r="W728" s="3" t="str" cm="1">
        <f t="array" ref="W72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28" s="2" t="str">
        <f>IF(Real_Sales[[#This Row],[Price_retail]]&gt;$AC$3,"Premium","Average")</f>
        <v>Premium</v>
      </c>
      <c r="Y728" s="2" t="str">
        <f>IF(ISNUMBER(SEARCH("Basic",Real_Sales[[#This Row],[Product_name]])),"Yes","No")</f>
        <v>No</v>
      </c>
      <c r="Z728" s="2" cm="1">
        <f t="array" ref="Z728">_xlfn.IFS(Real_Sales[[#This Row],[Price_retail]]&lt;=15,1, Real_Sales[[#This Row],[Price_retail]]&lt;=30,2, Real_Sales[[#This Row],[Price_retail]]&lt;=50,3,Real_Sales[[#This Row],[Price_retail]]&gt;50,4)</f>
        <v>2</v>
      </c>
    </row>
    <row r="729" spans="1:26" x14ac:dyDescent="0.35">
      <c r="A729" s="2" t="s">
        <v>269</v>
      </c>
      <c r="B729" s="2" t="s">
        <v>270</v>
      </c>
      <c r="C729" s="2" t="s">
        <v>271</v>
      </c>
      <c r="D729" s="2" t="s">
        <v>272</v>
      </c>
      <c r="E729" s="2" t="s">
        <v>4</v>
      </c>
      <c r="F729" s="2" t="s">
        <v>5</v>
      </c>
      <c r="G729" s="2" t="s">
        <v>82</v>
      </c>
      <c r="H729" s="2" t="s">
        <v>51</v>
      </c>
      <c r="I729" s="2" t="s">
        <v>3393</v>
      </c>
      <c r="J729" s="3">
        <v>23.86</v>
      </c>
      <c r="K729" s="3">
        <v>20.64</v>
      </c>
      <c r="L729" s="2" t="s">
        <v>8</v>
      </c>
      <c r="M729" s="2" t="s">
        <v>9</v>
      </c>
      <c r="N729" s="3">
        <v>454</v>
      </c>
      <c r="O729" s="2" t="s">
        <v>36</v>
      </c>
      <c r="P729" s="2" t="s">
        <v>177</v>
      </c>
      <c r="Q729" s="3"/>
      <c r="R729" s="3"/>
      <c r="S729" s="2" t="s">
        <v>21</v>
      </c>
      <c r="T729" s="4">
        <v>44955</v>
      </c>
      <c r="U729" s="2" t="s">
        <v>273</v>
      </c>
      <c r="V729" s="6">
        <f>(Real_Sales[[#This Row],[Price_retail]]-Real_Sales[[#This Row],[Price_current]])/Real_Sales[[#This Row],[Price_retail]]</f>
        <v>0.13495389773679795</v>
      </c>
      <c r="W729" s="3" t="str" cm="1">
        <f t="array" ref="W72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729" s="2" t="str">
        <f>IF(Real_Sales[[#This Row],[Price_retail]]&gt;$AC$3,"Premium","Average")</f>
        <v>Premium</v>
      </c>
      <c r="Y729" s="2" t="str">
        <f>IF(ISNUMBER(SEARCH("Basic",Real_Sales[[#This Row],[Product_name]])),"Yes","No")</f>
        <v>No</v>
      </c>
      <c r="Z729" s="2" cm="1">
        <f t="array" ref="Z729">_xlfn.IFS(Real_Sales[[#This Row],[Price_retail]]&lt;=15,1, Real_Sales[[#This Row],[Price_retail]]&lt;=30,2, Real_Sales[[#This Row],[Price_retail]]&lt;=50,3,Real_Sales[[#This Row],[Price_retail]]&gt;50,4)</f>
        <v>2</v>
      </c>
    </row>
    <row r="730" spans="1:26" x14ac:dyDescent="0.35">
      <c r="A730" s="2" t="s">
        <v>1718</v>
      </c>
      <c r="B730" s="2" t="s">
        <v>1719</v>
      </c>
      <c r="C730" s="2" t="s">
        <v>242</v>
      </c>
      <c r="D730" s="2" t="s">
        <v>392</v>
      </c>
      <c r="E730" s="2" t="s">
        <v>4</v>
      </c>
      <c r="F730" s="2" t="s">
        <v>17</v>
      </c>
      <c r="G730" s="2" t="s">
        <v>50</v>
      </c>
      <c r="H730" s="2" t="s">
        <v>19</v>
      </c>
      <c r="I730" s="2" t="s">
        <v>3393</v>
      </c>
      <c r="J730" s="3">
        <v>23.89</v>
      </c>
      <c r="K730" s="3">
        <v>23.89</v>
      </c>
      <c r="L730" s="2" t="s">
        <v>3391</v>
      </c>
      <c r="M730" s="2" t="s">
        <v>9</v>
      </c>
      <c r="N730" s="3">
        <v>23</v>
      </c>
      <c r="O730" s="2" t="s">
        <v>60</v>
      </c>
      <c r="P730" s="2" t="s">
        <v>44</v>
      </c>
      <c r="Q730" s="3"/>
      <c r="R730" s="3"/>
      <c r="S730" s="2" t="s">
        <v>21</v>
      </c>
      <c r="T730" s="4">
        <v>44955</v>
      </c>
      <c r="U730" s="2" t="s">
        <v>1720</v>
      </c>
      <c r="V730" s="6">
        <f>(Real_Sales[[#This Row],[Price_retail]]-Real_Sales[[#This Row],[Price_current]])/Real_Sales[[#This Row],[Price_retail]]</f>
        <v>0</v>
      </c>
      <c r="W730" s="3" t="str" cm="1">
        <f t="array" ref="W7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0" s="2" t="str">
        <f>IF(Real_Sales[[#This Row],[Price_retail]]&gt;$AC$3,"Premium","Average")</f>
        <v>Premium</v>
      </c>
      <c r="Y730" s="2" t="str">
        <f>IF(ISNUMBER(SEARCH("Basic",Real_Sales[[#This Row],[Product_name]])),"Yes","No")</f>
        <v>No</v>
      </c>
      <c r="Z730" s="2" cm="1">
        <f t="array" ref="Z730">_xlfn.IFS(Real_Sales[[#This Row],[Price_retail]]&lt;=15,1, Real_Sales[[#This Row],[Price_retail]]&lt;=30,2, Real_Sales[[#This Row],[Price_retail]]&lt;=50,3,Real_Sales[[#This Row],[Price_retail]]&gt;50,4)</f>
        <v>2</v>
      </c>
    </row>
    <row r="731" spans="1:26" x14ac:dyDescent="0.35">
      <c r="A731" s="2" t="s">
        <v>840</v>
      </c>
      <c r="B731" s="2" t="s">
        <v>841</v>
      </c>
      <c r="C731" s="2" t="s">
        <v>565</v>
      </c>
      <c r="D731" s="2" t="s">
        <v>842</v>
      </c>
      <c r="E731" s="2" t="s">
        <v>4</v>
      </c>
      <c r="F731" s="2" t="s">
        <v>5</v>
      </c>
      <c r="G731" s="2" t="s">
        <v>6</v>
      </c>
      <c r="H731" s="2" t="s">
        <v>7</v>
      </c>
      <c r="I731" s="2" t="s">
        <v>3395</v>
      </c>
      <c r="J731" s="3">
        <v>23.9</v>
      </c>
      <c r="K731" s="3">
        <v>23.9</v>
      </c>
      <c r="L731" s="2" t="s">
        <v>3391</v>
      </c>
      <c r="M731" s="2" t="s">
        <v>9</v>
      </c>
      <c r="N731" s="3">
        <v>993</v>
      </c>
      <c r="O731" s="2" t="s">
        <v>191</v>
      </c>
      <c r="P731" s="2" t="s">
        <v>843</v>
      </c>
      <c r="Q731" s="3"/>
      <c r="R731" s="3"/>
      <c r="S731" s="2" t="s">
        <v>12</v>
      </c>
      <c r="T731" s="4">
        <v>44955</v>
      </c>
      <c r="U731" s="2" t="s">
        <v>844</v>
      </c>
      <c r="V731" s="6">
        <f>(Real_Sales[[#This Row],[Price_retail]]-Real_Sales[[#This Row],[Price_current]])/Real_Sales[[#This Row],[Price_retail]]</f>
        <v>0</v>
      </c>
      <c r="W731" s="3" t="str" cm="1">
        <f t="array" ref="W73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1" s="2" t="str">
        <f>IF(Real_Sales[[#This Row],[Price_retail]]&gt;$AC$3,"Premium","Average")</f>
        <v>Premium</v>
      </c>
      <c r="Y731" s="2" t="str">
        <f>IF(ISNUMBER(SEARCH("Basic",Real_Sales[[#This Row],[Product_name]])),"Yes","No")</f>
        <v>No</v>
      </c>
      <c r="Z731" s="2" cm="1">
        <f t="array" ref="Z731">_xlfn.IFS(Real_Sales[[#This Row],[Price_retail]]&lt;=15,1, Real_Sales[[#This Row],[Price_retail]]&lt;=30,2, Real_Sales[[#This Row],[Price_retail]]&lt;=50,3,Real_Sales[[#This Row],[Price_retail]]&gt;50,4)</f>
        <v>2</v>
      </c>
    </row>
    <row r="732" spans="1:26" x14ac:dyDescent="0.35">
      <c r="A732" s="2" t="s">
        <v>1457</v>
      </c>
      <c r="B732" s="2" t="s">
        <v>1458</v>
      </c>
      <c r="C732" s="2" t="s">
        <v>242</v>
      </c>
      <c r="D732" s="2" t="s">
        <v>342</v>
      </c>
      <c r="E732" s="2" t="s">
        <v>4</v>
      </c>
      <c r="F732" s="2" t="s">
        <v>17</v>
      </c>
      <c r="G732" s="2" t="s">
        <v>18</v>
      </c>
      <c r="H732" s="2" t="s">
        <v>237</v>
      </c>
      <c r="I732" s="2" t="s">
        <v>3395</v>
      </c>
      <c r="J732" s="3">
        <v>23.92</v>
      </c>
      <c r="K732" s="3">
        <v>23.92</v>
      </c>
      <c r="L732" s="2" t="s">
        <v>3391</v>
      </c>
      <c r="M732" s="2" t="s">
        <v>9</v>
      </c>
      <c r="N732" s="3">
        <v>426</v>
      </c>
      <c r="O732" s="2" t="s">
        <v>20</v>
      </c>
      <c r="P732" s="2" t="s">
        <v>186</v>
      </c>
      <c r="Q732" s="3"/>
      <c r="R732" s="3"/>
      <c r="S732" s="2" t="s">
        <v>21</v>
      </c>
      <c r="T732" s="4">
        <v>44955</v>
      </c>
      <c r="U732" s="2" t="s">
        <v>1459</v>
      </c>
      <c r="V732" s="6">
        <f>(Real_Sales[[#This Row],[Price_retail]]-Real_Sales[[#This Row],[Price_current]])/Real_Sales[[#This Row],[Price_retail]]</f>
        <v>0</v>
      </c>
      <c r="W732" s="3" t="str" cm="1">
        <f t="array" ref="W73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2" s="2" t="str">
        <f>IF(Real_Sales[[#This Row],[Price_retail]]&gt;$AC$3,"Premium","Average")</f>
        <v>Premium</v>
      </c>
      <c r="Y732" s="2" t="str">
        <f>IF(ISNUMBER(SEARCH("Basic",Real_Sales[[#This Row],[Product_name]])),"Yes","No")</f>
        <v>No</v>
      </c>
      <c r="Z732" s="2" cm="1">
        <f t="array" ref="Z732">_xlfn.IFS(Real_Sales[[#This Row],[Price_retail]]&lt;=15,1, Real_Sales[[#This Row],[Price_retail]]&lt;=30,2, Real_Sales[[#This Row],[Price_retail]]&lt;=50,3,Real_Sales[[#This Row],[Price_retail]]&gt;50,4)</f>
        <v>2</v>
      </c>
    </row>
    <row r="733" spans="1:26" x14ac:dyDescent="0.35">
      <c r="A733" s="2" t="s">
        <v>2792</v>
      </c>
      <c r="B733" s="2" t="s">
        <v>2793</v>
      </c>
      <c r="C733" s="2" t="s">
        <v>1421</v>
      </c>
      <c r="D733" s="2" t="s">
        <v>537</v>
      </c>
      <c r="E733" s="2" t="s">
        <v>4</v>
      </c>
      <c r="F733" s="2" t="s">
        <v>5</v>
      </c>
      <c r="G733" s="2" t="s">
        <v>121</v>
      </c>
      <c r="H733" s="2" t="s">
        <v>145</v>
      </c>
      <c r="I733" s="2" t="s">
        <v>3390</v>
      </c>
      <c r="J733" s="3">
        <v>23.93</v>
      </c>
      <c r="K733" s="3">
        <v>23.93</v>
      </c>
      <c r="L733" s="2" t="s">
        <v>3391</v>
      </c>
      <c r="M733" s="2" t="s">
        <v>9</v>
      </c>
      <c r="N733" s="3">
        <v>213</v>
      </c>
      <c r="O733" s="2" t="s">
        <v>75</v>
      </c>
      <c r="P733" s="2" t="s">
        <v>3392</v>
      </c>
      <c r="Q733" s="3"/>
      <c r="R733" s="3"/>
      <c r="S733" s="2" t="s">
        <v>12</v>
      </c>
      <c r="T733" s="4">
        <v>44955</v>
      </c>
      <c r="U733" s="2" t="s">
        <v>2794</v>
      </c>
      <c r="V733" s="6">
        <f>(Real_Sales[[#This Row],[Price_retail]]-Real_Sales[[#This Row],[Price_current]])/Real_Sales[[#This Row],[Price_retail]]</f>
        <v>0</v>
      </c>
      <c r="W733" s="3" t="str" cm="1">
        <f t="array" ref="W7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3" s="2" t="str">
        <f>IF(Real_Sales[[#This Row],[Price_retail]]&gt;$AC$3,"Premium","Average")</f>
        <v>Premium</v>
      </c>
      <c r="Y733" s="2" t="str">
        <f>IF(ISNUMBER(SEARCH("Basic",Real_Sales[[#This Row],[Product_name]])),"Yes","No")</f>
        <v>No</v>
      </c>
      <c r="Z733" s="2" cm="1">
        <f t="array" ref="Z733">_xlfn.IFS(Real_Sales[[#This Row],[Price_retail]]&lt;=15,1, Real_Sales[[#This Row],[Price_retail]]&lt;=30,2, Real_Sales[[#This Row],[Price_retail]]&lt;=50,3,Real_Sales[[#This Row],[Price_retail]]&gt;50,4)</f>
        <v>2</v>
      </c>
    </row>
    <row r="734" spans="1:26" x14ac:dyDescent="0.35">
      <c r="A734" s="2" t="s">
        <v>2680</v>
      </c>
      <c r="B734" s="2" t="s">
        <v>2681</v>
      </c>
      <c r="C734" s="2" t="s">
        <v>25</v>
      </c>
      <c r="D734" s="2" t="s">
        <v>725</v>
      </c>
      <c r="E734" s="2" t="s">
        <v>4</v>
      </c>
      <c r="F734" s="2" t="s">
        <v>17</v>
      </c>
      <c r="G734" s="2" t="s">
        <v>27</v>
      </c>
      <c r="H734" s="2" t="s">
        <v>110</v>
      </c>
      <c r="I734" s="2" t="s">
        <v>3395</v>
      </c>
      <c r="J734" s="3">
        <v>24.08</v>
      </c>
      <c r="K734" s="3">
        <v>24.08</v>
      </c>
      <c r="L734" s="2" t="s">
        <v>3391</v>
      </c>
      <c r="M734" s="2" t="s">
        <v>9</v>
      </c>
      <c r="N734" s="3">
        <v>198</v>
      </c>
      <c r="O734" s="2" t="s">
        <v>664</v>
      </c>
      <c r="P734" s="2" t="s">
        <v>3392</v>
      </c>
      <c r="Q734" s="3"/>
      <c r="R734" s="3"/>
      <c r="S734" s="2" t="s">
        <v>21</v>
      </c>
      <c r="T734" s="4">
        <v>44955</v>
      </c>
      <c r="U734" s="2" t="s">
        <v>2682</v>
      </c>
      <c r="V734" s="6">
        <f>(Real_Sales[[#This Row],[Price_retail]]-Real_Sales[[#This Row],[Price_current]])/Real_Sales[[#This Row],[Price_retail]]</f>
        <v>0</v>
      </c>
      <c r="W734" s="3" t="str" cm="1">
        <f t="array" ref="W7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4" s="2" t="str">
        <f>IF(Real_Sales[[#This Row],[Price_retail]]&gt;$AC$3,"Premium","Average")</f>
        <v>Premium</v>
      </c>
      <c r="Y734" s="2" t="str">
        <f>IF(ISNUMBER(SEARCH("Basic",Real_Sales[[#This Row],[Product_name]])),"Yes","No")</f>
        <v>Yes</v>
      </c>
      <c r="Z734" s="2" cm="1">
        <f t="array" ref="Z734">_xlfn.IFS(Real_Sales[[#This Row],[Price_retail]]&lt;=15,1, Real_Sales[[#This Row],[Price_retail]]&lt;=30,2, Real_Sales[[#This Row],[Price_retail]]&lt;=50,3,Real_Sales[[#This Row],[Price_retail]]&gt;50,4)</f>
        <v>2</v>
      </c>
    </row>
    <row r="735" spans="1:26" x14ac:dyDescent="0.35">
      <c r="A735" s="2" t="s">
        <v>2926</v>
      </c>
      <c r="B735" s="2" t="s">
        <v>2927</v>
      </c>
      <c r="C735" s="2" t="s">
        <v>3394</v>
      </c>
      <c r="D735" s="2" t="s">
        <v>465</v>
      </c>
      <c r="E735" s="2" t="s">
        <v>4</v>
      </c>
      <c r="F735" s="2" t="s">
        <v>17</v>
      </c>
      <c r="G735" s="2" t="s">
        <v>50</v>
      </c>
      <c r="H735" s="2" t="s">
        <v>139</v>
      </c>
      <c r="I735" s="2" t="s">
        <v>3395</v>
      </c>
      <c r="J735" s="3">
        <v>24.11</v>
      </c>
      <c r="K735" s="3">
        <v>18.25</v>
      </c>
      <c r="L735" s="2" t="s">
        <v>8</v>
      </c>
      <c r="M735" s="2" t="s">
        <v>9</v>
      </c>
      <c r="N735" s="3">
        <v>825</v>
      </c>
      <c r="O735" s="2" t="s">
        <v>98</v>
      </c>
      <c r="P735" s="2" t="s">
        <v>37</v>
      </c>
      <c r="Q735" s="3"/>
      <c r="R735" s="3"/>
      <c r="S735" s="2" t="s">
        <v>21</v>
      </c>
      <c r="T735" s="4">
        <v>44955</v>
      </c>
      <c r="U735" s="2" t="s">
        <v>2928</v>
      </c>
      <c r="V735" s="6">
        <f>(Real_Sales[[#This Row],[Price_retail]]-Real_Sales[[#This Row],[Price_current]])/Real_Sales[[#This Row],[Price_retail]]</f>
        <v>0.24305267523849022</v>
      </c>
      <c r="W735" s="3" t="str" cm="1">
        <f t="array" ref="W73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35" s="2" t="str">
        <f>IF(Real_Sales[[#This Row],[Price_retail]]&gt;$AC$3,"Premium","Average")</f>
        <v>Premium</v>
      </c>
      <c r="Y735" s="2" t="str">
        <f>IF(ISNUMBER(SEARCH("Basic",Real_Sales[[#This Row],[Product_name]])),"Yes","No")</f>
        <v>Yes</v>
      </c>
      <c r="Z735" s="2" cm="1">
        <f t="array" ref="Z735">_xlfn.IFS(Real_Sales[[#This Row],[Price_retail]]&lt;=15,1, Real_Sales[[#This Row],[Price_retail]]&lt;=30,2, Real_Sales[[#This Row],[Price_retail]]&lt;=50,3,Real_Sales[[#This Row],[Price_retail]]&gt;50,4)</f>
        <v>2</v>
      </c>
    </row>
    <row r="736" spans="1:26" x14ac:dyDescent="0.35">
      <c r="A736" s="2" t="s">
        <v>2014</v>
      </c>
      <c r="B736" s="2" t="s">
        <v>2015</v>
      </c>
      <c r="C736" s="2" t="s">
        <v>703</v>
      </c>
      <c r="D736" s="2" t="s">
        <v>3</v>
      </c>
      <c r="E736" s="2" t="s">
        <v>4</v>
      </c>
      <c r="F736" s="2" t="s">
        <v>5</v>
      </c>
      <c r="G736" s="2" t="s">
        <v>121</v>
      </c>
      <c r="H736" s="2" t="s">
        <v>7</v>
      </c>
      <c r="I736" s="2" t="s">
        <v>3395</v>
      </c>
      <c r="J736" s="3">
        <v>24.15</v>
      </c>
      <c r="K736" s="3">
        <v>24.15</v>
      </c>
      <c r="L736" s="2" t="s">
        <v>3391</v>
      </c>
      <c r="M736" s="2" t="s">
        <v>9</v>
      </c>
      <c r="N736" s="3">
        <v>738</v>
      </c>
      <c r="O736" s="2" t="s">
        <v>29</v>
      </c>
      <c r="P736" s="2" t="s">
        <v>186</v>
      </c>
      <c r="Q736" s="3"/>
      <c r="R736" s="3"/>
      <c r="S736" s="2" t="s">
        <v>21</v>
      </c>
      <c r="T736" s="4">
        <v>44955</v>
      </c>
      <c r="U736" s="2" t="s">
        <v>2016</v>
      </c>
      <c r="V736" s="6">
        <f>(Real_Sales[[#This Row],[Price_retail]]-Real_Sales[[#This Row],[Price_current]])/Real_Sales[[#This Row],[Price_retail]]</f>
        <v>0</v>
      </c>
      <c r="W736" s="3" t="str" cm="1">
        <f t="array" ref="W7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6" s="2" t="str">
        <f>IF(Real_Sales[[#This Row],[Price_retail]]&gt;$AC$3,"Premium","Average")</f>
        <v>Premium</v>
      </c>
      <c r="Y736" s="2" t="str">
        <f>IF(ISNUMBER(SEARCH("Basic",Real_Sales[[#This Row],[Product_name]])),"Yes","No")</f>
        <v>No</v>
      </c>
      <c r="Z736" s="2" cm="1">
        <f t="array" ref="Z736">_xlfn.IFS(Real_Sales[[#This Row],[Price_retail]]&lt;=15,1, Real_Sales[[#This Row],[Price_retail]]&lt;=30,2, Real_Sales[[#This Row],[Price_retail]]&lt;=50,3,Real_Sales[[#This Row],[Price_retail]]&gt;50,4)</f>
        <v>2</v>
      </c>
    </row>
    <row r="737" spans="1:26" x14ac:dyDescent="0.35">
      <c r="A737" s="2" t="s">
        <v>2404</v>
      </c>
      <c r="B737" s="2" t="s">
        <v>2405</v>
      </c>
      <c r="C737" s="2" t="s">
        <v>1425</v>
      </c>
      <c r="D737" s="2" t="s">
        <v>734</v>
      </c>
      <c r="E737" s="2" t="s">
        <v>4</v>
      </c>
      <c r="F737" s="2" t="s">
        <v>5</v>
      </c>
      <c r="G737" s="2" t="s">
        <v>82</v>
      </c>
      <c r="H737" s="2" t="s">
        <v>19</v>
      </c>
      <c r="I737" s="2" t="s">
        <v>3395</v>
      </c>
      <c r="J737" s="3">
        <v>24.2</v>
      </c>
      <c r="K737" s="3">
        <v>13.11</v>
      </c>
      <c r="L737" s="2" t="s">
        <v>8</v>
      </c>
      <c r="M737" s="2" t="s">
        <v>9</v>
      </c>
      <c r="N737" s="3">
        <v>69</v>
      </c>
      <c r="O737" s="2" t="s">
        <v>36</v>
      </c>
      <c r="P737" s="2" t="s">
        <v>44</v>
      </c>
      <c r="Q737" s="3"/>
      <c r="R737" s="3"/>
      <c r="S737" s="2" t="s">
        <v>21</v>
      </c>
      <c r="T737" s="4">
        <v>44955</v>
      </c>
      <c r="U737" s="2" t="s">
        <v>2406</v>
      </c>
      <c r="V737" s="6">
        <f>(Real_Sales[[#This Row],[Price_retail]]-Real_Sales[[#This Row],[Price_current]])/Real_Sales[[#This Row],[Price_retail]]</f>
        <v>0.45826446280991734</v>
      </c>
      <c r="W737" s="3" t="str" cm="1">
        <f t="array" ref="W7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37" s="2" t="str">
        <f>IF(Real_Sales[[#This Row],[Price_retail]]&gt;$AC$3,"Premium","Average")</f>
        <v>Premium</v>
      </c>
      <c r="Y737" s="2" t="str">
        <f>IF(ISNUMBER(SEARCH("Basic",Real_Sales[[#This Row],[Product_name]])),"Yes","No")</f>
        <v>No</v>
      </c>
      <c r="Z737" s="2" cm="1">
        <f t="array" ref="Z737">_xlfn.IFS(Real_Sales[[#This Row],[Price_retail]]&lt;=15,1, Real_Sales[[#This Row],[Price_retail]]&lt;=30,2, Real_Sales[[#This Row],[Price_retail]]&lt;=50,3,Real_Sales[[#This Row],[Price_retail]]&gt;50,4)</f>
        <v>2</v>
      </c>
    </row>
    <row r="738" spans="1:26" x14ac:dyDescent="0.35">
      <c r="A738" s="2" t="s">
        <v>3053</v>
      </c>
      <c r="B738" s="2" t="s">
        <v>3054</v>
      </c>
      <c r="C738" s="2" t="s">
        <v>65</v>
      </c>
      <c r="D738" s="2" t="s">
        <v>734</v>
      </c>
      <c r="E738" s="2" t="s">
        <v>4</v>
      </c>
      <c r="F738" s="2" t="s">
        <v>5</v>
      </c>
      <c r="G738" s="2" t="s">
        <v>121</v>
      </c>
      <c r="H738" s="2" t="s">
        <v>19</v>
      </c>
      <c r="I738" s="2" t="s">
        <v>3393</v>
      </c>
      <c r="J738" s="3">
        <v>24.23</v>
      </c>
      <c r="K738" s="3">
        <v>20.75</v>
      </c>
      <c r="L738" s="2" t="s">
        <v>8</v>
      </c>
      <c r="M738" s="2" t="s">
        <v>9</v>
      </c>
      <c r="N738" s="3">
        <v>874</v>
      </c>
      <c r="O738" s="2" t="s">
        <v>261</v>
      </c>
      <c r="P738" s="2" t="s">
        <v>283</v>
      </c>
      <c r="Q738" s="3"/>
      <c r="R738" s="3"/>
      <c r="S738" s="2" t="s">
        <v>21</v>
      </c>
      <c r="T738" s="4">
        <v>44955</v>
      </c>
      <c r="U738" s="2" t="s">
        <v>3055</v>
      </c>
      <c r="V738" s="6">
        <f>(Real_Sales[[#This Row],[Price_retail]]-Real_Sales[[#This Row],[Price_current]])/Real_Sales[[#This Row],[Price_retail]]</f>
        <v>0.14362360709863806</v>
      </c>
      <c r="W738" s="3" t="str" cm="1">
        <f t="array" ref="W738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738" s="2" t="str">
        <f>IF(Real_Sales[[#This Row],[Price_retail]]&gt;$AC$3,"Premium","Average")</f>
        <v>Premium</v>
      </c>
      <c r="Y738" s="2" t="str">
        <f>IF(ISNUMBER(SEARCH("Basic",Real_Sales[[#This Row],[Product_name]])),"Yes","No")</f>
        <v>No</v>
      </c>
      <c r="Z738" s="2" cm="1">
        <f t="array" ref="Z738">_xlfn.IFS(Real_Sales[[#This Row],[Price_retail]]&lt;=15,1, Real_Sales[[#This Row],[Price_retail]]&lt;=30,2, Real_Sales[[#This Row],[Price_retail]]&lt;=50,3,Real_Sales[[#This Row],[Price_retail]]&gt;50,4)</f>
        <v>2</v>
      </c>
    </row>
    <row r="739" spans="1:26" x14ac:dyDescent="0.35">
      <c r="A739" s="2" t="s">
        <v>1765</v>
      </c>
      <c r="B739" s="2" t="s">
        <v>1766</v>
      </c>
      <c r="C739" s="2" t="s">
        <v>1425</v>
      </c>
      <c r="D739" s="2" t="s">
        <v>247</v>
      </c>
      <c r="E739" s="2" t="s">
        <v>4</v>
      </c>
      <c r="F739" s="2" t="s">
        <v>17</v>
      </c>
      <c r="G739" s="2" t="s">
        <v>67</v>
      </c>
      <c r="H739" s="2" t="s">
        <v>68</v>
      </c>
      <c r="I739" s="2" t="s">
        <v>3390</v>
      </c>
      <c r="J739" s="3">
        <v>24.24</v>
      </c>
      <c r="K739" s="3">
        <v>24.24</v>
      </c>
      <c r="L739" s="2" t="s">
        <v>3391</v>
      </c>
      <c r="M739" s="2" t="s">
        <v>9</v>
      </c>
      <c r="N739" s="3">
        <v>747</v>
      </c>
      <c r="O739" s="2" t="s">
        <v>347</v>
      </c>
      <c r="P739" s="2" t="s">
        <v>44</v>
      </c>
      <c r="Q739" s="3"/>
      <c r="R739" s="3"/>
      <c r="S739" s="2" t="s">
        <v>12</v>
      </c>
      <c r="T739" s="4">
        <v>44955</v>
      </c>
      <c r="U739" s="2" t="s">
        <v>1767</v>
      </c>
      <c r="V739" s="6">
        <f>(Real_Sales[[#This Row],[Price_retail]]-Real_Sales[[#This Row],[Price_current]])/Real_Sales[[#This Row],[Price_retail]]</f>
        <v>0</v>
      </c>
      <c r="W739" s="3" t="str" cm="1">
        <f t="array" ref="W7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39" s="2" t="str">
        <f>IF(Real_Sales[[#This Row],[Price_retail]]&gt;$AC$3,"Premium","Average")</f>
        <v>Premium</v>
      </c>
      <c r="Y739" s="2" t="str">
        <f>IF(ISNUMBER(SEARCH("Basic",Real_Sales[[#This Row],[Product_name]])),"Yes","No")</f>
        <v>No</v>
      </c>
      <c r="Z739" s="2" cm="1">
        <f t="array" ref="Z739">_xlfn.IFS(Real_Sales[[#This Row],[Price_retail]]&lt;=15,1, Real_Sales[[#This Row],[Price_retail]]&lt;=30,2, Real_Sales[[#This Row],[Price_retail]]&lt;=50,3,Real_Sales[[#This Row],[Price_retail]]&gt;50,4)</f>
        <v>2</v>
      </c>
    </row>
    <row r="740" spans="1:26" x14ac:dyDescent="0.35">
      <c r="A740" s="2" t="s">
        <v>2674</v>
      </c>
      <c r="B740" s="2" t="s">
        <v>2675</v>
      </c>
      <c r="C740" s="2" t="s">
        <v>1615</v>
      </c>
      <c r="D740" s="2" t="s">
        <v>1680</v>
      </c>
      <c r="E740" s="2" t="s">
        <v>4</v>
      </c>
      <c r="F740" s="2" t="s">
        <v>5</v>
      </c>
      <c r="G740" s="2" t="s">
        <v>6</v>
      </c>
      <c r="H740" s="2" t="s">
        <v>51</v>
      </c>
      <c r="I740" s="2" t="s">
        <v>3390</v>
      </c>
      <c r="J740" s="3">
        <v>24.26</v>
      </c>
      <c r="K740" s="3">
        <v>12.91</v>
      </c>
      <c r="L740" s="2" t="s">
        <v>8</v>
      </c>
      <c r="M740" s="2" t="s">
        <v>9</v>
      </c>
      <c r="N740" s="3">
        <v>407</v>
      </c>
      <c r="O740" s="2" t="s">
        <v>43</v>
      </c>
      <c r="P740" s="2" t="s">
        <v>84</v>
      </c>
      <c r="Q740" s="3"/>
      <c r="R740" s="3"/>
      <c r="S740" s="2" t="s">
        <v>12</v>
      </c>
      <c r="T740" s="4">
        <v>44955</v>
      </c>
      <c r="U740" s="2" t="s">
        <v>2676</v>
      </c>
      <c r="V740" s="6">
        <f>(Real_Sales[[#This Row],[Price_retail]]-Real_Sales[[#This Row],[Price_current]])/Real_Sales[[#This Row],[Price_retail]]</f>
        <v>0.46784830997526794</v>
      </c>
      <c r="W740" s="3" t="str" cm="1">
        <f t="array" ref="W74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40" s="2" t="str">
        <f>IF(Real_Sales[[#This Row],[Price_retail]]&gt;$AC$3,"Premium","Average")</f>
        <v>Premium</v>
      </c>
      <c r="Y740" s="2" t="str">
        <f>IF(ISNUMBER(SEARCH("Basic",Real_Sales[[#This Row],[Product_name]])),"Yes","No")</f>
        <v>No</v>
      </c>
      <c r="Z740" s="2" cm="1">
        <f t="array" ref="Z740">_xlfn.IFS(Real_Sales[[#This Row],[Price_retail]]&lt;=15,1, Real_Sales[[#This Row],[Price_retail]]&lt;=30,2, Real_Sales[[#This Row],[Price_retail]]&lt;=50,3,Real_Sales[[#This Row],[Price_retail]]&gt;50,4)</f>
        <v>2</v>
      </c>
    </row>
    <row r="741" spans="1:26" x14ac:dyDescent="0.35">
      <c r="A741" s="2" t="s">
        <v>555</v>
      </c>
      <c r="B741" s="2" t="s">
        <v>556</v>
      </c>
      <c r="C741" s="2" t="s">
        <v>65</v>
      </c>
      <c r="D741" s="2" t="s">
        <v>557</v>
      </c>
      <c r="E741" s="2" t="s">
        <v>4</v>
      </c>
      <c r="F741" s="2" t="s">
        <v>5</v>
      </c>
      <c r="G741" s="2" t="s">
        <v>82</v>
      </c>
      <c r="H741" s="2" t="s">
        <v>28</v>
      </c>
      <c r="I741" s="2" t="s">
        <v>3393</v>
      </c>
      <c r="J741" s="3">
        <v>24.31</v>
      </c>
      <c r="K741" s="3">
        <v>24.31</v>
      </c>
      <c r="L741" s="2" t="s">
        <v>3391</v>
      </c>
      <c r="M741" s="2" t="s">
        <v>9</v>
      </c>
      <c r="N741" s="3">
        <v>827</v>
      </c>
      <c r="O741" s="2" t="s">
        <v>20</v>
      </c>
      <c r="P741" s="2" t="s">
        <v>70</v>
      </c>
      <c r="Q741" s="3"/>
      <c r="R741" s="3"/>
      <c r="S741" s="2" t="s">
        <v>21</v>
      </c>
      <c r="T741" s="4">
        <v>44955</v>
      </c>
      <c r="U741" s="2" t="s">
        <v>558</v>
      </c>
      <c r="V741" s="6">
        <f>(Real_Sales[[#This Row],[Price_retail]]-Real_Sales[[#This Row],[Price_current]])/Real_Sales[[#This Row],[Price_retail]]</f>
        <v>0</v>
      </c>
      <c r="W741" s="3" t="str" cm="1">
        <f t="array" ref="W74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1" s="2" t="str">
        <f>IF(Real_Sales[[#This Row],[Price_retail]]&gt;$AC$3,"Premium","Average")</f>
        <v>Premium</v>
      </c>
      <c r="Y741" s="2" t="str">
        <f>IF(ISNUMBER(SEARCH("Basic",Real_Sales[[#This Row],[Product_name]])),"Yes","No")</f>
        <v>No</v>
      </c>
      <c r="Z741" s="2" cm="1">
        <f t="array" ref="Z741">_xlfn.IFS(Real_Sales[[#This Row],[Price_retail]]&lt;=15,1, Real_Sales[[#This Row],[Price_retail]]&lt;=30,2, Real_Sales[[#This Row],[Price_retail]]&lt;=50,3,Real_Sales[[#This Row],[Price_retail]]&gt;50,4)</f>
        <v>2</v>
      </c>
    </row>
    <row r="742" spans="1:26" x14ac:dyDescent="0.35">
      <c r="A742" s="2" t="s">
        <v>1557</v>
      </c>
      <c r="B742" s="2" t="s">
        <v>1558</v>
      </c>
      <c r="C742" s="2" t="s">
        <v>561</v>
      </c>
      <c r="D742" s="2" t="s">
        <v>1285</v>
      </c>
      <c r="E742" s="2" t="s">
        <v>4</v>
      </c>
      <c r="F742" s="2" t="s">
        <v>17</v>
      </c>
      <c r="G742" s="2" t="s">
        <v>27</v>
      </c>
      <c r="H742" s="2"/>
      <c r="I742" s="2" t="s">
        <v>3393</v>
      </c>
      <c r="J742" s="3">
        <v>24.32</v>
      </c>
      <c r="K742" s="3">
        <v>24.32</v>
      </c>
      <c r="L742" s="2" t="s">
        <v>3391</v>
      </c>
      <c r="M742" s="2" t="s">
        <v>9</v>
      </c>
      <c r="N742" s="3">
        <v>770</v>
      </c>
      <c r="O742" s="2" t="s">
        <v>98</v>
      </c>
      <c r="P742" s="2" t="s">
        <v>553</v>
      </c>
      <c r="Q742" s="3"/>
      <c r="R742" s="3"/>
      <c r="S742" s="2" t="s">
        <v>21</v>
      </c>
      <c r="T742" s="4">
        <v>44955</v>
      </c>
      <c r="U742" s="2" t="s">
        <v>1559</v>
      </c>
      <c r="V742" s="6">
        <f>(Real_Sales[[#This Row],[Price_retail]]-Real_Sales[[#This Row],[Price_current]])/Real_Sales[[#This Row],[Price_retail]]</f>
        <v>0</v>
      </c>
      <c r="W742" s="3" t="str" cm="1">
        <f t="array" ref="W74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2" s="2" t="str">
        <f>IF(Real_Sales[[#This Row],[Price_retail]]&gt;$AC$3,"Premium","Average")</f>
        <v>Premium</v>
      </c>
      <c r="Y742" s="2" t="str">
        <f>IF(ISNUMBER(SEARCH("Basic",Real_Sales[[#This Row],[Product_name]])),"Yes","No")</f>
        <v>Yes</v>
      </c>
      <c r="Z742" s="2" cm="1">
        <f t="array" ref="Z742">_xlfn.IFS(Real_Sales[[#This Row],[Price_retail]]&lt;=15,1, Real_Sales[[#This Row],[Price_retail]]&lt;=30,2, Real_Sales[[#This Row],[Price_retail]]&lt;=50,3,Real_Sales[[#This Row],[Price_retail]]&gt;50,4)</f>
        <v>2</v>
      </c>
    </row>
    <row r="743" spans="1:26" x14ac:dyDescent="0.35">
      <c r="A743" s="2" t="s">
        <v>2593</v>
      </c>
      <c r="B743" s="2" t="s">
        <v>2594</v>
      </c>
      <c r="C743" s="2" t="s">
        <v>65</v>
      </c>
      <c r="D743" s="2" t="s">
        <v>758</v>
      </c>
      <c r="E743" s="2" t="s">
        <v>4</v>
      </c>
      <c r="F743" s="2" t="s">
        <v>5</v>
      </c>
      <c r="G743" s="2" t="s">
        <v>82</v>
      </c>
      <c r="H743" s="2" t="s">
        <v>168</v>
      </c>
      <c r="I743" s="2" t="s">
        <v>3395</v>
      </c>
      <c r="J743" s="3">
        <v>24.33</v>
      </c>
      <c r="K743" s="3">
        <v>24.33</v>
      </c>
      <c r="L743" s="2" t="s">
        <v>3391</v>
      </c>
      <c r="M743" s="2" t="s">
        <v>9</v>
      </c>
      <c r="N743" s="3">
        <v>474</v>
      </c>
      <c r="O743" s="2" t="s">
        <v>302</v>
      </c>
      <c r="P743" s="2" t="s">
        <v>192</v>
      </c>
      <c r="Q743" s="3"/>
      <c r="R743" s="3"/>
      <c r="S743" s="2" t="s">
        <v>21</v>
      </c>
      <c r="T743" s="4">
        <v>44955</v>
      </c>
      <c r="U743" s="2" t="s">
        <v>2595</v>
      </c>
      <c r="V743" s="6">
        <f>(Real_Sales[[#This Row],[Price_retail]]-Real_Sales[[#This Row],[Price_current]])/Real_Sales[[#This Row],[Price_retail]]</f>
        <v>0</v>
      </c>
      <c r="W743" s="3" t="str" cm="1">
        <f t="array" ref="W74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3" s="2" t="str">
        <f>IF(Real_Sales[[#This Row],[Price_retail]]&gt;$AC$3,"Premium","Average")</f>
        <v>Premium</v>
      </c>
      <c r="Y743" s="2" t="str">
        <f>IF(ISNUMBER(SEARCH("Basic",Real_Sales[[#This Row],[Product_name]])),"Yes","No")</f>
        <v>No</v>
      </c>
      <c r="Z743" s="2" cm="1">
        <f t="array" ref="Z743">_xlfn.IFS(Real_Sales[[#This Row],[Price_retail]]&lt;=15,1, Real_Sales[[#This Row],[Price_retail]]&lt;=30,2, Real_Sales[[#This Row],[Price_retail]]&lt;=50,3,Real_Sales[[#This Row],[Price_retail]]&gt;50,4)</f>
        <v>2</v>
      </c>
    </row>
    <row r="744" spans="1:26" x14ac:dyDescent="0.35">
      <c r="A744" s="2" t="s">
        <v>1506</v>
      </c>
      <c r="B744" s="2" t="s">
        <v>1507</v>
      </c>
      <c r="C744" s="2" t="s">
        <v>3394</v>
      </c>
      <c r="D744" s="2" t="s">
        <v>16</v>
      </c>
      <c r="E744" s="2" t="s">
        <v>4</v>
      </c>
      <c r="F744" s="2" t="s">
        <v>17</v>
      </c>
      <c r="G744" s="2" t="s">
        <v>27</v>
      </c>
      <c r="H744" s="2" t="s">
        <v>19</v>
      </c>
      <c r="I744" s="2" t="s">
        <v>3390</v>
      </c>
      <c r="J744" s="3">
        <v>24.36</v>
      </c>
      <c r="K744" s="3">
        <v>24.36</v>
      </c>
      <c r="L744" s="2" t="s">
        <v>3391</v>
      </c>
      <c r="M744" s="2" t="s">
        <v>9</v>
      </c>
      <c r="N744" s="3">
        <v>122</v>
      </c>
      <c r="O744" s="2" t="s">
        <v>191</v>
      </c>
      <c r="P744" s="2" t="s">
        <v>44</v>
      </c>
      <c r="Q744" s="3"/>
      <c r="R744" s="3"/>
      <c r="S744" s="2" t="s">
        <v>21</v>
      </c>
      <c r="T744" s="4">
        <v>44955</v>
      </c>
      <c r="U744" s="2" t="s">
        <v>1508</v>
      </c>
      <c r="V744" s="6">
        <f>(Real_Sales[[#This Row],[Price_retail]]-Real_Sales[[#This Row],[Price_current]])/Real_Sales[[#This Row],[Price_retail]]</f>
        <v>0</v>
      </c>
      <c r="W744" s="3" t="str" cm="1">
        <f t="array" ref="W7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4" s="2" t="str">
        <f>IF(Real_Sales[[#This Row],[Price_retail]]&gt;$AC$3,"Premium","Average")</f>
        <v>Premium</v>
      </c>
      <c r="Y744" s="2" t="str">
        <f>IF(ISNUMBER(SEARCH("Basic",Real_Sales[[#This Row],[Product_name]])),"Yes","No")</f>
        <v>No</v>
      </c>
      <c r="Z744" s="2" cm="1">
        <f t="array" ref="Z744">_xlfn.IFS(Real_Sales[[#This Row],[Price_retail]]&lt;=15,1, Real_Sales[[#This Row],[Price_retail]]&lt;=30,2, Real_Sales[[#This Row],[Price_retail]]&lt;=50,3,Real_Sales[[#This Row],[Price_retail]]&gt;50,4)</f>
        <v>2</v>
      </c>
    </row>
    <row r="745" spans="1:26" x14ac:dyDescent="0.35">
      <c r="A745" s="2" t="s">
        <v>3056</v>
      </c>
      <c r="B745" s="2" t="s">
        <v>3057</v>
      </c>
      <c r="C745" s="2" t="s">
        <v>242</v>
      </c>
      <c r="D745" s="2" t="s">
        <v>428</v>
      </c>
      <c r="E745" s="2" t="s">
        <v>4</v>
      </c>
      <c r="F745" s="2" t="s">
        <v>5</v>
      </c>
      <c r="G745" s="2" t="s">
        <v>121</v>
      </c>
      <c r="H745" s="2"/>
      <c r="I745" s="2" t="s">
        <v>3389</v>
      </c>
      <c r="J745" s="3">
        <v>24.41</v>
      </c>
      <c r="K745" s="3">
        <v>14.04</v>
      </c>
      <c r="L745" s="2" t="s">
        <v>8</v>
      </c>
      <c r="M745" s="2" t="s">
        <v>9</v>
      </c>
      <c r="N745" s="3">
        <v>791</v>
      </c>
      <c r="O745" s="2" t="s">
        <v>98</v>
      </c>
      <c r="P745" s="2" t="s">
        <v>128</v>
      </c>
      <c r="Q745" s="3"/>
      <c r="R745" s="3"/>
      <c r="S745" s="2" t="s">
        <v>21</v>
      </c>
      <c r="T745" s="4">
        <v>44955</v>
      </c>
      <c r="U745" s="2" t="s">
        <v>3058</v>
      </c>
      <c r="V745" s="6">
        <f>(Real_Sales[[#This Row],[Price_retail]]-Real_Sales[[#This Row],[Price_current]])/Real_Sales[[#This Row],[Price_retail]]</f>
        <v>0.42482589102826712</v>
      </c>
      <c r="W745" s="3" t="str" cm="1">
        <f t="array" ref="W74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45" s="2" t="str">
        <f>IF(Real_Sales[[#This Row],[Price_retail]]&gt;$AC$3,"Premium","Average")</f>
        <v>Premium</v>
      </c>
      <c r="Y745" s="2" t="str">
        <f>IF(ISNUMBER(SEARCH("Basic",Real_Sales[[#This Row],[Product_name]])),"Yes","No")</f>
        <v>No</v>
      </c>
      <c r="Z745" s="2" cm="1">
        <f t="array" ref="Z745">_xlfn.IFS(Real_Sales[[#This Row],[Price_retail]]&lt;=15,1, Real_Sales[[#This Row],[Price_retail]]&lt;=30,2, Real_Sales[[#This Row],[Price_retail]]&lt;=50,3,Real_Sales[[#This Row],[Price_retail]]&gt;50,4)</f>
        <v>2</v>
      </c>
    </row>
    <row r="746" spans="1:26" x14ac:dyDescent="0.35">
      <c r="A746" s="2" t="s">
        <v>1914</v>
      </c>
      <c r="B746" s="2" t="s">
        <v>1915</v>
      </c>
      <c r="C746" s="2" t="s">
        <v>1425</v>
      </c>
      <c r="D746" s="2" t="s">
        <v>42</v>
      </c>
      <c r="E746" s="2" t="s">
        <v>4</v>
      </c>
      <c r="F746" s="2" t="s">
        <v>5</v>
      </c>
      <c r="G746" s="2" t="s">
        <v>6</v>
      </c>
      <c r="H746" s="2" t="s">
        <v>19</v>
      </c>
      <c r="I746" s="2" t="s">
        <v>3393</v>
      </c>
      <c r="J746" s="3">
        <v>24.42</v>
      </c>
      <c r="K746" s="3">
        <v>13.2</v>
      </c>
      <c r="L746" s="2" t="s">
        <v>8</v>
      </c>
      <c r="M746" s="2" t="s">
        <v>9</v>
      </c>
      <c r="N746" s="3">
        <v>187</v>
      </c>
      <c r="O746" s="2" t="s">
        <v>36</v>
      </c>
      <c r="P746" s="2" t="s">
        <v>92</v>
      </c>
      <c r="Q746" s="3"/>
      <c r="R746" s="3"/>
      <c r="S746" s="2"/>
      <c r="T746" s="4">
        <v>44955</v>
      </c>
      <c r="U746" s="2" t="s">
        <v>1916</v>
      </c>
      <c r="V746" s="6">
        <f>(Real_Sales[[#This Row],[Price_retail]]-Real_Sales[[#This Row],[Price_current]])/Real_Sales[[#This Row],[Price_retail]]</f>
        <v>0.45945945945945954</v>
      </c>
      <c r="W746" s="3" t="str" cm="1">
        <f t="array" ref="W74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46" s="2" t="str">
        <f>IF(Real_Sales[[#This Row],[Price_retail]]&gt;$AC$3,"Premium","Average")</f>
        <v>Premium</v>
      </c>
      <c r="Y746" s="2" t="str">
        <f>IF(ISNUMBER(SEARCH("Basic",Real_Sales[[#This Row],[Product_name]])),"Yes","No")</f>
        <v>No</v>
      </c>
      <c r="Z746" s="2" cm="1">
        <f t="array" ref="Z746">_xlfn.IFS(Real_Sales[[#This Row],[Price_retail]]&lt;=15,1, Real_Sales[[#This Row],[Price_retail]]&lt;=30,2, Real_Sales[[#This Row],[Price_retail]]&lt;=50,3,Real_Sales[[#This Row],[Price_retail]]&gt;50,4)</f>
        <v>2</v>
      </c>
    </row>
    <row r="747" spans="1:26" x14ac:dyDescent="0.35">
      <c r="A747" s="2" t="s">
        <v>2062</v>
      </c>
      <c r="B747" s="2" t="s">
        <v>2063</v>
      </c>
      <c r="C747" s="2" t="s">
        <v>1747</v>
      </c>
      <c r="D747" s="2" t="s">
        <v>2064</v>
      </c>
      <c r="E747" s="2" t="s">
        <v>4</v>
      </c>
      <c r="F747" s="2" t="s">
        <v>5</v>
      </c>
      <c r="G747" s="2" t="s">
        <v>6</v>
      </c>
      <c r="H747" s="2" t="s">
        <v>139</v>
      </c>
      <c r="I747" s="2" t="s">
        <v>3390</v>
      </c>
      <c r="J747" s="3">
        <v>24.47</v>
      </c>
      <c r="K747" s="3">
        <v>15.01</v>
      </c>
      <c r="L747" s="2" t="s">
        <v>8</v>
      </c>
      <c r="M747" s="2" t="s">
        <v>9</v>
      </c>
      <c r="N747" s="3">
        <v>507</v>
      </c>
      <c r="O747" s="2" t="s">
        <v>43</v>
      </c>
      <c r="P747" s="2" t="s">
        <v>37</v>
      </c>
      <c r="Q747" s="3"/>
      <c r="R747" s="3"/>
      <c r="S747" s="2" t="s">
        <v>21</v>
      </c>
      <c r="T747" s="4">
        <v>44955</v>
      </c>
      <c r="U747" s="2" t="s">
        <v>2065</v>
      </c>
      <c r="V747" s="6">
        <f>(Real_Sales[[#This Row],[Price_retail]]-Real_Sales[[#This Row],[Price_current]])/Real_Sales[[#This Row],[Price_retail]]</f>
        <v>0.38659583163056804</v>
      </c>
      <c r="W747" s="3" t="str" cm="1">
        <f t="array" ref="W74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47" s="2" t="str">
        <f>IF(Real_Sales[[#This Row],[Price_retail]]&gt;$AC$3,"Premium","Average")</f>
        <v>Premium</v>
      </c>
      <c r="Y747" s="2" t="str">
        <f>IF(ISNUMBER(SEARCH("Basic",Real_Sales[[#This Row],[Product_name]])),"Yes","No")</f>
        <v>No</v>
      </c>
      <c r="Z747" s="2" cm="1">
        <f t="array" ref="Z747">_xlfn.IFS(Real_Sales[[#This Row],[Price_retail]]&lt;=15,1, Real_Sales[[#This Row],[Price_retail]]&lt;=30,2, Real_Sales[[#This Row],[Price_retail]]&lt;=50,3,Real_Sales[[#This Row],[Price_retail]]&gt;50,4)</f>
        <v>2</v>
      </c>
    </row>
    <row r="748" spans="1:26" x14ac:dyDescent="0.35">
      <c r="A748" s="2" t="s">
        <v>2023</v>
      </c>
      <c r="B748" s="2" t="s">
        <v>2024</v>
      </c>
      <c r="C748" s="2" t="s">
        <v>1670</v>
      </c>
      <c r="D748" s="2" t="s">
        <v>442</v>
      </c>
      <c r="E748" s="2" t="s">
        <v>4</v>
      </c>
      <c r="F748" s="2" t="s">
        <v>5</v>
      </c>
      <c r="G748" s="2" t="s">
        <v>6</v>
      </c>
      <c r="H748" s="2" t="s">
        <v>59</v>
      </c>
      <c r="I748" s="2" t="s">
        <v>3390</v>
      </c>
      <c r="J748" s="3">
        <v>24.47</v>
      </c>
      <c r="K748" s="3">
        <v>24.47</v>
      </c>
      <c r="L748" s="2" t="s">
        <v>3391</v>
      </c>
      <c r="M748" s="2" t="s">
        <v>9</v>
      </c>
      <c r="N748" s="3">
        <v>839</v>
      </c>
      <c r="O748" s="2" t="s">
        <v>287</v>
      </c>
      <c r="P748" s="2" t="s">
        <v>163</v>
      </c>
      <c r="Q748" s="3"/>
      <c r="R748" s="3"/>
      <c r="S748" s="2" t="s">
        <v>21</v>
      </c>
      <c r="T748" s="4">
        <v>44955</v>
      </c>
      <c r="U748" s="2" t="s">
        <v>2025</v>
      </c>
      <c r="V748" s="6">
        <f>(Real_Sales[[#This Row],[Price_retail]]-Real_Sales[[#This Row],[Price_current]])/Real_Sales[[#This Row],[Price_retail]]</f>
        <v>0</v>
      </c>
      <c r="W748" s="3" t="str" cm="1">
        <f t="array" ref="W74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8" s="2" t="str">
        <f>IF(Real_Sales[[#This Row],[Price_retail]]&gt;$AC$3,"Premium","Average")</f>
        <v>Premium</v>
      </c>
      <c r="Y748" s="2" t="str">
        <f>IF(ISNUMBER(SEARCH("Basic",Real_Sales[[#This Row],[Product_name]])),"Yes","No")</f>
        <v>Yes</v>
      </c>
      <c r="Z748" s="2" cm="1">
        <f t="array" ref="Z748">_xlfn.IFS(Real_Sales[[#This Row],[Price_retail]]&lt;=15,1, Real_Sales[[#This Row],[Price_retail]]&lt;=30,2, Real_Sales[[#This Row],[Price_retail]]&lt;=50,3,Real_Sales[[#This Row],[Price_retail]]&gt;50,4)</f>
        <v>2</v>
      </c>
    </row>
    <row r="749" spans="1:26" x14ac:dyDescent="0.35">
      <c r="A749" s="2" t="s">
        <v>2277</v>
      </c>
      <c r="B749" s="2" t="s">
        <v>2278</v>
      </c>
      <c r="C749" s="2" t="s">
        <v>561</v>
      </c>
      <c r="D749" s="2" t="s">
        <v>894</v>
      </c>
      <c r="E749" s="2" t="s">
        <v>4</v>
      </c>
      <c r="F749" s="2" t="s">
        <v>5</v>
      </c>
      <c r="G749" s="2" t="s">
        <v>121</v>
      </c>
      <c r="H749" s="2" t="s">
        <v>145</v>
      </c>
      <c r="I749" s="2" t="s">
        <v>3395</v>
      </c>
      <c r="J749" s="3">
        <v>24.49</v>
      </c>
      <c r="K749" s="3">
        <v>24.49</v>
      </c>
      <c r="L749" s="2" t="s">
        <v>3391</v>
      </c>
      <c r="M749" s="2" t="s">
        <v>9</v>
      </c>
      <c r="N749" s="3">
        <v>468</v>
      </c>
      <c r="O749" s="2" t="s">
        <v>69</v>
      </c>
      <c r="P749" s="2" t="s">
        <v>70</v>
      </c>
      <c r="Q749" s="3"/>
      <c r="R749" s="3"/>
      <c r="S749" s="2" t="s">
        <v>21</v>
      </c>
      <c r="T749" s="4">
        <v>44955</v>
      </c>
      <c r="U749" s="2" t="s">
        <v>2279</v>
      </c>
      <c r="V749" s="6">
        <f>(Real_Sales[[#This Row],[Price_retail]]-Real_Sales[[#This Row],[Price_current]])/Real_Sales[[#This Row],[Price_retail]]</f>
        <v>0</v>
      </c>
      <c r="W749" s="3" t="str" cm="1">
        <f t="array" ref="W74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49" s="2" t="str">
        <f>IF(Real_Sales[[#This Row],[Price_retail]]&gt;$AC$3,"Premium","Average")</f>
        <v>Premium</v>
      </c>
      <c r="Y749" s="2" t="str">
        <f>IF(ISNUMBER(SEARCH("Basic",Real_Sales[[#This Row],[Product_name]])),"Yes","No")</f>
        <v>No</v>
      </c>
      <c r="Z749" s="2" cm="1">
        <f t="array" ref="Z749">_xlfn.IFS(Real_Sales[[#This Row],[Price_retail]]&lt;=15,1, Real_Sales[[#This Row],[Price_retail]]&lt;=30,2, Real_Sales[[#This Row],[Price_retail]]&lt;=50,3,Real_Sales[[#This Row],[Price_retail]]&gt;50,4)</f>
        <v>2</v>
      </c>
    </row>
    <row r="750" spans="1:26" x14ac:dyDescent="0.35">
      <c r="A750" s="2" t="s">
        <v>2638</v>
      </c>
      <c r="B750" s="2" t="s">
        <v>2639</v>
      </c>
      <c r="C750" s="2" t="s">
        <v>985</v>
      </c>
      <c r="D750" s="2" t="s">
        <v>557</v>
      </c>
      <c r="E750" s="2" t="s">
        <v>4</v>
      </c>
      <c r="F750" s="2" t="s">
        <v>5</v>
      </c>
      <c r="G750" s="2" t="s">
        <v>6</v>
      </c>
      <c r="H750" s="2"/>
      <c r="I750" s="2" t="s">
        <v>3390</v>
      </c>
      <c r="J750" s="3">
        <v>24.51</v>
      </c>
      <c r="K750" s="3">
        <v>24.51</v>
      </c>
      <c r="L750" s="2" t="s">
        <v>3391</v>
      </c>
      <c r="M750" s="2" t="s">
        <v>9</v>
      </c>
      <c r="N750" s="3">
        <v>582</v>
      </c>
      <c r="O750" s="2" t="s">
        <v>29</v>
      </c>
      <c r="P750" s="2" t="s">
        <v>122</v>
      </c>
      <c r="Q750" s="3"/>
      <c r="R750" s="3"/>
      <c r="S750" s="2" t="s">
        <v>21</v>
      </c>
      <c r="T750" s="4">
        <v>44955</v>
      </c>
      <c r="U750" s="2" t="s">
        <v>2640</v>
      </c>
      <c r="V750" s="6">
        <f>(Real_Sales[[#This Row],[Price_retail]]-Real_Sales[[#This Row],[Price_current]])/Real_Sales[[#This Row],[Price_retail]]</f>
        <v>0</v>
      </c>
      <c r="W750" s="3" t="str" cm="1">
        <f t="array" ref="W75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0" s="2" t="str">
        <f>IF(Real_Sales[[#This Row],[Price_retail]]&gt;$AC$3,"Premium","Average")</f>
        <v>Premium</v>
      </c>
      <c r="Y750" s="2" t="str">
        <f>IF(ISNUMBER(SEARCH("Basic",Real_Sales[[#This Row],[Product_name]])),"Yes","No")</f>
        <v>No</v>
      </c>
      <c r="Z750" s="2" cm="1">
        <f t="array" ref="Z750">_xlfn.IFS(Real_Sales[[#This Row],[Price_retail]]&lt;=15,1, Real_Sales[[#This Row],[Price_retail]]&lt;=30,2, Real_Sales[[#This Row],[Price_retail]]&lt;=50,3,Real_Sales[[#This Row],[Price_retail]]&gt;50,4)</f>
        <v>2</v>
      </c>
    </row>
    <row r="751" spans="1:26" x14ac:dyDescent="0.35">
      <c r="A751" s="2" t="s">
        <v>2382</v>
      </c>
      <c r="B751" s="2" t="s">
        <v>2383</v>
      </c>
      <c r="C751" s="2" t="s">
        <v>65</v>
      </c>
      <c r="D751" s="2" t="s">
        <v>887</v>
      </c>
      <c r="E751" s="2" t="s">
        <v>4</v>
      </c>
      <c r="F751" s="2" t="s">
        <v>5</v>
      </c>
      <c r="G751" s="2" t="s">
        <v>6</v>
      </c>
      <c r="H751" s="2" t="s">
        <v>185</v>
      </c>
      <c r="I751" s="2" t="s">
        <v>3393</v>
      </c>
      <c r="J751" s="3">
        <v>24.52</v>
      </c>
      <c r="K751" s="3">
        <v>24.52</v>
      </c>
      <c r="L751" s="2" t="s">
        <v>3391</v>
      </c>
      <c r="M751" s="2" t="s">
        <v>9</v>
      </c>
      <c r="N751" s="3">
        <v>19</v>
      </c>
      <c r="O751" s="2" t="s">
        <v>191</v>
      </c>
      <c r="P751" s="2" t="s">
        <v>37</v>
      </c>
      <c r="Q751" s="3"/>
      <c r="R751" s="3"/>
      <c r="S751" s="2" t="s">
        <v>21</v>
      </c>
      <c r="T751" s="4">
        <v>44955</v>
      </c>
      <c r="U751" s="2" t="s">
        <v>2384</v>
      </c>
      <c r="V751" s="6">
        <f>(Real_Sales[[#This Row],[Price_retail]]-Real_Sales[[#This Row],[Price_current]])/Real_Sales[[#This Row],[Price_retail]]</f>
        <v>0</v>
      </c>
      <c r="W751" s="3" t="str" cm="1">
        <f t="array" ref="W75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1" s="2" t="str">
        <f>IF(Real_Sales[[#This Row],[Price_retail]]&gt;$AC$3,"Premium","Average")</f>
        <v>Premium</v>
      </c>
      <c r="Y751" s="2" t="str">
        <f>IF(ISNUMBER(SEARCH("Basic",Real_Sales[[#This Row],[Product_name]])),"Yes","No")</f>
        <v>Yes</v>
      </c>
      <c r="Z751" s="2" cm="1">
        <f t="array" ref="Z751">_xlfn.IFS(Real_Sales[[#This Row],[Price_retail]]&lt;=15,1, Real_Sales[[#This Row],[Price_retail]]&lt;=30,2, Real_Sales[[#This Row],[Price_retail]]&lt;=50,3,Real_Sales[[#This Row],[Price_retail]]&gt;50,4)</f>
        <v>2</v>
      </c>
    </row>
    <row r="752" spans="1:26" x14ac:dyDescent="0.35">
      <c r="A752" s="2" t="s">
        <v>2671</v>
      </c>
      <c r="B752" s="2" t="s">
        <v>2672</v>
      </c>
      <c r="C752" s="2" t="s">
        <v>3417</v>
      </c>
      <c r="D752" s="2" t="s">
        <v>1101</v>
      </c>
      <c r="E752" s="2" t="s">
        <v>4</v>
      </c>
      <c r="F752" s="2" t="s">
        <v>5</v>
      </c>
      <c r="G752" s="2" t="s">
        <v>6</v>
      </c>
      <c r="H752" s="2" t="s">
        <v>134</v>
      </c>
      <c r="I752" s="2" t="s">
        <v>3393</v>
      </c>
      <c r="J752" s="3">
        <v>24.65</v>
      </c>
      <c r="K752" s="3">
        <v>24.65</v>
      </c>
      <c r="L752" s="2" t="s">
        <v>3391</v>
      </c>
      <c r="M752" s="2" t="s">
        <v>9</v>
      </c>
      <c r="N752" s="3">
        <v>378</v>
      </c>
      <c r="O752" s="2" t="s">
        <v>267</v>
      </c>
      <c r="P752" s="2" t="s">
        <v>53</v>
      </c>
      <c r="Q752" s="3"/>
      <c r="R752" s="3"/>
      <c r="S752" s="2" t="s">
        <v>21</v>
      </c>
      <c r="T752" s="4">
        <v>44955</v>
      </c>
      <c r="U752" s="2" t="s">
        <v>2673</v>
      </c>
      <c r="V752" s="6">
        <f>(Real_Sales[[#This Row],[Price_retail]]-Real_Sales[[#This Row],[Price_current]])/Real_Sales[[#This Row],[Price_retail]]</f>
        <v>0</v>
      </c>
      <c r="W752" s="3" t="str" cm="1">
        <f t="array" ref="W7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2" s="2" t="str">
        <f>IF(Real_Sales[[#This Row],[Price_retail]]&gt;$AC$3,"Premium","Average")</f>
        <v>Premium</v>
      </c>
      <c r="Y752" s="2" t="str">
        <f>IF(ISNUMBER(SEARCH("Basic",Real_Sales[[#This Row],[Product_name]])),"Yes","No")</f>
        <v>No</v>
      </c>
      <c r="Z752" s="2" cm="1">
        <f t="array" ref="Z752">_xlfn.IFS(Real_Sales[[#This Row],[Price_retail]]&lt;=15,1, Real_Sales[[#This Row],[Price_retail]]&lt;=30,2, Real_Sales[[#This Row],[Price_retail]]&lt;=50,3,Real_Sales[[#This Row],[Price_retail]]&gt;50,4)</f>
        <v>2</v>
      </c>
    </row>
    <row r="753" spans="1:26" x14ac:dyDescent="0.35">
      <c r="A753" s="2" t="s">
        <v>482</v>
      </c>
      <c r="B753" s="2" t="s">
        <v>483</v>
      </c>
      <c r="C753" s="2" t="s">
        <v>484</v>
      </c>
      <c r="D753" s="2" t="s">
        <v>485</v>
      </c>
      <c r="E753" s="2" t="s">
        <v>4</v>
      </c>
      <c r="F753" s="2" t="s">
        <v>17</v>
      </c>
      <c r="G753" s="2" t="s">
        <v>27</v>
      </c>
      <c r="H753" s="2" t="s">
        <v>185</v>
      </c>
      <c r="I753" s="2" t="s">
        <v>3395</v>
      </c>
      <c r="J753" s="3">
        <v>24.66</v>
      </c>
      <c r="K753" s="3">
        <v>24.66</v>
      </c>
      <c r="L753" s="2" t="s">
        <v>3391</v>
      </c>
      <c r="M753" s="2" t="s">
        <v>9</v>
      </c>
      <c r="N753" s="3">
        <v>42</v>
      </c>
      <c r="O753" s="2" t="s">
        <v>347</v>
      </c>
      <c r="P753" s="2" t="s">
        <v>44</v>
      </c>
      <c r="Q753" s="3"/>
      <c r="R753" s="3"/>
      <c r="S753" s="2" t="s">
        <v>21</v>
      </c>
      <c r="T753" s="4">
        <v>44955</v>
      </c>
      <c r="U753" s="2" t="s">
        <v>486</v>
      </c>
      <c r="V753" s="6">
        <f>(Real_Sales[[#This Row],[Price_retail]]-Real_Sales[[#This Row],[Price_current]])/Real_Sales[[#This Row],[Price_retail]]</f>
        <v>0</v>
      </c>
      <c r="W753" s="3" t="str" cm="1">
        <f t="array" ref="W75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3" s="2" t="str">
        <f>IF(Real_Sales[[#This Row],[Price_retail]]&gt;$AC$3,"Premium","Average")</f>
        <v>Premium</v>
      </c>
      <c r="Y753" s="2" t="str">
        <f>IF(ISNUMBER(SEARCH("Basic",Real_Sales[[#This Row],[Product_name]])),"Yes","No")</f>
        <v>Yes</v>
      </c>
      <c r="Z753" s="2" cm="1">
        <f t="array" ref="Z753">_xlfn.IFS(Real_Sales[[#This Row],[Price_retail]]&lt;=15,1, Real_Sales[[#This Row],[Price_retail]]&lt;=30,2, Real_Sales[[#This Row],[Price_retail]]&lt;=50,3,Real_Sales[[#This Row],[Price_retail]]&gt;50,4)</f>
        <v>2</v>
      </c>
    </row>
    <row r="754" spans="1:26" x14ac:dyDescent="0.35">
      <c r="A754" s="2" t="s">
        <v>2483</v>
      </c>
      <c r="B754" s="2" t="s">
        <v>2484</v>
      </c>
      <c r="C754" s="2" t="s">
        <v>3394</v>
      </c>
      <c r="D754" s="2" t="s">
        <v>577</v>
      </c>
      <c r="E754" s="2" t="s">
        <v>4</v>
      </c>
      <c r="F754" s="2" t="s">
        <v>5</v>
      </c>
      <c r="G754" s="2" t="s">
        <v>6</v>
      </c>
      <c r="H754" s="2" t="s">
        <v>168</v>
      </c>
      <c r="I754" s="2" t="s">
        <v>3390</v>
      </c>
      <c r="J754" s="3">
        <v>24.71</v>
      </c>
      <c r="K754" s="3">
        <v>24.71</v>
      </c>
      <c r="L754" s="2" t="s">
        <v>3391</v>
      </c>
      <c r="M754" s="2" t="s">
        <v>9</v>
      </c>
      <c r="N754" s="3">
        <v>514</v>
      </c>
      <c r="O754" s="2" t="s">
        <v>104</v>
      </c>
      <c r="P754" s="2" t="s">
        <v>163</v>
      </c>
      <c r="Q754" s="3"/>
      <c r="R754" s="3"/>
      <c r="S754" s="2" t="s">
        <v>21</v>
      </c>
      <c r="T754" s="4">
        <v>44955</v>
      </c>
      <c r="U754" s="2" t="s">
        <v>2485</v>
      </c>
      <c r="V754" s="6">
        <f>(Real_Sales[[#This Row],[Price_retail]]-Real_Sales[[#This Row],[Price_current]])/Real_Sales[[#This Row],[Price_retail]]</f>
        <v>0</v>
      </c>
      <c r="W754" s="3" t="str" cm="1">
        <f t="array" ref="W75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4" s="2" t="str">
        <f>IF(Real_Sales[[#This Row],[Price_retail]]&gt;$AC$3,"Premium","Average")</f>
        <v>Premium</v>
      </c>
      <c r="Y754" s="2" t="str">
        <f>IF(ISNUMBER(SEARCH("Basic",Real_Sales[[#This Row],[Product_name]])),"Yes","No")</f>
        <v>No</v>
      </c>
      <c r="Z754" s="2" cm="1">
        <f t="array" ref="Z754">_xlfn.IFS(Real_Sales[[#This Row],[Price_retail]]&lt;=15,1, Real_Sales[[#This Row],[Price_retail]]&lt;=30,2, Real_Sales[[#This Row],[Price_retail]]&lt;=50,3,Real_Sales[[#This Row],[Price_retail]]&gt;50,4)</f>
        <v>2</v>
      </c>
    </row>
    <row r="755" spans="1:26" x14ac:dyDescent="0.35">
      <c r="A755" s="2" t="s">
        <v>452</v>
      </c>
      <c r="B755" s="2" t="s">
        <v>453</v>
      </c>
      <c r="C755" s="2" t="s">
        <v>454</v>
      </c>
      <c r="D755" s="2" t="s">
        <v>346</v>
      </c>
      <c r="E755" s="2" t="s">
        <v>4</v>
      </c>
      <c r="F755" s="2" t="s">
        <v>5</v>
      </c>
      <c r="G755" s="2" t="s">
        <v>121</v>
      </c>
      <c r="H755" s="2" t="s">
        <v>110</v>
      </c>
      <c r="I755" s="2" t="s">
        <v>3390</v>
      </c>
      <c r="J755" s="3">
        <v>24.77</v>
      </c>
      <c r="K755" s="3">
        <v>24.77</v>
      </c>
      <c r="L755" s="2" t="s">
        <v>3391</v>
      </c>
      <c r="M755" s="2" t="s">
        <v>9</v>
      </c>
      <c r="N755" s="3">
        <v>932</v>
      </c>
      <c r="O755" s="2" t="s">
        <v>347</v>
      </c>
      <c r="P755" s="2" t="s">
        <v>76</v>
      </c>
      <c r="Q755" s="3"/>
      <c r="R755" s="3"/>
      <c r="S755" s="2" t="s">
        <v>21</v>
      </c>
      <c r="T755" s="4">
        <v>44955</v>
      </c>
      <c r="U755" s="2" t="s">
        <v>455</v>
      </c>
      <c r="V755" s="6">
        <f>(Real_Sales[[#This Row],[Price_retail]]-Real_Sales[[#This Row],[Price_current]])/Real_Sales[[#This Row],[Price_retail]]</f>
        <v>0</v>
      </c>
      <c r="W755" s="3" t="str" cm="1">
        <f t="array" ref="W75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5" s="2" t="str">
        <f>IF(Real_Sales[[#This Row],[Price_retail]]&gt;$AC$3,"Premium","Average")</f>
        <v>Premium</v>
      </c>
      <c r="Y755" s="2" t="str">
        <f>IF(ISNUMBER(SEARCH("Basic",Real_Sales[[#This Row],[Product_name]])),"Yes","No")</f>
        <v>No</v>
      </c>
      <c r="Z755" s="2" cm="1">
        <f t="array" ref="Z755">_xlfn.IFS(Real_Sales[[#This Row],[Price_retail]]&lt;=15,1, Real_Sales[[#This Row],[Price_retail]]&lt;=30,2, Real_Sales[[#This Row],[Price_retail]]&lt;=50,3,Real_Sales[[#This Row],[Price_retail]]&gt;50,4)</f>
        <v>2</v>
      </c>
    </row>
    <row r="756" spans="1:26" x14ac:dyDescent="0.35">
      <c r="A756" s="2" t="s">
        <v>1316</v>
      </c>
      <c r="B756" s="2" t="s">
        <v>1317</v>
      </c>
      <c r="C756" s="2" t="s">
        <v>733</v>
      </c>
      <c r="D756" s="2" t="s">
        <v>3418</v>
      </c>
      <c r="E756" s="2" t="s">
        <v>4</v>
      </c>
      <c r="F756" s="2" t="s">
        <v>5</v>
      </c>
      <c r="G756" s="2" t="s">
        <v>82</v>
      </c>
      <c r="H756" s="2" t="s">
        <v>68</v>
      </c>
      <c r="I756" s="2" t="s">
        <v>3393</v>
      </c>
      <c r="J756" s="3">
        <v>24.79</v>
      </c>
      <c r="K756" s="3">
        <v>24.79</v>
      </c>
      <c r="L756" s="2" t="s">
        <v>3391</v>
      </c>
      <c r="M756" s="2" t="s">
        <v>9</v>
      </c>
      <c r="N756" s="3">
        <v>539</v>
      </c>
      <c r="O756" s="2" t="s">
        <v>267</v>
      </c>
      <c r="P756" s="2" t="s">
        <v>283</v>
      </c>
      <c r="Q756" s="3"/>
      <c r="R756" s="3"/>
      <c r="S756" s="2" t="s">
        <v>21</v>
      </c>
      <c r="T756" s="4">
        <v>44955</v>
      </c>
      <c r="U756" s="2" t="s">
        <v>1318</v>
      </c>
      <c r="V756" s="6">
        <f>(Real_Sales[[#This Row],[Price_retail]]-Real_Sales[[#This Row],[Price_current]])/Real_Sales[[#This Row],[Price_retail]]</f>
        <v>0</v>
      </c>
      <c r="W756" s="3" t="str" cm="1">
        <f t="array" ref="W7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56" s="2" t="str">
        <f>IF(Real_Sales[[#This Row],[Price_retail]]&gt;$AC$3,"Premium","Average")</f>
        <v>Premium</v>
      </c>
      <c r="Y756" s="2" t="str">
        <f>IF(ISNUMBER(SEARCH("Basic",Real_Sales[[#This Row],[Product_name]])),"Yes","No")</f>
        <v>Yes</v>
      </c>
      <c r="Z756" s="2" cm="1">
        <f t="array" ref="Z756">_xlfn.IFS(Real_Sales[[#This Row],[Price_retail]]&lt;=15,1, Real_Sales[[#This Row],[Price_retail]]&lt;=30,2, Real_Sales[[#This Row],[Price_retail]]&lt;=50,3,Real_Sales[[#This Row],[Price_retail]]&gt;50,4)</f>
        <v>2</v>
      </c>
    </row>
    <row r="757" spans="1:26" x14ac:dyDescent="0.35">
      <c r="A757" s="2" t="s">
        <v>321</v>
      </c>
      <c r="B757" s="2" t="s">
        <v>322</v>
      </c>
      <c r="C757" s="2" t="s">
        <v>323</v>
      </c>
      <c r="D757" s="2" t="s">
        <v>3402</v>
      </c>
      <c r="E757" s="2" t="s">
        <v>4</v>
      </c>
      <c r="F757" s="2" t="s">
        <v>17</v>
      </c>
      <c r="G757" s="2" t="s">
        <v>18</v>
      </c>
      <c r="H757" s="2" t="s">
        <v>28</v>
      </c>
      <c r="I757" s="2" t="s">
        <v>3393</v>
      </c>
      <c r="J757" s="3">
        <v>24.8</v>
      </c>
      <c r="K757" s="3">
        <v>16.8</v>
      </c>
      <c r="L757" s="2" t="s">
        <v>8</v>
      </c>
      <c r="M757" s="2" t="s">
        <v>9</v>
      </c>
      <c r="N757" s="3">
        <v>730</v>
      </c>
      <c r="O757" s="2" t="s">
        <v>60</v>
      </c>
      <c r="P757" s="2" t="s">
        <v>70</v>
      </c>
      <c r="Q757" s="3"/>
      <c r="R757" s="3"/>
      <c r="S757" s="2" t="s">
        <v>21</v>
      </c>
      <c r="T757" s="4">
        <v>44955</v>
      </c>
      <c r="U757" s="2" t="s">
        <v>324</v>
      </c>
      <c r="V757" s="6">
        <f>(Real_Sales[[#This Row],[Price_retail]]-Real_Sales[[#This Row],[Price_current]])/Real_Sales[[#This Row],[Price_retail]]</f>
        <v>0.32258064516129031</v>
      </c>
      <c r="W757" s="3" t="str" cm="1">
        <f t="array" ref="W75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57" s="2" t="str">
        <f>IF(Real_Sales[[#This Row],[Price_retail]]&gt;$AC$3,"Premium","Average")</f>
        <v>Premium</v>
      </c>
      <c r="Y757" s="2" t="str">
        <f>IF(ISNUMBER(SEARCH("Basic",Real_Sales[[#This Row],[Product_name]])),"Yes","No")</f>
        <v>No</v>
      </c>
      <c r="Z757" s="2" cm="1">
        <f t="array" ref="Z757">_xlfn.IFS(Real_Sales[[#This Row],[Price_retail]]&lt;=15,1, Real_Sales[[#This Row],[Price_retail]]&lt;=30,2, Real_Sales[[#This Row],[Price_retail]]&lt;=50,3,Real_Sales[[#This Row],[Price_retail]]&gt;50,4)</f>
        <v>2</v>
      </c>
    </row>
    <row r="758" spans="1:26" x14ac:dyDescent="0.35">
      <c r="A758" s="2" t="s">
        <v>1052</v>
      </c>
      <c r="B758" s="2" t="s">
        <v>1053</v>
      </c>
      <c r="C758" s="2" t="s">
        <v>1743</v>
      </c>
      <c r="D758" s="2" t="s">
        <v>279</v>
      </c>
      <c r="E758" s="2" t="s">
        <v>4</v>
      </c>
      <c r="F758" s="2" t="s">
        <v>17</v>
      </c>
      <c r="G758" s="2" t="s">
        <v>27</v>
      </c>
      <c r="H758" s="2" t="s">
        <v>28</v>
      </c>
      <c r="I758" s="2" t="s">
        <v>3393</v>
      </c>
      <c r="J758" s="3">
        <v>24.91</v>
      </c>
      <c r="K758" s="3">
        <v>13.35</v>
      </c>
      <c r="L758" s="2" t="s">
        <v>8</v>
      </c>
      <c r="M758" s="2" t="s">
        <v>9</v>
      </c>
      <c r="N758" s="3">
        <v>646</v>
      </c>
      <c r="O758" s="2" t="s">
        <v>3392</v>
      </c>
      <c r="P758" s="2" t="s">
        <v>122</v>
      </c>
      <c r="Q758" s="3"/>
      <c r="R758" s="3"/>
      <c r="S758" s="2" t="s">
        <v>21</v>
      </c>
      <c r="T758" s="4">
        <v>44955</v>
      </c>
      <c r="U758" s="2" t="s">
        <v>1054</v>
      </c>
      <c r="V758" s="6">
        <f>(Real_Sales[[#This Row],[Price_retail]]-Real_Sales[[#This Row],[Price_current]])/Real_Sales[[#This Row],[Price_retail]]</f>
        <v>0.46407065435568046</v>
      </c>
      <c r="W758" s="3" t="str" cm="1">
        <f t="array" ref="W75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58" s="2" t="str">
        <f>IF(Real_Sales[[#This Row],[Price_retail]]&gt;$AC$3,"Premium","Average")</f>
        <v>Premium</v>
      </c>
      <c r="Y758" s="2" t="str">
        <f>IF(ISNUMBER(SEARCH("Basic",Real_Sales[[#This Row],[Product_name]])),"Yes","No")</f>
        <v>No</v>
      </c>
      <c r="Z758" s="2" cm="1">
        <f t="array" ref="Z758">_xlfn.IFS(Real_Sales[[#This Row],[Price_retail]]&lt;=15,1, Real_Sales[[#This Row],[Price_retail]]&lt;=30,2, Real_Sales[[#This Row],[Price_retail]]&lt;=50,3,Real_Sales[[#This Row],[Price_retail]]&gt;50,4)</f>
        <v>2</v>
      </c>
    </row>
    <row r="759" spans="1:26" x14ac:dyDescent="0.35">
      <c r="A759" s="2" t="s">
        <v>2596</v>
      </c>
      <c r="B759" s="2" t="s">
        <v>2597</v>
      </c>
      <c r="C759" s="2" t="s">
        <v>1743</v>
      </c>
      <c r="D759" s="2" t="s">
        <v>1169</v>
      </c>
      <c r="E759" s="2" t="s">
        <v>4</v>
      </c>
      <c r="F759" s="2" t="s">
        <v>5</v>
      </c>
      <c r="G759" s="2" t="s">
        <v>6</v>
      </c>
      <c r="H759" s="2" t="s">
        <v>237</v>
      </c>
      <c r="I759" s="2" t="s">
        <v>3390</v>
      </c>
      <c r="J759" s="3">
        <v>25</v>
      </c>
      <c r="K759" s="3">
        <v>17.61</v>
      </c>
      <c r="L759" s="2" t="s">
        <v>8</v>
      </c>
      <c r="M759" s="2" t="s">
        <v>9</v>
      </c>
      <c r="N759" s="3">
        <v>65</v>
      </c>
      <c r="O759" s="2" t="s">
        <v>3392</v>
      </c>
      <c r="P759" s="2" t="s">
        <v>238</v>
      </c>
      <c r="Q759" s="3"/>
      <c r="R759" s="3"/>
      <c r="S759" s="2" t="s">
        <v>21</v>
      </c>
      <c r="T759" s="4">
        <v>44955</v>
      </c>
      <c r="U759" s="2" t="s">
        <v>2598</v>
      </c>
      <c r="V759" s="6">
        <f>(Real_Sales[[#This Row],[Price_retail]]-Real_Sales[[#This Row],[Price_current]])/Real_Sales[[#This Row],[Price_retail]]</f>
        <v>0.29560000000000003</v>
      </c>
      <c r="W759" s="3" t="str" cm="1">
        <f t="array" ref="W75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59" s="2" t="str">
        <f>IF(Real_Sales[[#This Row],[Price_retail]]&gt;$AC$3,"Premium","Average")</f>
        <v>Premium</v>
      </c>
      <c r="Y759" s="2" t="str">
        <f>IF(ISNUMBER(SEARCH("Basic",Real_Sales[[#This Row],[Product_name]])),"Yes","No")</f>
        <v>No</v>
      </c>
      <c r="Z759" s="2" cm="1">
        <f t="array" ref="Z759">_xlfn.IFS(Real_Sales[[#This Row],[Price_retail]]&lt;=15,1, Real_Sales[[#This Row],[Price_retail]]&lt;=30,2, Real_Sales[[#This Row],[Price_retail]]&lt;=50,3,Real_Sales[[#This Row],[Price_retail]]&gt;50,4)</f>
        <v>2</v>
      </c>
    </row>
    <row r="760" spans="1:26" x14ac:dyDescent="0.35">
      <c r="A760" s="2" t="s">
        <v>2216</v>
      </c>
      <c r="B760" s="2" t="s">
        <v>2217</v>
      </c>
      <c r="C760" s="2" t="s">
        <v>65</v>
      </c>
      <c r="D760" s="2" t="s">
        <v>612</v>
      </c>
      <c r="E760" s="2" t="s">
        <v>4</v>
      </c>
      <c r="F760" s="2" t="s">
        <v>17</v>
      </c>
      <c r="G760" s="2" t="s">
        <v>27</v>
      </c>
      <c r="H760" s="2" t="s">
        <v>59</v>
      </c>
      <c r="I760" s="2" t="s">
        <v>3395</v>
      </c>
      <c r="J760" s="3">
        <v>25.03</v>
      </c>
      <c r="K760" s="3">
        <v>25.03</v>
      </c>
      <c r="L760" s="2" t="s">
        <v>3391</v>
      </c>
      <c r="M760" s="2" t="s">
        <v>9</v>
      </c>
      <c r="N760" s="3">
        <v>148</v>
      </c>
      <c r="O760" s="2" t="s">
        <v>3392</v>
      </c>
      <c r="P760" s="2" t="s">
        <v>92</v>
      </c>
      <c r="Q760" s="3"/>
      <c r="R760" s="3"/>
      <c r="S760" s="2" t="s">
        <v>12</v>
      </c>
      <c r="T760" s="4">
        <v>44955</v>
      </c>
      <c r="U760" s="2" t="s">
        <v>2218</v>
      </c>
      <c r="V760" s="6">
        <f>(Real_Sales[[#This Row],[Price_retail]]-Real_Sales[[#This Row],[Price_current]])/Real_Sales[[#This Row],[Price_retail]]</f>
        <v>0</v>
      </c>
      <c r="W760" s="3" t="str" cm="1">
        <f t="array" ref="W76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60" s="2" t="str">
        <f>IF(Real_Sales[[#This Row],[Price_retail]]&gt;$AC$3,"Premium","Average")</f>
        <v>Premium</v>
      </c>
      <c r="Y760" s="2" t="str">
        <f>IF(ISNUMBER(SEARCH("Basic",Real_Sales[[#This Row],[Product_name]])),"Yes","No")</f>
        <v>Yes</v>
      </c>
      <c r="Z760" s="2" cm="1">
        <f t="array" ref="Z760">_xlfn.IFS(Real_Sales[[#This Row],[Price_retail]]&lt;=15,1, Real_Sales[[#This Row],[Price_retail]]&lt;=30,2, Real_Sales[[#This Row],[Price_retail]]&lt;=50,3,Real_Sales[[#This Row],[Price_retail]]&gt;50,4)</f>
        <v>2</v>
      </c>
    </row>
    <row r="761" spans="1:26" x14ac:dyDescent="0.35">
      <c r="A761" s="2" t="s">
        <v>3251</v>
      </c>
      <c r="B761" s="2" t="s">
        <v>3252</v>
      </c>
      <c r="C761" s="2" t="s">
        <v>1628</v>
      </c>
      <c r="D761" s="2" t="s">
        <v>342</v>
      </c>
      <c r="E761" s="2" t="s">
        <v>4</v>
      </c>
      <c r="F761" s="2" t="s">
        <v>17</v>
      </c>
      <c r="G761" s="2" t="s">
        <v>18</v>
      </c>
      <c r="H761" s="2" t="s">
        <v>237</v>
      </c>
      <c r="I761" s="2" t="s">
        <v>3390</v>
      </c>
      <c r="J761" s="3">
        <v>25.06</v>
      </c>
      <c r="K761" s="3">
        <v>25.06</v>
      </c>
      <c r="L761" s="2" t="s">
        <v>3391</v>
      </c>
      <c r="M761" s="2" t="s">
        <v>9</v>
      </c>
      <c r="N761" s="3">
        <v>327</v>
      </c>
      <c r="O761" s="2" t="s">
        <v>261</v>
      </c>
      <c r="P761" s="2" t="s">
        <v>30</v>
      </c>
      <c r="Q761" s="3"/>
      <c r="R761" s="3"/>
      <c r="S761" s="2" t="s">
        <v>21</v>
      </c>
      <c r="T761" s="4">
        <v>44955</v>
      </c>
      <c r="U761" s="2" t="s">
        <v>3253</v>
      </c>
      <c r="V761" s="6">
        <f>(Real_Sales[[#This Row],[Price_retail]]-Real_Sales[[#This Row],[Price_current]])/Real_Sales[[#This Row],[Price_retail]]</f>
        <v>0</v>
      </c>
      <c r="W761" s="3" t="str" cm="1">
        <f t="array" ref="W76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61" s="2" t="str">
        <f>IF(Real_Sales[[#This Row],[Price_retail]]&gt;$AC$3,"Premium","Average")</f>
        <v>Premium</v>
      </c>
      <c r="Y761" s="2" t="str">
        <f>IF(ISNUMBER(SEARCH("Basic",Real_Sales[[#This Row],[Product_name]])),"Yes","No")</f>
        <v>No</v>
      </c>
      <c r="Z761" s="2" cm="1">
        <f t="array" ref="Z761">_xlfn.IFS(Real_Sales[[#This Row],[Price_retail]]&lt;=15,1, Real_Sales[[#This Row],[Price_retail]]&lt;=30,2, Real_Sales[[#This Row],[Price_retail]]&lt;=50,3,Real_Sales[[#This Row],[Price_retail]]&gt;50,4)</f>
        <v>2</v>
      </c>
    </row>
    <row r="762" spans="1:26" x14ac:dyDescent="0.35">
      <c r="A762" s="2" t="s">
        <v>171</v>
      </c>
      <c r="B762" s="2" t="s">
        <v>172</v>
      </c>
      <c r="C762" s="2" t="s">
        <v>65</v>
      </c>
      <c r="D762" s="2" t="s">
        <v>173</v>
      </c>
      <c r="E762" s="2" t="s">
        <v>4</v>
      </c>
      <c r="F762" s="2" t="s">
        <v>17</v>
      </c>
      <c r="G762" s="2" t="s">
        <v>67</v>
      </c>
      <c r="H762" s="2" t="s">
        <v>7</v>
      </c>
      <c r="I762" s="2" t="s">
        <v>3395</v>
      </c>
      <c r="J762" s="3">
        <v>25.11</v>
      </c>
      <c r="K762" s="3">
        <v>25.11</v>
      </c>
      <c r="L762" s="2" t="s">
        <v>3391</v>
      </c>
      <c r="M762" s="2" t="s">
        <v>9</v>
      </c>
      <c r="N762" s="3">
        <v>797</v>
      </c>
      <c r="O762" s="2" t="s">
        <v>3392</v>
      </c>
      <c r="P762" s="2" t="s">
        <v>53</v>
      </c>
      <c r="Q762" s="3"/>
      <c r="R762" s="3"/>
      <c r="S762" s="2" t="s">
        <v>21</v>
      </c>
      <c r="T762" s="4">
        <v>44955</v>
      </c>
      <c r="U762" s="2" t="s">
        <v>174</v>
      </c>
      <c r="V762" s="6">
        <f>(Real_Sales[[#This Row],[Price_retail]]-Real_Sales[[#This Row],[Price_current]])/Real_Sales[[#This Row],[Price_retail]]</f>
        <v>0</v>
      </c>
      <c r="W762" s="3" t="str" cm="1">
        <f t="array" ref="W7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62" s="2" t="str">
        <f>IF(Real_Sales[[#This Row],[Price_retail]]&gt;$AC$3,"Premium","Average")</f>
        <v>Premium</v>
      </c>
      <c r="Y762" s="2" t="str">
        <f>IF(ISNUMBER(SEARCH("Basic",Real_Sales[[#This Row],[Product_name]])),"Yes","No")</f>
        <v>No</v>
      </c>
      <c r="Z762" s="2" cm="1">
        <f t="array" ref="Z762">_xlfn.IFS(Real_Sales[[#This Row],[Price_retail]]&lt;=15,1, Real_Sales[[#This Row],[Price_retail]]&lt;=30,2, Real_Sales[[#This Row],[Price_retail]]&lt;=50,3,Real_Sales[[#This Row],[Price_retail]]&gt;50,4)</f>
        <v>2</v>
      </c>
    </row>
    <row r="763" spans="1:26" x14ac:dyDescent="0.35">
      <c r="A763" s="2" t="s">
        <v>723</v>
      </c>
      <c r="B763" s="2" t="s">
        <v>724</v>
      </c>
      <c r="C763" s="2" t="s">
        <v>489</v>
      </c>
      <c r="D763" s="2" t="s">
        <v>725</v>
      </c>
      <c r="E763" s="2" t="s">
        <v>4</v>
      </c>
      <c r="F763" s="2" t="s">
        <v>17</v>
      </c>
      <c r="G763" s="2" t="s">
        <v>67</v>
      </c>
      <c r="H763" s="2" t="s">
        <v>110</v>
      </c>
      <c r="I763" s="2" t="s">
        <v>3395</v>
      </c>
      <c r="J763" s="3">
        <v>25.14</v>
      </c>
      <c r="K763" s="3">
        <v>25.14</v>
      </c>
      <c r="L763" s="2" t="s">
        <v>3391</v>
      </c>
      <c r="M763" s="2" t="s">
        <v>9</v>
      </c>
      <c r="N763" s="3">
        <v>995</v>
      </c>
      <c r="O763" s="2" t="s">
        <v>20</v>
      </c>
      <c r="P763" s="2" t="s">
        <v>70</v>
      </c>
      <c r="Q763" s="3"/>
      <c r="R763" s="3"/>
      <c r="S763" s="2" t="s">
        <v>21</v>
      </c>
      <c r="T763" s="4">
        <v>44955</v>
      </c>
      <c r="U763" s="2" t="s">
        <v>726</v>
      </c>
      <c r="V763" s="6">
        <f>(Real_Sales[[#This Row],[Price_retail]]-Real_Sales[[#This Row],[Price_current]])/Real_Sales[[#This Row],[Price_retail]]</f>
        <v>0</v>
      </c>
      <c r="W763" s="3" t="str" cm="1">
        <f t="array" ref="W76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63" s="2" t="str">
        <f>IF(Real_Sales[[#This Row],[Price_retail]]&gt;$AC$3,"Premium","Average")</f>
        <v>Premium</v>
      </c>
      <c r="Y763" s="2" t="str">
        <f>IF(ISNUMBER(SEARCH("Basic",Real_Sales[[#This Row],[Product_name]])),"Yes","No")</f>
        <v>Yes</v>
      </c>
      <c r="Z763" s="2" cm="1">
        <f t="array" ref="Z763">_xlfn.IFS(Real_Sales[[#This Row],[Price_retail]]&lt;=15,1, Real_Sales[[#This Row],[Price_retail]]&lt;=30,2, Real_Sales[[#This Row],[Price_retail]]&lt;=50,3,Real_Sales[[#This Row],[Price_retail]]&gt;50,4)</f>
        <v>2</v>
      </c>
    </row>
    <row r="764" spans="1:26" x14ac:dyDescent="0.35">
      <c r="A764" s="2" t="s">
        <v>3293</v>
      </c>
      <c r="B764" s="2" t="s">
        <v>3294</v>
      </c>
      <c r="C764" s="2" t="s">
        <v>3394</v>
      </c>
      <c r="D764" s="2" t="s">
        <v>751</v>
      </c>
      <c r="E764" s="2" t="s">
        <v>4</v>
      </c>
      <c r="F764" s="2" t="s">
        <v>5</v>
      </c>
      <c r="G764" s="2" t="s">
        <v>6</v>
      </c>
      <c r="H764" s="2"/>
      <c r="I764" s="2" t="s">
        <v>3390</v>
      </c>
      <c r="J764" s="3">
        <v>25.21</v>
      </c>
      <c r="K764" s="3">
        <v>11.61</v>
      </c>
      <c r="L764" s="2" t="s">
        <v>8</v>
      </c>
      <c r="M764" s="2" t="s">
        <v>9</v>
      </c>
      <c r="N764" s="3">
        <v>173</v>
      </c>
      <c r="O764" s="2" t="s">
        <v>3392</v>
      </c>
      <c r="P764" s="2" t="s">
        <v>163</v>
      </c>
      <c r="Q764" s="3"/>
      <c r="R764" s="3"/>
      <c r="S764" s="2" t="s">
        <v>21</v>
      </c>
      <c r="T764" s="4">
        <v>44955</v>
      </c>
      <c r="U764" s="2" t="s">
        <v>3295</v>
      </c>
      <c r="V764" s="6">
        <f>(Real_Sales[[#This Row],[Price_retail]]-Real_Sales[[#This Row],[Price_current]])/Real_Sales[[#This Row],[Price_retail]]</f>
        <v>0.53946846489488298</v>
      </c>
      <c r="W764" s="3" t="str" cm="1">
        <f t="array" ref="W764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64" s="2" t="str">
        <f>IF(Real_Sales[[#This Row],[Price_retail]]&gt;$AC$3,"Premium","Average")</f>
        <v>Premium</v>
      </c>
      <c r="Y764" s="2" t="str">
        <f>IF(ISNUMBER(SEARCH("Basic",Real_Sales[[#This Row],[Product_name]])),"Yes","No")</f>
        <v>No</v>
      </c>
      <c r="Z764" s="2" cm="1">
        <f t="array" ref="Z764">_xlfn.IFS(Real_Sales[[#This Row],[Price_retail]]&lt;=15,1, Real_Sales[[#This Row],[Price_retail]]&lt;=30,2, Real_Sales[[#This Row],[Price_retail]]&lt;=50,3,Real_Sales[[#This Row],[Price_retail]]&gt;50,4)</f>
        <v>2</v>
      </c>
    </row>
    <row r="765" spans="1:26" x14ac:dyDescent="0.35">
      <c r="A765" s="2" t="s">
        <v>1617</v>
      </c>
      <c r="B765" s="2" t="s">
        <v>1618</v>
      </c>
      <c r="C765" s="2" t="s">
        <v>585</v>
      </c>
      <c r="D765" s="2" t="s">
        <v>190</v>
      </c>
      <c r="E765" s="2" t="s">
        <v>4</v>
      </c>
      <c r="F765" s="2" t="s">
        <v>5</v>
      </c>
      <c r="G765" s="2" t="s">
        <v>82</v>
      </c>
      <c r="H765" s="2" t="s">
        <v>134</v>
      </c>
      <c r="I765" s="2" t="s">
        <v>3390</v>
      </c>
      <c r="J765" s="3">
        <v>25.31</v>
      </c>
      <c r="K765" s="3">
        <v>18.760000000000002</v>
      </c>
      <c r="L765" s="2" t="s">
        <v>8</v>
      </c>
      <c r="M765" s="2" t="s">
        <v>9</v>
      </c>
      <c r="N765" s="3">
        <v>639</v>
      </c>
      <c r="O765" s="2" t="s">
        <v>302</v>
      </c>
      <c r="P765" s="2" t="s">
        <v>215</v>
      </c>
      <c r="Q765" s="3"/>
      <c r="R765" s="3"/>
      <c r="S765" s="2" t="s">
        <v>21</v>
      </c>
      <c r="T765" s="4">
        <v>44955</v>
      </c>
      <c r="U765" s="2" t="s">
        <v>1619</v>
      </c>
      <c r="V765" s="6">
        <f>(Real_Sales[[#This Row],[Price_retail]]-Real_Sales[[#This Row],[Price_current]])/Real_Sales[[#This Row],[Price_retail]]</f>
        <v>0.25879099170288411</v>
      </c>
      <c r="W765" s="3" t="str" cm="1">
        <f t="array" ref="W76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65" s="2" t="str">
        <f>IF(Real_Sales[[#This Row],[Price_retail]]&gt;$AC$3,"Premium","Average")</f>
        <v>Premium</v>
      </c>
      <c r="Y765" s="2" t="str">
        <f>IF(ISNUMBER(SEARCH("Basic",Real_Sales[[#This Row],[Product_name]])),"Yes","No")</f>
        <v>Yes</v>
      </c>
      <c r="Z765" s="2" cm="1">
        <f t="array" ref="Z765">_xlfn.IFS(Real_Sales[[#This Row],[Price_retail]]&lt;=15,1, Real_Sales[[#This Row],[Price_retail]]&lt;=30,2, Real_Sales[[#This Row],[Price_retail]]&lt;=50,3,Real_Sales[[#This Row],[Price_retail]]&gt;50,4)</f>
        <v>2</v>
      </c>
    </row>
    <row r="766" spans="1:26" x14ac:dyDescent="0.35">
      <c r="A766" s="2" t="s">
        <v>2249</v>
      </c>
      <c r="B766" s="2" t="s">
        <v>2250</v>
      </c>
      <c r="C766" s="2" t="s">
        <v>242</v>
      </c>
      <c r="D766" s="2" t="s">
        <v>590</v>
      </c>
      <c r="E766" s="2" t="s">
        <v>4</v>
      </c>
      <c r="F766" s="2" t="s">
        <v>5</v>
      </c>
      <c r="G766" s="2" t="s">
        <v>121</v>
      </c>
      <c r="H766" s="2" t="s">
        <v>90</v>
      </c>
      <c r="I766" s="2" t="s">
        <v>3393</v>
      </c>
      <c r="J766" s="3">
        <v>25.34</v>
      </c>
      <c r="K766" s="3">
        <v>10.74</v>
      </c>
      <c r="L766" s="2" t="s">
        <v>8</v>
      </c>
      <c r="M766" s="2" t="s">
        <v>9</v>
      </c>
      <c r="N766" s="3">
        <v>586</v>
      </c>
      <c r="O766" s="2" t="s">
        <v>43</v>
      </c>
      <c r="P766" s="2" t="s">
        <v>1629</v>
      </c>
      <c r="Q766" s="3"/>
      <c r="R766" s="3"/>
      <c r="S766" s="2" t="s">
        <v>21</v>
      </c>
      <c r="T766" s="4">
        <v>44955</v>
      </c>
      <c r="U766" s="2" t="s">
        <v>2251</v>
      </c>
      <c r="V766" s="6">
        <f>(Real_Sales[[#This Row],[Price_retail]]-Real_Sales[[#This Row],[Price_current]])/Real_Sales[[#This Row],[Price_retail]]</f>
        <v>0.57616416732438835</v>
      </c>
      <c r="W766" s="3" t="str" cm="1">
        <f t="array" ref="W766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66" s="2" t="str">
        <f>IF(Real_Sales[[#This Row],[Price_retail]]&gt;$AC$3,"Premium","Average")</f>
        <v>Premium</v>
      </c>
      <c r="Y766" s="2" t="str">
        <f>IF(ISNUMBER(SEARCH("Basic",Real_Sales[[#This Row],[Product_name]])),"Yes","No")</f>
        <v>Yes</v>
      </c>
      <c r="Z766" s="2" cm="1">
        <f t="array" ref="Z766">_xlfn.IFS(Real_Sales[[#This Row],[Price_retail]]&lt;=15,1, Real_Sales[[#This Row],[Price_retail]]&lt;=30,2, Real_Sales[[#This Row],[Price_retail]]&lt;=50,3,Real_Sales[[#This Row],[Price_retail]]&gt;50,4)</f>
        <v>2</v>
      </c>
    </row>
    <row r="767" spans="1:26" x14ac:dyDescent="0.35">
      <c r="A767" s="2" t="s">
        <v>907</v>
      </c>
      <c r="B767" s="2" t="s">
        <v>908</v>
      </c>
      <c r="C767" s="2" t="s">
        <v>65</v>
      </c>
      <c r="D767" s="2" t="s">
        <v>909</v>
      </c>
      <c r="E767" s="2" t="s">
        <v>4</v>
      </c>
      <c r="F767" s="2" t="s">
        <v>17</v>
      </c>
      <c r="G767" s="2" t="s">
        <v>67</v>
      </c>
      <c r="H767" s="2" t="s">
        <v>110</v>
      </c>
      <c r="I767" s="2" t="s">
        <v>3390</v>
      </c>
      <c r="J767" s="3">
        <v>25.34</v>
      </c>
      <c r="K767" s="3">
        <v>19.7</v>
      </c>
      <c r="L767" s="2" t="s">
        <v>8</v>
      </c>
      <c r="M767" s="2" t="s">
        <v>9</v>
      </c>
      <c r="N767" s="3">
        <v>365</v>
      </c>
      <c r="O767" s="2" t="s">
        <v>104</v>
      </c>
      <c r="P767" s="2" t="s">
        <v>221</v>
      </c>
      <c r="Q767" s="3"/>
      <c r="R767" s="3"/>
      <c r="S767" s="2" t="s">
        <v>12</v>
      </c>
      <c r="T767" s="4">
        <v>44955</v>
      </c>
      <c r="U767" s="2" t="s">
        <v>910</v>
      </c>
      <c r="V767" s="6">
        <f>(Real_Sales[[#This Row],[Price_retail]]-Real_Sales[[#This Row],[Price_current]])/Real_Sales[[#This Row],[Price_retail]]</f>
        <v>0.22257300710339387</v>
      </c>
      <c r="W767" s="3" t="str" cm="1">
        <f t="array" ref="W76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67" s="2" t="str">
        <f>IF(Real_Sales[[#This Row],[Price_retail]]&gt;$AC$3,"Premium","Average")</f>
        <v>Premium</v>
      </c>
      <c r="Y767" s="2" t="str">
        <f>IF(ISNUMBER(SEARCH("Basic",Real_Sales[[#This Row],[Product_name]])),"Yes","No")</f>
        <v>No</v>
      </c>
      <c r="Z767" s="2" cm="1">
        <f t="array" ref="Z767">_xlfn.IFS(Real_Sales[[#This Row],[Price_retail]]&lt;=15,1, Real_Sales[[#This Row],[Price_retail]]&lt;=30,2, Real_Sales[[#This Row],[Price_retail]]&lt;=50,3,Real_Sales[[#This Row],[Price_retail]]&gt;50,4)</f>
        <v>2</v>
      </c>
    </row>
    <row r="768" spans="1:26" x14ac:dyDescent="0.35">
      <c r="A768" s="2" t="s">
        <v>2795</v>
      </c>
      <c r="B768" s="2" t="s">
        <v>2796</v>
      </c>
      <c r="C768" s="2" t="s">
        <v>541</v>
      </c>
      <c r="D768" s="2" t="s">
        <v>621</v>
      </c>
      <c r="E768" s="2" t="s">
        <v>4</v>
      </c>
      <c r="F768" s="2" t="s">
        <v>17</v>
      </c>
      <c r="G768" s="2" t="s">
        <v>50</v>
      </c>
      <c r="H768" s="2" t="s">
        <v>68</v>
      </c>
      <c r="I768" s="2" t="s">
        <v>3393</v>
      </c>
      <c r="J768" s="3">
        <v>25.41</v>
      </c>
      <c r="K768" s="3">
        <v>25.41</v>
      </c>
      <c r="L768" s="2" t="s">
        <v>3391</v>
      </c>
      <c r="M768" s="2" t="s">
        <v>9</v>
      </c>
      <c r="N768" s="3">
        <v>22</v>
      </c>
      <c r="O768" s="2" t="s">
        <v>52</v>
      </c>
      <c r="P768" s="2" t="s">
        <v>169</v>
      </c>
      <c r="Q768" s="3"/>
      <c r="R768" s="3"/>
      <c r="S768" s="2" t="s">
        <v>21</v>
      </c>
      <c r="T768" s="4">
        <v>44955</v>
      </c>
      <c r="U768" s="2" t="s">
        <v>2797</v>
      </c>
      <c r="V768" s="6">
        <f>(Real_Sales[[#This Row],[Price_retail]]-Real_Sales[[#This Row],[Price_current]])/Real_Sales[[#This Row],[Price_retail]]</f>
        <v>0</v>
      </c>
      <c r="W768" s="3" t="str" cm="1">
        <f t="array" ref="W7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68" s="2" t="str">
        <f>IF(Real_Sales[[#This Row],[Price_retail]]&gt;$AC$3,"Premium","Average")</f>
        <v>Premium</v>
      </c>
      <c r="Y768" s="2" t="str">
        <f>IF(ISNUMBER(SEARCH("Basic",Real_Sales[[#This Row],[Product_name]])),"Yes","No")</f>
        <v>No</v>
      </c>
      <c r="Z768" s="2" cm="1">
        <f t="array" ref="Z768">_xlfn.IFS(Real_Sales[[#This Row],[Price_retail]]&lt;=15,1, Real_Sales[[#This Row],[Price_retail]]&lt;=30,2, Real_Sales[[#This Row],[Price_retail]]&lt;=50,3,Real_Sales[[#This Row],[Price_retail]]&gt;50,4)</f>
        <v>2</v>
      </c>
    </row>
    <row r="769" spans="1:26" x14ac:dyDescent="0.35">
      <c r="A769" s="2" t="s">
        <v>3362</v>
      </c>
      <c r="B769" s="2" t="s">
        <v>3363</v>
      </c>
      <c r="C769" s="2" t="s">
        <v>333</v>
      </c>
      <c r="D769" s="2" t="s">
        <v>1723</v>
      </c>
      <c r="E769" s="2" t="s">
        <v>4</v>
      </c>
      <c r="F769" s="2" t="s">
        <v>17</v>
      </c>
      <c r="G769" s="2" t="s">
        <v>50</v>
      </c>
      <c r="H769" s="2" t="s">
        <v>139</v>
      </c>
      <c r="I769" s="2" t="s">
        <v>3390</v>
      </c>
      <c r="J769" s="3">
        <v>25.45</v>
      </c>
      <c r="K769" s="3">
        <v>15.79</v>
      </c>
      <c r="L769" s="2" t="s">
        <v>8</v>
      </c>
      <c r="M769" s="2" t="s">
        <v>9</v>
      </c>
      <c r="N769" s="3">
        <v>512</v>
      </c>
      <c r="O769" s="2" t="s">
        <v>664</v>
      </c>
      <c r="P769" s="2" t="s">
        <v>368</v>
      </c>
      <c r="Q769" s="3"/>
      <c r="R769" s="3"/>
      <c r="S769" s="2" t="s">
        <v>21</v>
      </c>
      <c r="T769" s="4">
        <v>44955</v>
      </c>
      <c r="U769" s="2" t="s">
        <v>3364</v>
      </c>
      <c r="V769" s="6">
        <f>(Real_Sales[[#This Row],[Price_retail]]-Real_Sales[[#This Row],[Price_current]])/Real_Sales[[#This Row],[Price_retail]]</f>
        <v>0.37956777996070729</v>
      </c>
      <c r="W769" s="3" t="str" cm="1">
        <f t="array" ref="W76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69" s="2" t="str">
        <f>IF(Real_Sales[[#This Row],[Price_retail]]&gt;$AC$3,"Premium","Average")</f>
        <v>Premium</v>
      </c>
      <c r="Y769" s="2" t="str">
        <f>IF(ISNUMBER(SEARCH("Basic",Real_Sales[[#This Row],[Product_name]])),"Yes","No")</f>
        <v>No</v>
      </c>
      <c r="Z769" s="2" cm="1">
        <f t="array" ref="Z769">_xlfn.IFS(Real_Sales[[#This Row],[Price_retail]]&lt;=15,1, Real_Sales[[#This Row],[Price_retail]]&lt;=30,2, Real_Sales[[#This Row],[Price_retail]]&lt;=50,3,Real_Sales[[#This Row],[Price_retail]]&gt;50,4)</f>
        <v>2</v>
      </c>
    </row>
    <row r="770" spans="1:26" x14ac:dyDescent="0.35">
      <c r="A770" s="2" t="s">
        <v>1335</v>
      </c>
      <c r="B770" s="2" t="s">
        <v>1336</v>
      </c>
      <c r="C770" s="2" t="s">
        <v>65</v>
      </c>
      <c r="D770" s="2" t="s">
        <v>1176</v>
      </c>
      <c r="E770" s="2" t="s">
        <v>4</v>
      </c>
      <c r="F770" s="2" t="s">
        <v>17</v>
      </c>
      <c r="G770" s="2" t="s">
        <v>67</v>
      </c>
      <c r="H770" s="2" t="s">
        <v>83</v>
      </c>
      <c r="I770" s="2" t="s">
        <v>3390</v>
      </c>
      <c r="J770" s="3">
        <v>25.45</v>
      </c>
      <c r="K770" s="3">
        <v>25.45</v>
      </c>
      <c r="L770" s="2" t="s">
        <v>3391</v>
      </c>
      <c r="M770" s="2" t="s">
        <v>9</v>
      </c>
      <c r="N770" s="3">
        <v>62</v>
      </c>
      <c r="O770" s="2" t="s">
        <v>3392</v>
      </c>
      <c r="P770" s="2" t="s">
        <v>30</v>
      </c>
      <c r="Q770" s="3"/>
      <c r="R770" s="3"/>
      <c r="S770" s="2" t="s">
        <v>12</v>
      </c>
      <c r="T770" s="4">
        <v>44955</v>
      </c>
      <c r="U770" s="2" t="s">
        <v>1337</v>
      </c>
      <c r="V770" s="6">
        <f>(Real_Sales[[#This Row],[Price_retail]]-Real_Sales[[#This Row],[Price_current]])/Real_Sales[[#This Row],[Price_retail]]</f>
        <v>0</v>
      </c>
      <c r="W770" s="3" t="str" cm="1">
        <f t="array" ref="W77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70" s="2" t="str">
        <f>IF(Real_Sales[[#This Row],[Price_retail]]&gt;$AC$3,"Premium","Average")</f>
        <v>Premium</v>
      </c>
      <c r="Y770" s="2" t="str">
        <f>IF(ISNUMBER(SEARCH("Basic",Real_Sales[[#This Row],[Product_name]])),"Yes","No")</f>
        <v>No</v>
      </c>
      <c r="Z770" s="2" cm="1">
        <f t="array" ref="Z770">_xlfn.IFS(Real_Sales[[#This Row],[Price_retail]]&lt;=15,1, Real_Sales[[#This Row],[Price_retail]]&lt;=30,2, Real_Sales[[#This Row],[Price_retail]]&lt;=50,3,Real_Sales[[#This Row],[Price_retail]]&gt;50,4)</f>
        <v>2</v>
      </c>
    </row>
    <row r="771" spans="1:26" x14ac:dyDescent="0.35">
      <c r="A771" s="2" t="s">
        <v>2084</v>
      </c>
      <c r="B771" s="2" t="s">
        <v>2085</v>
      </c>
      <c r="C771" s="2" t="s">
        <v>242</v>
      </c>
      <c r="D771" s="2" t="s">
        <v>301</v>
      </c>
      <c r="E771" s="2" t="s">
        <v>4</v>
      </c>
      <c r="F771" s="2" t="s">
        <v>17</v>
      </c>
      <c r="G771" s="2" t="s">
        <v>67</v>
      </c>
      <c r="H771" s="2" t="s">
        <v>145</v>
      </c>
      <c r="I771" s="2" t="s">
        <v>3393</v>
      </c>
      <c r="J771" s="3">
        <v>25.47</v>
      </c>
      <c r="K771" s="3">
        <v>11.32</v>
      </c>
      <c r="L771" s="2" t="s">
        <v>8</v>
      </c>
      <c r="M771" s="2" t="s">
        <v>9</v>
      </c>
      <c r="N771" s="3">
        <v>46</v>
      </c>
      <c r="O771" s="2" t="s">
        <v>75</v>
      </c>
      <c r="P771" s="2" t="s">
        <v>254</v>
      </c>
      <c r="Q771" s="3"/>
      <c r="R771" s="3"/>
      <c r="S771" s="2" t="s">
        <v>21</v>
      </c>
      <c r="T771" s="4">
        <v>44955</v>
      </c>
      <c r="U771" s="2" t="s">
        <v>2086</v>
      </c>
      <c r="V771" s="6">
        <f>(Real_Sales[[#This Row],[Price_retail]]-Real_Sales[[#This Row],[Price_current]])/Real_Sales[[#This Row],[Price_retail]]</f>
        <v>0.55555555555555547</v>
      </c>
      <c r="W771" s="3" t="str" cm="1">
        <f t="array" ref="W771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71" s="2" t="str">
        <f>IF(Real_Sales[[#This Row],[Price_retail]]&gt;$AC$3,"Premium","Average")</f>
        <v>Premium</v>
      </c>
      <c r="Y771" s="2" t="str">
        <f>IF(ISNUMBER(SEARCH("Basic",Real_Sales[[#This Row],[Product_name]])),"Yes","No")</f>
        <v>No</v>
      </c>
      <c r="Z771" s="2" cm="1">
        <f t="array" ref="Z771">_xlfn.IFS(Real_Sales[[#This Row],[Price_retail]]&lt;=15,1, Real_Sales[[#This Row],[Price_retail]]&lt;=30,2, Real_Sales[[#This Row],[Price_retail]]&lt;=50,3,Real_Sales[[#This Row],[Price_retail]]&gt;50,4)</f>
        <v>2</v>
      </c>
    </row>
    <row r="772" spans="1:26" x14ac:dyDescent="0.35">
      <c r="A772" s="2" t="s">
        <v>2883</v>
      </c>
      <c r="B772" s="2" t="s">
        <v>2884</v>
      </c>
      <c r="C772" s="2" t="s">
        <v>242</v>
      </c>
      <c r="D772" s="2" t="s">
        <v>577</v>
      </c>
      <c r="E772" s="2" t="s">
        <v>4</v>
      </c>
      <c r="F772" s="2" t="s">
        <v>5</v>
      </c>
      <c r="G772" s="2" t="s">
        <v>121</v>
      </c>
      <c r="H772" s="2" t="s">
        <v>168</v>
      </c>
      <c r="I772" s="2" t="s">
        <v>3390</v>
      </c>
      <c r="J772" s="3">
        <v>25.47</v>
      </c>
      <c r="K772" s="3">
        <v>16.36</v>
      </c>
      <c r="L772" s="2" t="s">
        <v>8</v>
      </c>
      <c r="M772" s="2" t="s">
        <v>9</v>
      </c>
      <c r="N772" s="3">
        <v>212</v>
      </c>
      <c r="O772" s="2" t="s">
        <v>69</v>
      </c>
      <c r="P772" s="2" t="s">
        <v>553</v>
      </c>
      <c r="Q772" s="3"/>
      <c r="R772" s="3"/>
      <c r="S772" s="2" t="s">
        <v>21</v>
      </c>
      <c r="T772" s="4">
        <v>44955</v>
      </c>
      <c r="U772" s="2" t="s">
        <v>2885</v>
      </c>
      <c r="V772" s="6">
        <f>(Real_Sales[[#This Row],[Price_retail]]-Real_Sales[[#This Row],[Price_current]])/Real_Sales[[#This Row],[Price_retail]]</f>
        <v>0.35767569689831175</v>
      </c>
      <c r="W772" s="3" t="str" cm="1">
        <f t="array" ref="W77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72" s="2" t="str">
        <f>IF(Real_Sales[[#This Row],[Price_retail]]&gt;$AC$3,"Premium","Average")</f>
        <v>Premium</v>
      </c>
      <c r="Y772" s="2" t="str">
        <f>IF(ISNUMBER(SEARCH("Basic",Real_Sales[[#This Row],[Product_name]])),"Yes","No")</f>
        <v>No</v>
      </c>
      <c r="Z772" s="2" cm="1">
        <f t="array" ref="Z772">_xlfn.IFS(Real_Sales[[#This Row],[Price_retail]]&lt;=15,1, Real_Sales[[#This Row],[Price_retail]]&lt;=30,2, Real_Sales[[#This Row],[Price_retail]]&lt;=50,3,Real_Sales[[#This Row],[Price_retail]]&gt;50,4)</f>
        <v>2</v>
      </c>
    </row>
    <row r="773" spans="1:26" x14ac:dyDescent="0.35">
      <c r="A773" s="2" t="s">
        <v>1017</v>
      </c>
      <c r="B773" s="2" t="s">
        <v>1018</v>
      </c>
      <c r="C773" s="2" t="s">
        <v>721</v>
      </c>
      <c r="D773" s="2" t="s">
        <v>640</v>
      </c>
      <c r="E773" s="2" t="s">
        <v>4</v>
      </c>
      <c r="F773" s="2" t="s">
        <v>17</v>
      </c>
      <c r="G773" s="2" t="s">
        <v>27</v>
      </c>
      <c r="H773" s="2" t="s">
        <v>139</v>
      </c>
      <c r="I773" s="2" t="s">
        <v>3390</v>
      </c>
      <c r="J773" s="3">
        <v>25.53</v>
      </c>
      <c r="K773" s="3">
        <v>25.53</v>
      </c>
      <c r="L773" s="2" t="s">
        <v>3391</v>
      </c>
      <c r="M773" s="2" t="s">
        <v>9</v>
      </c>
      <c r="N773" s="3">
        <v>229</v>
      </c>
      <c r="O773" s="2" t="s">
        <v>347</v>
      </c>
      <c r="P773" s="2" t="s">
        <v>192</v>
      </c>
      <c r="Q773" s="3"/>
      <c r="R773" s="3"/>
      <c r="S773" s="2" t="s">
        <v>21</v>
      </c>
      <c r="T773" s="4">
        <v>44955</v>
      </c>
      <c r="U773" s="2" t="s">
        <v>1019</v>
      </c>
      <c r="V773" s="6">
        <f>(Real_Sales[[#This Row],[Price_retail]]-Real_Sales[[#This Row],[Price_current]])/Real_Sales[[#This Row],[Price_retail]]</f>
        <v>0</v>
      </c>
      <c r="W773" s="3" t="str" cm="1">
        <f t="array" ref="W77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73" s="2" t="str">
        <f>IF(Real_Sales[[#This Row],[Price_retail]]&gt;$AC$3,"Premium","Average")</f>
        <v>Premium</v>
      </c>
      <c r="Y773" s="2" t="str">
        <f>IF(ISNUMBER(SEARCH("Basic",Real_Sales[[#This Row],[Product_name]])),"Yes","No")</f>
        <v>No</v>
      </c>
      <c r="Z773" s="2" cm="1">
        <f t="array" ref="Z773">_xlfn.IFS(Real_Sales[[#This Row],[Price_retail]]&lt;=15,1, Real_Sales[[#This Row],[Price_retail]]&lt;=30,2, Real_Sales[[#This Row],[Price_retail]]&lt;=50,3,Real_Sales[[#This Row],[Price_retail]]&gt;50,4)</f>
        <v>2</v>
      </c>
    </row>
    <row r="774" spans="1:26" x14ac:dyDescent="0.35">
      <c r="A774" s="2" t="s">
        <v>2776</v>
      </c>
      <c r="B774" s="2" t="s">
        <v>2777</v>
      </c>
      <c r="C774" s="2" t="s">
        <v>2915</v>
      </c>
      <c r="D774" s="2" t="s">
        <v>1176</v>
      </c>
      <c r="E774" s="2" t="s">
        <v>4</v>
      </c>
      <c r="F774" s="2" t="s">
        <v>17</v>
      </c>
      <c r="G774" s="2" t="s">
        <v>67</v>
      </c>
      <c r="H774" s="2" t="s">
        <v>83</v>
      </c>
      <c r="I774" s="2" t="s">
        <v>3395</v>
      </c>
      <c r="J774" s="3">
        <v>25.63</v>
      </c>
      <c r="K774" s="3">
        <v>25.63</v>
      </c>
      <c r="L774" s="2" t="s">
        <v>3391</v>
      </c>
      <c r="M774" s="2" t="s">
        <v>9</v>
      </c>
      <c r="N774" s="3">
        <v>571</v>
      </c>
      <c r="O774" s="2" t="s">
        <v>29</v>
      </c>
      <c r="P774" s="2" t="s">
        <v>3392</v>
      </c>
      <c r="Q774" s="3"/>
      <c r="R774" s="3"/>
      <c r="S774" s="2" t="s">
        <v>12</v>
      </c>
      <c r="T774" s="4">
        <v>44955</v>
      </c>
      <c r="U774" s="2" t="s">
        <v>2778</v>
      </c>
      <c r="V774" s="6">
        <f>(Real_Sales[[#This Row],[Price_retail]]-Real_Sales[[#This Row],[Price_current]])/Real_Sales[[#This Row],[Price_retail]]</f>
        <v>0</v>
      </c>
      <c r="W774" s="3" t="str" cm="1">
        <f t="array" ref="W7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74" s="2" t="str">
        <f>IF(Real_Sales[[#This Row],[Price_retail]]&gt;$AC$3,"Premium","Average")</f>
        <v>Premium</v>
      </c>
      <c r="Y774" s="2" t="str">
        <f>IF(ISNUMBER(SEARCH("Basic",Real_Sales[[#This Row],[Product_name]])),"Yes","No")</f>
        <v>No</v>
      </c>
      <c r="Z774" s="2" cm="1">
        <f t="array" ref="Z774">_xlfn.IFS(Real_Sales[[#This Row],[Price_retail]]&lt;=15,1, Real_Sales[[#This Row],[Price_retail]]&lt;=30,2, Real_Sales[[#This Row],[Price_retail]]&lt;=50,3,Real_Sales[[#This Row],[Price_retail]]&gt;50,4)</f>
        <v>2</v>
      </c>
    </row>
    <row r="775" spans="1:26" x14ac:dyDescent="0.35">
      <c r="A775" s="2" t="s">
        <v>1576</v>
      </c>
      <c r="B775" s="2" t="s">
        <v>1577</v>
      </c>
      <c r="C775" s="2" t="s">
        <v>25</v>
      </c>
      <c r="D775" s="2" t="s">
        <v>1238</v>
      </c>
      <c r="E775" s="2" t="s">
        <v>4</v>
      </c>
      <c r="F775" s="2" t="s">
        <v>5</v>
      </c>
      <c r="G775" s="2" t="s">
        <v>6</v>
      </c>
      <c r="H775" s="2" t="s">
        <v>168</v>
      </c>
      <c r="I775" s="2" t="s">
        <v>3390</v>
      </c>
      <c r="J775" s="3">
        <v>25.68</v>
      </c>
      <c r="K775" s="3">
        <v>12.77</v>
      </c>
      <c r="L775" s="2" t="s">
        <v>8</v>
      </c>
      <c r="M775" s="2" t="s">
        <v>9</v>
      </c>
      <c r="N775" s="3">
        <v>424</v>
      </c>
      <c r="O775" s="2" t="s">
        <v>261</v>
      </c>
      <c r="P775" s="2" t="s">
        <v>419</v>
      </c>
      <c r="Q775" s="3"/>
      <c r="R775" s="3"/>
      <c r="S775" s="2" t="s">
        <v>21</v>
      </c>
      <c r="T775" s="4">
        <v>44955</v>
      </c>
      <c r="U775" s="2" t="s">
        <v>1578</v>
      </c>
      <c r="V775" s="6">
        <f>(Real_Sales[[#This Row],[Price_retail]]-Real_Sales[[#This Row],[Price_current]])/Real_Sales[[#This Row],[Price_retail]]</f>
        <v>0.50272585669781933</v>
      </c>
      <c r="W775" s="3" t="str" cm="1">
        <f t="array" ref="W775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75" s="2" t="str">
        <f>IF(Real_Sales[[#This Row],[Price_retail]]&gt;$AC$3,"Premium","Average")</f>
        <v>Premium</v>
      </c>
      <c r="Y775" s="2" t="str">
        <f>IF(ISNUMBER(SEARCH("Basic",Real_Sales[[#This Row],[Product_name]])),"Yes","No")</f>
        <v>No</v>
      </c>
      <c r="Z775" s="2" cm="1">
        <f t="array" ref="Z775">_xlfn.IFS(Real_Sales[[#This Row],[Price_retail]]&lt;=15,1, Real_Sales[[#This Row],[Price_retail]]&lt;=30,2, Real_Sales[[#This Row],[Price_retail]]&lt;=50,3,Real_Sales[[#This Row],[Price_retail]]&gt;50,4)</f>
        <v>2</v>
      </c>
    </row>
    <row r="776" spans="1:26" x14ac:dyDescent="0.35">
      <c r="A776" s="2" t="s">
        <v>406</v>
      </c>
      <c r="B776" s="2" t="s">
        <v>407</v>
      </c>
      <c r="C776" s="2" t="s">
        <v>157</v>
      </c>
      <c r="D776" s="2" t="s">
        <v>408</v>
      </c>
      <c r="E776" s="2" t="s">
        <v>4</v>
      </c>
      <c r="F776" s="2" t="s">
        <v>5</v>
      </c>
      <c r="G776" s="2" t="s">
        <v>121</v>
      </c>
      <c r="H776" s="2" t="s">
        <v>28</v>
      </c>
      <c r="I776" s="2" t="s">
        <v>3390</v>
      </c>
      <c r="J776" s="3">
        <v>25.69</v>
      </c>
      <c r="K776" s="3">
        <v>13.79</v>
      </c>
      <c r="L776" s="2" t="s">
        <v>8</v>
      </c>
      <c r="M776" s="2" t="s">
        <v>9</v>
      </c>
      <c r="N776" s="3">
        <v>927</v>
      </c>
      <c r="O776" s="2" t="s">
        <v>3392</v>
      </c>
      <c r="P776" s="2" t="s">
        <v>70</v>
      </c>
      <c r="Q776" s="3"/>
      <c r="R776" s="3"/>
      <c r="S776" s="2" t="s">
        <v>21</v>
      </c>
      <c r="T776" s="4">
        <v>44955</v>
      </c>
      <c r="U776" s="2" t="s">
        <v>409</v>
      </c>
      <c r="V776" s="6">
        <f>(Real_Sales[[#This Row],[Price_retail]]-Real_Sales[[#This Row],[Price_current]])/Real_Sales[[#This Row],[Price_retail]]</f>
        <v>0.4632152588555859</v>
      </c>
      <c r="W776" s="3" t="str" cm="1">
        <f t="array" ref="W77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76" s="2" t="str">
        <f>IF(Real_Sales[[#This Row],[Price_retail]]&gt;$AC$3,"Premium","Average")</f>
        <v>Premium</v>
      </c>
      <c r="Y776" s="2" t="str">
        <f>IF(ISNUMBER(SEARCH("Basic",Real_Sales[[#This Row],[Product_name]])),"Yes","No")</f>
        <v>No</v>
      </c>
      <c r="Z776" s="2" cm="1">
        <f t="array" ref="Z776">_xlfn.IFS(Real_Sales[[#This Row],[Price_retail]]&lt;=15,1, Real_Sales[[#This Row],[Price_retail]]&lt;=30,2, Real_Sales[[#This Row],[Price_retail]]&lt;=50,3,Real_Sales[[#This Row],[Price_retail]]&gt;50,4)</f>
        <v>2</v>
      </c>
    </row>
    <row r="777" spans="1:26" x14ac:dyDescent="0.35">
      <c r="A777" s="2" t="s">
        <v>2565</v>
      </c>
      <c r="B777" s="2" t="s">
        <v>2566</v>
      </c>
      <c r="C777" s="2" t="s">
        <v>423</v>
      </c>
      <c r="D777" s="2" t="s">
        <v>236</v>
      </c>
      <c r="E777" s="2" t="s">
        <v>4</v>
      </c>
      <c r="F777" s="2" t="s">
        <v>17</v>
      </c>
      <c r="G777" s="2" t="s">
        <v>27</v>
      </c>
      <c r="H777" s="2" t="s">
        <v>237</v>
      </c>
      <c r="I777" s="2" t="s">
        <v>3393</v>
      </c>
      <c r="J777" s="3">
        <v>25.79</v>
      </c>
      <c r="K777" s="3">
        <v>25.79</v>
      </c>
      <c r="L777" s="2" t="s">
        <v>3391</v>
      </c>
      <c r="M777" s="2" t="s">
        <v>9</v>
      </c>
      <c r="N777" s="3">
        <v>78</v>
      </c>
      <c r="O777" s="2" t="s">
        <v>191</v>
      </c>
      <c r="P777" s="2" t="s">
        <v>3392</v>
      </c>
      <c r="Q777" s="3"/>
      <c r="R777" s="3"/>
      <c r="S777" s="2" t="s">
        <v>21</v>
      </c>
      <c r="T777" s="4">
        <v>44955</v>
      </c>
      <c r="U777" s="2" t="s">
        <v>2567</v>
      </c>
      <c r="V777" s="6">
        <f>(Real_Sales[[#This Row],[Price_retail]]-Real_Sales[[#This Row],[Price_current]])/Real_Sales[[#This Row],[Price_retail]]</f>
        <v>0</v>
      </c>
      <c r="W777" s="3" t="str" cm="1">
        <f t="array" ref="W7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77" s="2" t="str">
        <f>IF(Real_Sales[[#This Row],[Price_retail]]&gt;$AC$3,"Premium","Average")</f>
        <v>Premium</v>
      </c>
      <c r="Y777" s="2" t="str">
        <f>IF(ISNUMBER(SEARCH("Basic",Real_Sales[[#This Row],[Product_name]])),"Yes","No")</f>
        <v>No</v>
      </c>
      <c r="Z777" s="2" cm="1">
        <f t="array" ref="Z777">_xlfn.IFS(Real_Sales[[#This Row],[Price_retail]]&lt;=15,1, Real_Sales[[#This Row],[Price_retail]]&lt;=30,2, Real_Sales[[#This Row],[Price_retail]]&lt;=50,3,Real_Sales[[#This Row],[Price_retail]]&gt;50,4)</f>
        <v>2</v>
      </c>
    </row>
    <row r="778" spans="1:26" x14ac:dyDescent="0.35">
      <c r="A778" s="2" t="s">
        <v>2853</v>
      </c>
      <c r="B778" s="2" t="s">
        <v>2854</v>
      </c>
      <c r="C778" s="2" t="s">
        <v>585</v>
      </c>
      <c r="D778" s="2" t="s">
        <v>490</v>
      </c>
      <c r="E778" s="2" t="s">
        <v>4</v>
      </c>
      <c r="F778" s="2" t="s">
        <v>17</v>
      </c>
      <c r="G778" s="2" t="s">
        <v>67</v>
      </c>
      <c r="H778" s="2" t="s">
        <v>185</v>
      </c>
      <c r="I778" s="2" t="s">
        <v>3393</v>
      </c>
      <c r="J778" s="3">
        <v>25.79</v>
      </c>
      <c r="K778" s="3">
        <v>25.79</v>
      </c>
      <c r="L778" s="2" t="s">
        <v>3391</v>
      </c>
      <c r="M778" s="2" t="s">
        <v>9</v>
      </c>
      <c r="N778" s="3">
        <v>169</v>
      </c>
      <c r="O778" s="2" t="s">
        <v>140</v>
      </c>
      <c r="P778" s="2" t="s">
        <v>238</v>
      </c>
      <c r="Q778" s="3"/>
      <c r="R778" s="3"/>
      <c r="S778" s="2" t="s">
        <v>21</v>
      </c>
      <c r="T778" s="4">
        <v>44955</v>
      </c>
      <c r="U778" s="2" t="s">
        <v>2855</v>
      </c>
      <c r="V778" s="6">
        <f>(Real_Sales[[#This Row],[Price_retail]]-Real_Sales[[#This Row],[Price_current]])/Real_Sales[[#This Row],[Price_retail]]</f>
        <v>0</v>
      </c>
      <c r="W778" s="3" t="str" cm="1">
        <f t="array" ref="W7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78" s="2" t="str">
        <f>IF(Real_Sales[[#This Row],[Price_retail]]&gt;$AC$3,"Premium","Average")</f>
        <v>Premium</v>
      </c>
      <c r="Y778" s="2" t="str">
        <f>IF(ISNUMBER(SEARCH("Basic",Real_Sales[[#This Row],[Product_name]])),"Yes","No")</f>
        <v>No</v>
      </c>
      <c r="Z778" s="2" cm="1">
        <f t="array" ref="Z778">_xlfn.IFS(Real_Sales[[#This Row],[Price_retail]]&lt;=15,1, Real_Sales[[#This Row],[Price_retail]]&lt;=30,2, Real_Sales[[#This Row],[Price_retail]]&lt;=50,3,Real_Sales[[#This Row],[Price_retail]]&gt;50,4)</f>
        <v>2</v>
      </c>
    </row>
    <row r="779" spans="1:26" x14ac:dyDescent="0.35">
      <c r="A779" s="2" t="s">
        <v>112</v>
      </c>
      <c r="B779" s="2" t="s">
        <v>113</v>
      </c>
      <c r="C779" s="2" t="s">
        <v>114</v>
      </c>
      <c r="D779" s="2" t="s">
        <v>115</v>
      </c>
      <c r="E779" s="2" t="s">
        <v>4</v>
      </c>
      <c r="F779" s="2" t="s">
        <v>17</v>
      </c>
      <c r="G779" s="2" t="s">
        <v>50</v>
      </c>
      <c r="H779" s="2" t="s">
        <v>90</v>
      </c>
      <c r="I779" s="2" t="s">
        <v>3393</v>
      </c>
      <c r="J779" s="3">
        <v>25.82</v>
      </c>
      <c r="K779" s="3">
        <v>17.670000000000002</v>
      </c>
      <c r="L779" s="2" t="s">
        <v>8</v>
      </c>
      <c r="M779" s="2" t="s">
        <v>9</v>
      </c>
      <c r="N779" s="3">
        <v>713</v>
      </c>
      <c r="O779" s="2" t="s">
        <v>91</v>
      </c>
      <c r="P779" s="2" t="s">
        <v>44</v>
      </c>
      <c r="Q779" s="3"/>
      <c r="R779" s="3"/>
      <c r="S779" s="2" t="s">
        <v>21</v>
      </c>
      <c r="T779" s="4">
        <v>44955</v>
      </c>
      <c r="U779" s="2" t="s">
        <v>116</v>
      </c>
      <c r="V779" s="6">
        <f>(Real_Sales[[#This Row],[Price_retail]]-Real_Sales[[#This Row],[Price_current]])/Real_Sales[[#This Row],[Price_retail]]</f>
        <v>0.31564678543764518</v>
      </c>
      <c r="W779" s="3" t="str" cm="1">
        <f t="array" ref="W77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79" s="2" t="str">
        <f>IF(Real_Sales[[#This Row],[Price_retail]]&gt;$AC$3,"Premium","Average")</f>
        <v>Premium</v>
      </c>
      <c r="Y779" s="2" t="str">
        <f>IF(ISNUMBER(SEARCH("Basic",Real_Sales[[#This Row],[Product_name]])),"Yes","No")</f>
        <v>No</v>
      </c>
      <c r="Z779" s="2" cm="1">
        <f t="array" ref="Z779">_xlfn.IFS(Real_Sales[[#This Row],[Price_retail]]&lt;=15,1, Real_Sales[[#This Row],[Price_retail]]&lt;=30,2, Real_Sales[[#This Row],[Price_retail]]&lt;=50,3,Real_Sales[[#This Row],[Price_retail]]&gt;50,4)</f>
        <v>2</v>
      </c>
    </row>
    <row r="780" spans="1:26" x14ac:dyDescent="0.35">
      <c r="A780" s="2" t="s">
        <v>2126</v>
      </c>
      <c r="B780" s="2" t="s">
        <v>2127</v>
      </c>
      <c r="C780" s="2" t="s">
        <v>132</v>
      </c>
      <c r="D780" s="2" t="s">
        <v>1773</v>
      </c>
      <c r="E780" s="2" t="s">
        <v>4</v>
      </c>
      <c r="F780" s="2" t="s">
        <v>17</v>
      </c>
      <c r="G780" s="2" t="s">
        <v>18</v>
      </c>
      <c r="H780" s="2" t="s">
        <v>333</v>
      </c>
      <c r="I780" s="2" t="s">
        <v>3393</v>
      </c>
      <c r="J780" s="3">
        <v>25.84</v>
      </c>
      <c r="K780" s="3">
        <v>25.84</v>
      </c>
      <c r="L780" s="2" t="s">
        <v>248</v>
      </c>
      <c r="M780" s="2" t="s">
        <v>9</v>
      </c>
      <c r="N780" s="3">
        <v>985</v>
      </c>
      <c r="O780" s="2" t="s">
        <v>10</v>
      </c>
      <c r="P780" s="2" t="s">
        <v>368</v>
      </c>
      <c r="Q780" s="3"/>
      <c r="R780" s="3"/>
      <c r="S780" s="2" t="s">
        <v>21</v>
      </c>
      <c r="T780" s="4">
        <v>44955</v>
      </c>
      <c r="U780" s="2" t="s">
        <v>2128</v>
      </c>
      <c r="V780" s="6">
        <f>(Real_Sales[[#This Row],[Price_retail]]-Real_Sales[[#This Row],[Price_current]])/Real_Sales[[#This Row],[Price_retail]]</f>
        <v>0</v>
      </c>
      <c r="W780" s="3" t="str" cm="1">
        <f t="array" ref="W78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0" s="2" t="str">
        <f>IF(Real_Sales[[#This Row],[Price_retail]]&gt;$AC$3,"Premium","Average")</f>
        <v>Premium</v>
      </c>
      <c r="Y780" s="2" t="str">
        <f>IF(ISNUMBER(SEARCH("Basic",Real_Sales[[#This Row],[Product_name]])),"Yes","No")</f>
        <v>No</v>
      </c>
      <c r="Z780" s="2" cm="1">
        <f t="array" ref="Z780">_xlfn.IFS(Real_Sales[[#This Row],[Price_retail]]&lt;=15,1, Real_Sales[[#This Row],[Price_retail]]&lt;=30,2, Real_Sales[[#This Row],[Price_retail]]&lt;=50,3,Real_Sales[[#This Row],[Price_retail]]&gt;50,4)</f>
        <v>2</v>
      </c>
    </row>
    <row r="781" spans="1:26" x14ac:dyDescent="0.35">
      <c r="A781" s="2" t="s">
        <v>1088</v>
      </c>
      <c r="B781" s="2" t="s">
        <v>1089</v>
      </c>
      <c r="C781" s="2" t="s">
        <v>1090</v>
      </c>
      <c r="D781" s="2" t="s">
        <v>1091</v>
      </c>
      <c r="E781" s="2" t="s">
        <v>4</v>
      </c>
      <c r="F781" s="2" t="s">
        <v>17</v>
      </c>
      <c r="G781" s="2" t="s">
        <v>67</v>
      </c>
      <c r="H781" s="2" t="s">
        <v>7</v>
      </c>
      <c r="I781" s="2" t="s">
        <v>3395</v>
      </c>
      <c r="J781" s="3">
        <v>25.94</v>
      </c>
      <c r="K781" s="3">
        <v>12.72</v>
      </c>
      <c r="L781" s="2" t="s">
        <v>8</v>
      </c>
      <c r="M781" s="2" t="s">
        <v>9</v>
      </c>
      <c r="N781" s="3">
        <v>396</v>
      </c>
      <c r="O781" s="2" t="s">
        <v>3392</v>
      </c>
      <c r="P781" s="2" t="s">
        <v>92</v>
      </c>
      <c r="Q781" s="3"/>
      <c r="R781" s="3"/>
      <c r="S781" s="2" t="s">
        <v>21</v>
      </c>
      <c r="T781" s="4">
        <v>44955</v>
      </c>
      <c r="U781" s="2" t="s">
        <v>1092</v>
      </c>
      <c r="V781" s="6">
        <f>(Real_Sales[[#This Row],[Price_retail]]-Real_Sales[[#This Row],[Price_current]])/Real_Sales[[#This Row],[Price_retail]]</f>
        <v>0.5096376252891287</v>
      </c>
      <c r="W781" s="3" t="str" cm="1">
        <f t="array" ref="W781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781" s="2" t="str">
        <f>IF(Real_Sales[[#This Row],[Price_retail]]&gt;$AC$3,"Premium","Average")</f>
        <v>Premium</v>
      </c>
      <c r="Y781" s="2" t="str">
        <f>IF(ISNUMBER(SEARCH("Basic",Real_Sales[[#This Row],[Product_name]])),"Yes","No")</f>
        <v>No</v>
      </c>
      <c r="Z781" s="2" cm="1">
        <f t="array" ref="Z781">_xlfn.IFS(Real_Sales[[#This Row],[Price_retail]]&lt;=15,1, Real_Sales[[#This Row],[Price_retail]]&lt;=30,2, Real_Sales[[#This Row],[Price_retail]]&lt;=50,3,Real_Sales[[#This Row],[Price_retail]]&gt;50,4)</f>
        <v>2</v>
      </c>
    </row>
    <row r="782" spans="1:26" x14ac:dyDescent="0.35">
      <c r="A782" s="2" t="s">
        <v>1886</v>
      </c>
      <c r="B782" s="2" t="s">
        <v>1887</v>
      </c>
      <c r="C782" s="2" t="s">
        <v>1888</v>
      </c>
      <c r="D782" s="2" t="s">
        <v>533</v>
      </c>
      <c r="E782" s="2" t="s">
        <v>4</v>
      </c>
      <c r="F782" s="2" t="s">
        <v>17</v>
      </c>
      <c r="G782" s="2" t="s">
        <v>27</v>
      </c>
      <c r="H782" s="2" t="s">
        <v>59</v>
      </c>
      <c r="I782" s="2" t="s">
        <v>3393</v>
      </c>
      <c r="J782" s="3">
        <v>25.99</v>
      </c>
      <c r="K782" s="3">
        <v>25.99</v>
      </c>
      <c r="L782" s="2" t="s">
        <v>3391</v>
      </c>
      <c r="M782" s="2" t="s">
        <v>9</v>
      </c>
      <c r="N782" s="3">
        <v>18</v>
      </c>
      <c r="O782" s="2" t="s">
        <v>104</v>
      </c>
      <c r="P782" s="2" t="s">
        <v>61</v>
      </c>
      <c r="Q782" s="3"/>
      <c r="R782" s="3"/>
      <c r="S782" s="2" t="s">
        <v>21</v>
      </c>
      <c r="T782" s="4">
        <v>44955</v>
      </c>
      <c r="U782" s="2" t="s">
        <v>1889</v>
      </c>
      <c r="V782" s="6">
        <f>(Real_Sales[[#This Row],[Price_retail]]-Real_Sales[[#This Row],[Price_current]])/Real_Sales[[#This Row],[Price_retail]]</f>
        <v>0</v>
      </c>
      <c r="W782" s="3" t="str" cm="1">
        <f t="array" ref="W7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2" s="2" t="str">
        <f>IF(Real_Sales[[#This Row],[Price_retail]]&gt;$AC$3,"Premium","Average")</f>
        <v>Premium</v>
      </c>
      <c r="Y782" s="2" t="str">
        <f>IF(ISNUMBER(SEARCH("Basic",Real_Sales[[#This Row],[Product_name]])),"Yes","No")</f>
        <v>No</v>
      </c>
      <c r="Z782" s="2" cm="1">
        <f t="array" ref="Z782">_xlfn.IFS(Real_Sales[[#This Row],[Price_retail]]&lt;=15,1, Real_Sales[[#This Row],[Price_retail]]&lt;=30,2, Real_Sales[[#This Row],[Price_retail]]&lt;=50,3,Real_Sales[[#This Row],[Price_retail]]&gt;50,4)</f>
        <v>2</v>
      </c>
    </row>
    <row r="783" spans="1:26" x14ac:dyDescent="0.35">
      <c r="A783" s="2" t="s">
        <v>2941</v>
      </c>
      <c r="B783" s="2" t="s">
        <v>2942</v>
      </c>
      <c r="C783" s="2" t="s">
        <v>2781</v>
      </c>
      <c r="D783" s="2" t="s">
        <v>292</v>
      </c>
      <c r="E783" s="2" t="s">
        <v>4</v>
      </c>
      <c r="F783" s="2" t="s">
        <v>17</v>
      </c>
      <c r="G783" s="2" t="s">
        <v>27</v>
      </c>
      <c r="H783" s="2" t="s">
        <v>145</v>
      </c>
      <c r="I783" s="2" t="s">
        <v>3390</v>
      </c>
      <c r="J783" s="3">
        <v>26.04</v>
      </c>
      <c r="K783" s="3">
        <v>26.04</v>
      </c>
      <c r="L783" s="2" t="s">
        <v>248</v>
      </c>
      <c r="M783" s="2" t="s">
        <v>9</v>
      </c>
      <c r="N783" s="3">
        <v>581</v>
      </c>
      <c r="O783" s="2" t="s">
        <v>664</v>
      </c>
      <c r="P783" s="2" t="s">
        <v>553</v>
      </c>
      <c r="Q783" s="3"/>
      <c r="R783" s="3"/>
      <c r="S783" s="2" t="s">
        <v>21</v>
      </c>
      <c r="T783" s="4">
        <v>44955</v>
      </c>
      <c r="U783" s="2" t="s">
        <v>2943</v>
      </c>
      <c r="V783" s="6">
        <f>(Real_Sales[[#This Row],[Price_retail]]-Real_Sales[[#This Row],[Price_current]])/Real_Sales[[#This Row],[Price_retail]]</f>
        <v>0</v>
      </c>
      <c r="W783" s="3" t="str" cm="1">
        <f t="array" ref="W78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3" s="2" t="str">
        <f>IF(Real_Sales[[#This Row],[Price_retail]]&gt;$AC$3,"Premium","Average")</f>
        <v>Premium</v>
      </c>
      <c r="Y783" s="2" t="str">
        <f>IF(ISNUMBER(SEARCH("Basic",Real_Sales[[#This Row],[Product_name]])),"Yes","No")</f>
        <v>No</v>
      </c>
      <c r="Z783" s="2" cm="1">
        <f t="array" ref="Z783">_xlfn.IFS(Real_Sales[[#This Row],[Price_retail]]&lt;=15,1, Real_Sales[[#This Row],[Price_retail]]&lt;=30,2, Real_Sales[[#This Row],[Price_retail]]&lt;=50,3,Real_Sales[[#This Row],[Price_retail]]&gt;50,4)</f>
        <v>2</v>
      </c>
    </row>
    <row r="784" spans="1:26" x14ac:dyDescent="0.35">
      <c r="A784" s="2" t="s">
        <v>571</v>
      </c>
      <c r="B784" s="2" t="s">
        <v>572</v>
      </c>
      <c r="C784" s="2" t="s">
        <v>2915</v>
      </c>
      <c r="D784" s="2" t="s">
        <v>573</v>
      </c>
      <c r="E784" s="2" t="s">
        <v>4</v>
      </c>
      <c r="F784" s="2" t="s">
        <v>5</v>
      </c>
      <c r="G784" s="2" t="s">
        <v>6</v>
      </c>
      <c r="H784" s="2" t="s">
        <v>68</v>
      </c>
      <c r="I784" s="2" t="s">
        <v>3390</v>
      </c>
      <c r="J784" s="3">
        <v>26.06</v>
      </c>
      <c r="K784" s="3">
        <v>26.06</v>
      </c>
      <c r="L784" s="2" t="s">
        <v>3391</v>
      </c>
      <c r="M784" s="2" t="s">
        <v>9</v>
      </c>
      <c r="N784" s="3">
        <v>395</v>
      </c>
      <c r="O784" s="2" t="s">
        <v>287</v>
      </c>
      <c r="P784" s="2" t="s">
        <v>192</v>
      </c>
      <c r="Q784" s="3"/>
      <c r="R784" s="3"/>
      <c r="S784" s="2" t="s">
        <v>21</v>
      </c>
      <c r="T784" s="4">
        <v>44955</v>
      </c>
      <c r="U784" s="2" t="s">
        <v>574</v>
      </c>
      <c r="V784" s="6">
        <f>(Real_Sales[[#This Row],[Price_retail]]-Real_Sales[[#This Row],[Price_current]])/Real_Sales[[#This Row],[Price_retail]]</f>
        <v>0</v>
      </c>
      <c r="W784" s="3" t="str" cm="1">
        <f t="array" ref="W7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4" s="2" t="str">
        <f>IF(Real_Sales[[#This Row],[Price_retail]]&gt;$AC$3,"Premium","Average")</f>
        <v>Premium</v>
      </c>
      <c r="Y784" s="2" t="str">
        <f>IF(ISNUMBER(SEARCH("Basic",Real_Sales[[#This Row],[Product_name]])),"Yes","No")</f>
        <v>No</v>
      </c>
      <c r="Z784" s="2" cm="1">
        <f t="array" ref="Z784">_xlfn.IFS(Real_Sales[[#This Row],[Price_retail]]&lt;=15,1, Real_Sales[[#This Row],[Price_retail]]&lt;=30,2, Real_Sales[[#This Row],[Price_retail]]&lt;=50,3,Real_Sales[[#This Row],[Price_retail]]&gt;50,4)</f>
        <v>2</v>
      </c>
    </row>
    <row r="785" spans="1:26" x14ac:dyDescent="0.35">
      <c r="A785" s="2" t="s">
        <v>2135</v>
      </c>
      <c r="B785" s="2" t="s">
        <v>2136</v>
      </c>
      <c r="C785" s="2" t="s">
        <v>3414</v>
      </c>
      <c r="D785" s="2" t="s">
        <v>338</v>
      </c>
      <c r="E785" s="2" t="s">
        <v>4</v>
      </c>
      <c r="F785" s="2" t="s">
        <v>17</v>
      </c>
      <c r="G785" s="2" t="s">
        <v>27</v>
      </c>
      <c r="H785" s="2" t="s">
        <v>90</v>
      </c>
      <c r="I785" s="2" t="s">
        <v>3393</v>
      </c>
      <c r="J785" s="3">
        <v>26.11</v>
      </c>
      <c r="K785" s="3">
        <v>26.11</v>
      </c>
      <c r="L785" s="2" t="s">
        <v>3391</v>
      </c>
      <c r="M785" s="2" t="s">
        <v>9</v>
      </c>
      <c r="N785" s="3">
        <v>79</v>
      </c>
      <c r="O785" s="2" t="s">
        <v>347</v>
      </c>
      <c r="P785" s="2" t="s">
        <v>11</v>
      </c>
      <c r="Q785" s="3"/>
      <c r="R785" s="3"/>
      <c r="S785" s="2" t="s">
        <v>21</v>
      </c>
      <c r="T785" s="4">
        <v>44955</v>
      </c>
      <c r="U785" s="2" t="s">
        <v>2137</v>
      </c>
      <c r="V785" s="6">
        <f>(Real_Sales[[#This Row],[Price_retail]]-Real_Sales[[#This Row],[Price_current]])/Real_Sales[[#This Row],[Price_retail]]</f>
        <v>0</v>
      </c>
      <c r="W785" s="3" t="str" cm="1">
        <f t="array" ref="W78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5" s="2" t="str">
        <f>IF(Real_Sales[[#This Row],[Price_retail]]&gt;$AC$3,"Premium","Average")</f>
        <v>Premium</v>
      </c>
      <c r="Y785" s="2" t="str">
        <f>IF(ISNUMBER(SEARCH("Basic",Real_Sales[[#This Row],[Product_name]])),"Yes","No")</f>
        <v>No</v>
      </c>
      <c r="Z785" s="2" cm="1">
        <f t="array" ref="Z785">_xlfn.IFS(Real_Sales[[#This Row],[Price_retail]]&lt;=15,1, Real_Sales[[#This Row],[Price_retail]]&lt;=30,2, Real_Sales[[#This Row],[Price_retail]]&lt;=50,3,Real_Sales[[#This Row],[Price_retail]]&gt;50,4)</f>
        <v>2</v>
      </c>
    </row>
    <row r="786" spans="1:26" x14ac:dyDescent="0.35">
      <c r="A786" s="2" t="s">
        <v>1192</v>
      </c>
      <c r="B786" s="2" t="s">
        <v>1193</v>
      </c>
      <c r="C786" s="2" t="s">
        <v>3394</v>
      </c>
      <c r="D786" s="2" t="s">
        <v>521</v>
      </c>
      <c r="E786" s="2" t="s">
        <v>4</v>
      </c>
      <c r="F786" s="2" t="s">
        <v>5</v>
      </c>
      <c r="G786" s="2" t="s">
        <v>6</v>
      </c>
      <c r="H786" s="2" t="s">
        <v>19</v>
      </c>
      <c r="I786" s="2" t="s">
        <v>3390</v>
      </c>
      <c r="J786" s="3">
        <v>26.14</v>
      </c>
      <c r="K786" s="3">
        <v>26.14</v>
      </c>
      <c r="L786" s="2" t="s">
        <v>3391</v>
      </c>
      <c r="M786" s="2" t="s">
        <v>9</v>
      </c>
      <c r="N786" s="3">
        <v>49</v>
      </c>
      <c r="O786" s="2" t="s">
        <v>3392</v>
      </c>
      <c r="P786" s="2" t="s">
        <v>92</v>
      </c>
      <c r="Q786" s="3"/>
      <c r="R786" s="3"/>
      <c r="S786" s="2" t="s">
        <v>12</v>
      </c>
      <c r="T786" s="4">
        <v>44955</v>
      </c>
      <c r="U786" s="2" t="s">
        <v>1194</v>
      </c>
      <c r="V786" s="6">
        <f>(Real_Sales[[#This Row],[Price_retail]]-Real_Sales[[#This Row],[Price_current]])/Real_Sales[[#This Row],[Price_retail]]</f>
        <v>0</v>
      </c>
      <c r="W786" s="3" t="str" cm="1">
        <f t="array" ref="W78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6" s="2" t="str">
        <f>IF(Real_Sales[[#This Row],[Price_retail]]&gt;$AC$3,"Premium","Average")</f>
        <v>Premium</v>
      </c>
      <c r="Y786" s="2" t="str">
        <f>IF(ISNUMBER(SEARCH("Basic",Real_Sales[[#This Row],[Product_name]])),"Yes","No")</f>
        <v>Yes</v>
      </c>
      <c r="Z786" s="2" cm="1">
        <f t="array" ref="Z786">_xlfn.IFS(Real_Sales[[#This Row],[Price_retail]]&lt;=15,1, Real_Sales[[#This Row],[Price_retail]]&lt;=30,2, Real_Sales[[#This Row],[Price_retail]]&lt;=50,3,Real_Sales[[#This Row],[Price_retail]]&gt;50,4)</f>
        <v>2</v>
      </c>
    </row>
    <row r="787" spans="1:26" x14ac:dyDescent="0.35">
      <c r="A787" s="2" t="s">
        <v>3122</v>
      </c>
      <c r="B787" s="2" t="s">
        <v>3123</v>
      </c>
      <c r="C787" s="2" t="s">
        <v>2781</v>
      </c>
      <c r="D787" s="2" t="s">
        <v>138</v>
      </c>
      <c r="E787" s="2" t="s">
        <v>4</v>
      </c>
      <c r="F787" s="2" t="s">
        <v>5</v>
      </c>
      <c r="G787" s="2" t="s">
        <v>121</v>
      </c>
      <c r="H787" s="2" t="s">
        <v>139</v>
      </c>
      <c r="I787" s="2" t="s">
        <v>3390</v>
      </c>
      <c r="J787" s="3">
        <v>26.15</v>
      </c>
      <c r="K787" s="3">
        <v>26.15</v>
      </c>
      <c r="L787" s="2" t="s">
        <v>3391</v>
      </c>
      <c r="M787" s="2" t="s">
        <v>9</v>
      </c>
      <c r="N787" s="3">
        <v>580</v>
      </c>
      <c r="O787" s="2" t="s">
        <v>52</v>
      </c>
      <c r="P787" s="2" t="s">
        <v>53</v>
      </c>
      <c r="Q787" s="3"/>
      <c r="R787" s="3"/>
      <c r="S787" s="2" t="s">
        <v>12</v>
      </c>
      <c r="T787" s="4">
        <v>44955</v>
      </c>
      <c r="U787" s="2" t="s">
        <v>3124</v>
      </c>
      <c r="V787" s="6">
        <f>(Real_Sales[[#This Row],[Price_retail]]-Real_Sales[[#This Row],[Price_current]])/Real_Sales[[#This Row],[Price_retail]]</f>
        <v>0</v>
      </c>
      <c r="W787" s="3" t="str" cm="1">
        <f t="array" ref="W78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7" s="2" t="str">
        <f>IF(Real_Sales[[#This Row],[Price_retail]]&gt;$AC$3,"Premium","Average")</f>
        <v>Premium</v>
      </c>
      <c r="Y787" s="2" t="str">
        <f>IF(ISNUMBER(SEARCH("Basic",Real_Sales[[#This Row],[Product_name]])),"Yes","No")</f>
        <v>Yes</v>
      </c>
      <c r="Z787" s="2" cm="1">
        <f t="array" ref="Z787">_xlfn.IFS(Real_Sales[[#This Row],[Price_retail]]&lt;=15,1, Real_Sales[[#This Row],[Price_retail]]&lt;=30,2, Real_Sales[[#This Row],[Price_retail]]&lt;=50,3,Real_Sales[[#This Row],[Price_retail]]&gt;50,4)</f>
        <v>2</v>
      </c>
    </row>
    <row r="788" spans="1:26" x14ac:dyDescent="0.35">
      <c r="A788" s="2" t="s">
        <v>2304</v>
      </c>
      <c r="B788" s="2" t="s">
        <v>2305</v>
      </c>
      <c r="C788" s="2" t="s">
        <v>242</v>
      </c>
      <c r="D788" s="2" t="s">
        <v>1301</v>
      </c>
      <c r="E788" s="2" t="s">
        <v>4</v>
      </c>
      <c r="F788" s="2" t="s">
        <v>17</v>
      </c>
      <c r="G788" s="2" t="s">
        <v>27</v>
      </c>
      <c r="H788" s="2" t="s">
        <v>237</v>
      </c>
      <c r="I788" s="2" t="s">
        <v>3390</v>
      </c>
      <c r="J788" s="3">
        <v>26.16</v>
      </c>
      <c r="K788" s="3">
        <v>26.16</v>
      </c>
      <c r="L788" s="2" t="s">
        <v>3391</v>
      </c>
      <c r="M788" s="2" t="s">
        <v>9</v>
      </c>
      <c r="N788" s="3">
        <v>948</v>
      </c>
      <c r="O788" s="2" t="s">
        <v>36</v>
      </c>
      <c r="P788" s="2" t="s">
        <v>53</v>
      </c>
      <c r="Q788" s="3"/>
      <c r="R788" s="3"/>
      <c r="S788" s="2" t="s">
        <v>21</v>
      </c>
      <c r="T788" s="4">
        <v>44955</v>
      </c>
      <c r="U788" s="2" t="s">
        <v>2306</v>
      </c>
      <c r="V788" s="6">
        <f>(Real_Sales[[#This Row],[Price_retail]]-Real_Sales[[#This Row],[Price_current]])/Real_Sales[[#This Row],[Price_retail]]</f>
        <v>0</v>
      </c>
      <c r="W788" s="3" t="str" cm="1">
        <f t="array" ref="W78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8" s="2" t="str">
        <f>IF(Real_Sales[[#This Row],[Price_retail]]&gt;$AC$3,"Premium","Average")</f>
        <v>Premium</v>
      </c>
      <c r="Y788" s="2" t="str">
        <f>IF(ISNUMBER(SEARCH("Basic",Real_Sales[[#This Row],[Product_name]])),"Yes","No")</f>
        <v>Yes</v>
      </c>
      <c r="Z788" s="2" cm="1">
        <f t="array" ref="Z788">_xlfn.IFS(Real_Sales[[#This Row],[Price_retail]]&lt;=15,1, Real_Sales[[#This Row],[Price_retail]]&lt;=30,2, Real_Sales[[#This Row],[Price_retail]]&lt;=50,3,Real_Sales[[#This Row],[Price_retail]]&gt;50,4)</f>
        <v>2</v>
      </c>
    </row>
    <row r="789" spans="1:26" x14ac:dyDescent="0.35">
      <c r="A789" s="2" t="s">
        <v>983</v>
      </c>
      <c r="B789" s="2" t="s">
        <v>984</v>
      </c>
      <c r="C789" s="2" t="s">
        <v>985</v>
      </c>
      <c r="D789" s="2" t="s">
        <v>49</v>
      </c>
      <c r="E789" s="2" t="s">
        <v>4</v>
      </c>
      <c r="F789" s="2" t="s">
        <v>17</v>
      </c>
      <c r="G789" s="2" t="s">
        <v>50</v>
      </c>
      <c r="H789" s="2" t="s">
        <v>51</v>
      </c>
      <c r="I789" s="2" t="s">
        <v>3395</v>
      </c>
      <c r="J789" s="3">
        <v>26.19</v>
      </c>
      <c r="K789" s="3">
        <v>26.19</v>
      </c>
      <c r="L789" s="2" t="s">
        <v>3391</v>
      </c>
      <c r="M789" s="2" t="s">
        <v>9</v>
      </c>
      <c r="N789" s="3">
        <v>572</v>
      </c>
      <c r="O789" s="2" t="s">
        <v>3392</v>
      </c>
      <c r="P789" s="2" t="s">
        <v>128</v>
      </c>
      <c r="Q789" s="3"/>
      <c r="R789" s="3"/>
      <c r="S789" s="2" t="s">
        <v>21</v>
      </c>
      <c r="T789" s="4">
        <v>44955</v>
      </c>
      <c r="U789" s="2" t="s">
        <v>986</v>
      </c>
      <c r="V789" s="6">
        <f>(Real_Sales[[#This Row],[Price_retail]]-Real_Sales[[#This Row],[Price_current]])/Real_Sales[[#This Row],[Price_retail]]</f>
        <v>0</v>
      </c>
      <c r="W789" s="3" t="str" cm="1">
        <f t="array" ref="W78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89" s="2" t="str">
        <f>IF(Real_Sales[[#This Row],[Price_retail]]&gt;$AC$3,"Premium","Average")</f>
        <v>Premium</v>
      </c>
      <c r="Y789" s="2" t="str">
        <f>IF(ISNUMBER(SEARCH("Basic",Real_Sales[[#This Row],[Product_name]])),"Yes","No")</f>
        <v>Yes</v>
      </c>
      <c r="Z789" s="2" cm="1">
        <f t="array" ref="Z789">_xlfn.IFS(Real_Sales[[#This Row],[Price_retail]]&lt;=15,1, Real_Sales[[#This Row],[Price_retail]]&lt;=30,2, Real_Sales[[#This Row],[Price_retail]]&lt;=50,3,Real_Sales[[#This Row],[Price_retail]]&gt;50,4)</f>
        <v>2</v>
      </c>
    </row>
    <row r="790" spans="1:26" x14ac:dyDescent="0.35">
      <c r="A790" s="2" t="s">
        <v>1048</v>
      </c>
      <c r="B790" s="2" t="s">
        <v>1049</v>
      </c>
      <c r="C790" s="2" t="s">
        <v>3394</v>
      </c>
      <c r="D790" s="2" t="s">
        <v>1050</v>
      </c>
      <c r="E790" s="2" t="s">
        <v>4</v>
      </c>
      <c r="F790" s="2" t="s">
        <v>5</v>
      </c>
      <c r="G790" s="2" t="s">
        <v>6</v>
      </c>
      <c r="H790" s="2" t="s">
        <v>68</v>
      </c>
      <c r="I790" s="2" t="s">
        <v>3393</v>
      </c>
      <c r="J790" s="3">
        <v>26.23</v>
      </c>
      <c r="K790" s="3">
        <v>18.100000000000001</v>
      </c>
      <c r="L790" s="2" t="s">
        <v>8</v>
      </c>
      <c r="M790" s="2" t="s">
        <v>9</v>
      </c>
      <c r="N790" s="3">
        <v>145</v>
      </c>
      <c r="O790" s="2" t="s">
        <v>43</v>
      </c>
      <c r="P790" s="2" t="s">
        <v>128</v>
      </c>
      <c r="Q790" s="3"/>
      <c r="R790" s="3"/>
      <c r="S790" s="2" t="s">
        <v>21</v>
      </c>
      <c r="T790" s="4">
        <v>44955</v>
      </c>
      <c r="U790" s="2" t="s">
        <v>1051</v>
      </c>
      <c r="V790" s="6">
        <f>(Real_Sales[[#This Row],[Price_retail]]-Real_Sales[[#This Row],[Price_current]])/Real_Sales[[#This Row],[Price_retail]]</f>
        <v>0.30995043842927938</v>
      </c>
      <c r="W790" s="3" t="str" cm="1">
        <f t="array" ref="W79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90" s="2" t="str">
        <f>IF(Real_Sales[[#This Row],[Price_retail]]&gt;$AC$3,"Premium","Average")</f>
        <v>Premium</v>
      </c>
      <c r="Y790" s="2" t="str">
        <f>IF(ISNUMBER(SEARCH("Basic",Real_Sales[[#This Row],[Product_name]])),"Yes","No")</f>
        <v>Yes</v>
      </c>
      <c r="Z790" s="2" cm="1">
        <f t="array" ref="Z790">_xlfn.IFS(Real_Sales[[#This Row],[Price_retail]]&lt;=15,1, Real_Sales[[#This Row],[Price_retail]]&lt;=30,2, Real_Sales[[#This Row],[Price_retail]]&lt;=50,3,Real_Sales[[#This Row],[Price_retail]]&gt;50,4)</f>
        <v>2</v>
      </c>
    </row>
    <row r="791" spans="1:26" x14ac:dyDescent="0.35">
      <c r="A791" s="2" t="s">
        <v>3002</v>
      </c>
      <c r="B791" s="2" t="s">
        <v>3003</v>
      </c>
      <c r="C791" s="2" t="s">
        <v>797</v>
      </c>
      <c r="D791" s="2" t="s">
        <v>533</v>
      </c>
      <c r="E791" s="2" t="s">
        <v>4</v>
      </c>
      <c r="F791" s="2" t="s">
        <v>17</v>
      </c>
      <c r="G791" s="2" t="s">
        <v>27</v>
      </c>
      <c r="H791" s="2" t="s">
        <v>59</v>
      </c>
      <c r="I791" s="2" t="s">
        <v>3393</v>
      </c>
      <c r="J791" s="3">
        <v>26.24</v>
      </c>
      <c r="K791" s="3">
        <v>15.72</v>
      </c>
      <c r="L791" s="2" t="s">
        <v>8</v>
      </c>
      <c r="M791" s="2" t="s">
        <v>9</v>
      </c>
      <c r="N791" s="3">
        <v>271</v>
      </c>
      <c r="O791" s="2" t="s">
        <v>43</v>
      </c>
      <c r="P791" s="2" t="s">
        <v>192</v>
      </c>
      <c r="Q791" s="3"/>
      <c r="R791" s="3"/>
      <c r="S791" s="2" t="s">
        <v>21</v>
      </c>
      <c r="T791" s="4">
        <v>44955</v>
      </c>
      <c r="U791" s="2" t="s">
        <v>3004</v>
      </c>
      <c r="V791" s="6">
        <f>(Real_Sales[[#This Row],[Price_retail]]-Real_Sales[[#This Row],[Price_current]])/Real_Sales[[#This Row],[Price_retail]]</f>
        <v>0.40091463414634143</v>
      </c>
      <c r="W791" s="3" t="str" cm="1">
        <f t="array" ref="W79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91" s="2" t="str">
        <f>IF(Real_Sales[[#This Row],[Price_retail]]&gt;$AC$3,"Premium","Average")</f>
        <v>Premium</v>
      </c>
      <c r="Y791" s="2" t="str">
        <f>IF(ISNUMBER(SEARCH("Basic",Real_Sales[[#This Row],[Product_name]])),"Yes","No")</f>
        <v>No</v>
      </c>
      <c r="Z791" s="2" cm="1">
        <f t="array" ref="Z791">_xlfn.IFS(Real_Sales[[#This Row],[Price_retail]]&lt;=15,1, Real_Sales[[#This Row],[Price_retail]]&lt;=30,2, Real_Sales[[#This Row],[Price_retail]]&lt;=50,3,Real_Sales[[#This Row],[Price_retail]]&gt;50,4)</f>
        <v>2</v>
      </c>
    </row>
    <row r="792" spans="1:26" x14ac:dyDescent="0.35">
      <c r="A792" s="2" t="s">
        <v>1547</v>
      </c>
      <c r="B792" s="2" t="s">
        <v>1548</v>
      </c>
      <c r="C792" s="2" t="s">
        <v>1549</v>
      </c>
      <c r="D792" s="2" t="s">
        <v>474</v>
      </c>
      <c r="E792" s="2" t="s">
        <v>4</v>
      </c>
      <c r="F792" s="2" t="s">
        <v>17</v>
      </c>
      <c r="G792" s="2" t="s">
        <v>27</v>
      </c>
      <c r="H792" s="2" t="s">
        <v>83</v>
      </c>
      <c r="I792" s="2" t="s">
        <v>3390</v>
      </c>
      <c r="J792" s="3">
        <v>26.28</v>
      </c>
      <c r="K792" s="3">
        <v>26.28</v>
      </c>
      <c r="L792" s="2" t="s">
        <v>3391</v>
      </c>
      <c r="M792" s="2" t="s">
        <v>9</v>
      </c>
      <c r="N792" s="3">
        <v>969</v>
      </c>
      <c r="O792" s="2" t="s">
        <v>36</v>
      </c>
      <c r="P792" s="2" t="s">
        <v>70</v>
      </c>
      <c r="Q792" s="3"/>
      <c r="R792" s="3"/>
      <c r="S792" s="2" t="s">
        <v>21</v>
      </c>
      <c r="T792" s="4">
        <v>44955</v>
      </c>
      <c r="U792" s="2" t="s">
        <v>1550</v>
      </c>
      <c r="V792" s="6">
        <f>(Real_Sales[[#This Row],[Price_retail]]-Real_Sales[[#This Row],[Price_current]])/Real_Sales[[#This Row],[Price_retail]]</f>
        <v>0</v>
      </c>
      <c r="W792" s="3" t="str" cm="1">
        <f t="array" ref="W7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2" s="2" t="str">
        <f>IF(Real_Sales[[#This Row],[Price_retail]]&gt;$AC$3,"Premium","Average")</f>
        <v>Premium</v>
      </c>
      <c r="Y792" s="2" t="str">
        <f>IF(ISNUMBER(SEARCH("Basic",Real_Sales[[#This Row],[Product_name]])),"Yes","No")</f>
        <v>No</v>
      </c>
      <c r="Z792" s="2" cm="1">
        <f t="array" ref="Z792">_xlfn.IFS(Real_Sales[[#This Row],[Price_retail]]&lt;=15,1, Real_Sales[[#This Row],[Price_retail]]&lt;=30,2, Real_Sales[[#This Row],[Price_retail]]&lt;=50,3,Real_Sales[[#This Row],[Price_retail]]&gt;50,4)</f>
        <v>2</v>
      </c>
    </row>
    <row r="793" spans="1:26" x14ac:dyDescent="0.35">
      <c r="A793" s="2" t="s">
        <v>3029</v>
      </c>
      <c r="B793" s="2" t="s">
        <v>3030</v>
      </c>
      <c r="C793" s="2" t="s">
        <v>2915</v>
      </c>
      <c r="D793" s="2" t="s">
        <v>376</v>
      </c>
      <c r="E793" s="2" t="s">
        <v>4</v>
      </c>
      <c r="F793" s="2" t="s">
        <v>17</v>
      </c>
      <c r="G793" s="2" t="s">
        <v>50</v>
      </c>
      <c r="H793" s="2" t="s">
        <v>168</v>
      </c>
      <c r="I793" s="2" t="s">
        <v>3393</v>
      </c>
      <c r="J793" s="3">
        <v>26.3</v>
      </c>
      <c r="K793" s="3">
        <v>26.3</v>
      </c>
      <c r="L793" s="2" t="s">
        <v>3391</v>
      </c>
      <c r="M793" s="2" t="s">
        <v>9</v>
      </c>
      <c r="N793" s="3">
        <v>368</v>
      </c>
      <c r="O793" s="2" t="s">
        <v>302</v>
      </c>
      <c r="P793" s="2" t="s">
        <v>30</v>
      </c>
      <c r="Q793" s="3"/>
      <c r="R793" s="3"/>
      <c r="S793" s="2" t="s">
        <v>21</v>
      </c>
      <c r="T793" s="4">
        <v>44955</v>
      </c>
      <c r="U793" s="2" t="s">
        <v>3031</v>
      </c>
      <c r="V793" s="6">
        <f>(Real_Sales[[#This Row],[Price_retail]]-Real_Sales[[#This Row],[Price_current]])/Real_Sales[[#This Row],[Price_retail]]</f>
        <v>0</v>
      </c>
      <c r="W793" s="3" t="str" cm="1">
        <f t="array" ref="W79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3" s="2" t="str">
        <f>IF(Real_Sales[[#This Row],[Price_retail]]&gt;$AC$3,"Premium","Average")</f>
        <v>Premium</v>
      </c>
      <c r="Y793" s="2" t="str">
        <f>IF(ISNUMBER(SEARCH("Basic",Real_Sales[[#This Row],[Product_name]])),"Yes","No")</f>
        <v>Yes</v>
      </c>
      <c r="Z793" s="2" cm="1">
        <f t="array" ref="Z793">_xlfn.IFS(Real_Sales[[#This Row],[Price_retail]]&lt;=15,1, Real_Sales[[#This Row],[Price_retail]]&lt;=30,2, Real_Sales[[#This Row],[Price_retail]]&lt;=50,3,Real_Sales[[#This Row],[Price_retail]]&gt;50,4)</f>
        <v>2</v>
      </c>
    </row>
    <row r="794" spans="1:26" x14ac:dyDescent="0.35">
      <c r="A794" s="2" t="s">
        <v>648</v>
      </c>
      <c r="B794" s="2" t="s">
        <v>649</v>
      </c>
      <c r="C794" s="2" t="s">
        <v>242</v>
      </c>
      <c r="D794" s="2" t="s">
        <v>196</v>
      </c>
      <c r="E794" s="2" t="s">
        <v>4</v>
      </c>
      <c r="F794" s="2" t="s">
        <v>17</v>
      </c>
      <c r="G794" s="2" t="s">
        <v>67</v>
      </c>
      <c r="H794" s="2" t="s">
        <v>7</v>
      </c>
      <c r="I794" s="2" t="s">
        <v>3390</v>
      </c>
      <c r="J794" s="3">
        <v>26.31</v>
      </c>
      <c r="K794" s="3">
        <v>26.31</v>
      </c>
      <c r="L794" s="2" t="s">
        <v>3391</v>
      </c>
      <c r="M794" s="2" t="s">
        <v>9</v>
      </c>
      <c r="N794" s="3">
        <v>633</v>
      </c>
      <c r="O794" s="2" t="s">
        <v>267</v>
      </c>
      <c r="P794" s="2" t="s">
        <v>419</v>
      </c>
      <c r="Q794" s="3"/>
      <c r="R794" s="3"/>
      <c r="S794" s="2" t="s">
        <v>12</v>
      </c>
      <c r="T794" s="4">
        <v>44955</v>
      </c>
      <c r="U794" s="2" t="s">
        <v>650</v>
      </c>
      <c r="V794" s="6">
        <f>(Real_Sales[[#This Row],[Price_retail]]-Real_Sales[[#This Row],[Price_current]])/Real_Sales[[#This Row],[Price_retail]]</f>
        <v>0</v>
      </c>
      <c r="W794" s="3" t="str" cm="1">
        <f t="array" ref="W79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4" s="2" t="str">
        <f>IF(Real_Sales[[#This Row],[Price_retail]]&gt;$AC$3,"Premium","Average")</f>
        <v>Premium</v>
      </c>
      <c r="Y794" s="2" t="str">
        <f>IF(ISNUMBER(SEARCH("Basic",Real_Sales[[#This Row],[Product_name]])),"Yes","No")</f>
        <v>No</v>
      </c>
      <c r="Z794" s="2" cm="1">
        <f t="array" ref="Z794">_xlfn.IFS(Real_Sales[[#This Row],[Price_retail]]&lt;=15,1, Real_Sales[[#This Row],[Price_retail]]&lt;=30,2, Real_Sales[[#This Row],[Price_retail]]&lt;=50,3,Real_Sales[[#This Row],[Price_retail]]&gt;50,4)</f>
        <v>2</v>
      </c>
    </row>
    <row r="795" spans="1:26" x14ac:dyDescent="0.35">
      <c r="A795" s="2" t="s">
        <v>1592</v>
      </c>
      <c r="B795" s="2" t="s">
        <v>1593</v>
      </c>
      <c r="C795" s="2" t="s">
        <v>1594</v>
      </c>
      <c r="D795" s="2" t="s">
        <v>266</v>
      </c>
      <c r="E795" s="2" t="s">
        <v>4</v>
      </c>
      <c r="F795" s="2" t="s">
        <v>17</v>
      </c>
      <c r="G795" s="2" t="s">
        <v>18</v>
      </c>
      <c r="H795" s="2" t="s">
        <v>237</v>
      </c>
      <c r="I795" s="2" t="s">
        <v>3390</v>
      </c>
      <c r="J795" s="3">
        <v>26.35</v>
      </c>
      <c r="K795" s="3">
        <v>26.35</v>
      </c>
      <c r="L795" s="2" t="s">
        <v>3391</v>
      </c>
      <c r="M795" s="2" t="s">
        <v>9</v>
      </c>
      <c r="N795" s="3">
        <v>383</v>
      </c>
      <c r="O795" s="2" t="s">
        <v>3392</v>
      </c>
      <c r="P795" s="2" t="s">
        <v>30</v>
      </c>
      <c r="Q795" s="3"/>
      <c r="R795" s="3"/>
      <c r="S795" s="2" t="s">
        <v>12</v>
      </c>
      <c r="T795" s="4">
        <v>44955</v>
      </c>
      <c r="U795" s="2" t="s">
        <v>1595</v>
      </c>
      <c r="V795" s="6">
        <f>(Real_Sales[[#This Row],[Price_retail]]-Real_Sales[[#This Row],[Price_current]])/Real_Sales[[#This Row],[Price_retail]]</f>
        <v>0</v>
      </c>
      <c r="W795" s="3" t="str" cm="1">
        <f t="array" ref="W79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5" s="2" t="str">
        <f>IF(Real_Sales[[#This Row],[Price_retail]]&gt;$AC$3,"Premium","Average")</f>
        <v>Premium</v>
      </c>
      <c r="Y795" s="2" t="str">
        <f>IF(ISNUMBER(SEARCH("Basic",Real_Sales[[#This Row],[Product_name]])),"Yes","No")</f>
        <v>No</v>
      </c>
      <c r="Z795" s="2" cm="1">
        <f t="array" ref="Z795">_xlfn.IFS(Real_Sales[[#This Row],[Price_retail]]&lt;=15,1, Real_Sales[[#This Row],[Price_retail]]&lt;=30,2, Real_Sales[[#This Row],[Price_retail]]&lt;=50,3,Real_Sales[[#This Row],[Price_retail]]&gt;50,4)</f>
        <v>2</v>
      </c>
    </row>
    <row r="796" spans="1:26" x14ac:dyDescent="0.35">
      <c r="A796" s="2" t="s">
        <v>23</v>
      </c>
      <c r="B796" s="2" t="s">
        <v>24</v>
      </c>
      <c r="C796" s="2" t="s">
        <v>25</v>
      </c>
      <c r="D796" s="2" t="s">
        <v>26</v>
      </c>
      <c r="E796" s="2" t="s">
        <v>4</v>
      </c>
      <c r="F796" s="2" t="s">
        <v>17</v>
      </c>
      <c r="G796" s="2" t="s">
        <v>27</v>
      </c>
      <c r="H796" s="2" t="s">
        <v>28</v>
      </c>
      <c r="I796" s="2" t="s">
        <v>3393</v>
      </c>
      <c r="J796" s="3">
        <v>26.38</v>
      </c>
      <c r="K796" s="3">
        <v>26.38</v>
      </c>
      <c r="L796" s="2" t="s">
        <v>3391</v>
      </c>
      <c r="M796" s="2" t="s">
        <v>9</v>
      </c>
      <c r="N796" s="3">
        <v>990</v>
      </c>
      <c r="O796" s="2" t="s">
        <v>29</v>
      </c>
      <c r="P796" s="2" t="s">
        <v>30</v>
      </c>
      <c r="Q796" s="3"/>
      <c r="R796" s="3"/>
      <c r="S796" s="2" t="s">
        <v>21</v>
      </c>
      <c r="T796" s="4">
        <v>44955</v>
      </c>
      <c r="U796" s="2" t="s">
        <v>31</v>
      </c>
      <c r="V796" s="6">
        <f>(Real_Sales[[#This Row],[Price_retail]]-Real_Sales[[#This Row],[Price_current]])/Real_Sales[[#This Row],[Price_retail]]</f>
        <v>0</v>
      </c>
      <c r="W796" s="3" t="str" cm="1">
        <f t="array" ref="W79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6" s="2" t="str">
        <f>IF(Real_Sales[[#This Row],[Price_retail]]&gt;$AC$3,"Premium","Average")</f>
        <v>Premium</v>
      </c>
      <c r="Y796" s="2" t="str">
        <f>IF(ISNUMBER(SEARCH("Basic",Real_Sales[[#This Row],[Product_name]])),"Yes","No")</f>
        <v>No</v>
      </c>
      <c r="Z796" s="2" cm="1">
        <f t="array" ref="Z796">_xlfn.IFS(Real_Sales[[#This Row],[Price_retail]]&lt;=15,1, Real_Sales[[#This Row],[Price_retail]]&lt;=30,2, Real_Sales[[#This Row],[Price_retail]]&lt;=50,3,Real_Sales[[#This Row],[Price_retail]]&gt;50,4)</f>
        <v>2</v>
      </c>
    </row>
    <row r="797" spans="1:26" x14ac:dyDescent="0.35">
      <c r="A797" s="2" t="s">
        <v>2243</v>
      </c>
      <c r="B797" s="2" t="s">
        <v>2244</v>
      </c>
      <c r="C797" s="2" t="s">
        <v>57</v>
      </c>
      <c r="D797" s="2" t="s">
        <v>158</v>
      </c>
      <c r="E797" s="2" t="s">
        <v>4</v>
      </c>
      <c r="F797" s="2" t="s">
        <v>5</v>
      </c>
      <c r="G797" s="2" t="s">
        <v>6</v>
      </c>
      <c r="H797" s="2" t="s">
        <v>145</v>
      </c>
      <c r="I797" s="2" t="s">
        <v>3389</v>
      </c>
      <c r="J797" s="3">
        <v>26.39</v>
      </c>
      <c r="K797" s="3">
        <v>13.56</v>
      </c>
      <c r="L797" s="2" t="s">
        <v>8</v>
      </c>
      <c r="M797" s="2" t="s">
        <v>9</v>
      </c>
      <c r="N797" s="3">
        <v>705</v>
      </c>
      <c r="O797" s="2" t="s">
        <v>302</v>
      </c>
      <c r="P797" s="2" t="s">
        <v>122</v>
      </c>
      <c r="Q797" s="3"/>
      <c r="R797" s="3"/>
      <c r="S797" s="2" t="s">
        <v>21</v>
      </c>
      <c r="T797" s="4">
        <v>44955</v>
      </c>
      <c r="U797" s="2" t="s">
        <v>2245</v>
      </c>
      <c r="V797" s="6">
        <f>(Real_Sales[[#This Row],[Price_retail]]-Real_Sales[[#This Row],[Price_current]])/Real_Sales[[#This Row],[Price_retail]]</f>
        <v>0.48616900341038272</v>
      </c>
      <c r="W797" s="3" t="str" cm="1">
        <f t="array" ref="W79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97" s="2" t="str">
        <f>IF(Real_Sales[[#This Row],[Price_retail]]&gt;$AC$3,"Premium","Average")</f>
        <v>Premium</v>
      </c>
      <c r="Y797" s="2" t="str">
        <f>IF(ISNUMBER(SEARCH("Basic",Real_Sales[[#This Row],[Product_name]])),"Yes","No")</f>
        <v>No</v>
      </c>
      <c r="Z797" s="2" cm="1">
        <f t="array" ref="Z797">_xlfn.IFS(Real_Sales[[#This Row],[Price_retail]]&lt;=15,1, Real_Sales[[#This Row],[Price_retail]]&lt;=30,2, Real_Sales[[#This Row],[Price_retail]]&lt;=50,3,Real_Sales[[#This Row],[Price_retail]]&gt;50,4)</f>
        <v>2</v>
      </c>
    </row>
    <row r="798" spans="1:26" x14ac:dyDescent="0.35">
      <c r="A798" s="2" t="s">
        <v>2144</v>
      </c>
      <c r="B798" s="2" t="s">
        <v>2145</v>
      </c>
      <c r="C798" s="2" t="s">
        <v>1115</v>
      </c>
      <c r="D798" s="2" t="s">
        <v>1780</v>
      </c>
      <c r="E798" s="2" t="s">
        <v>4</v>
      </c>
      <c r="F798" s="2" t="s">
        <v>17</v>
      </c>
      <c r="G798" s="2" t="s">
        <v>50</v>
      </c>
      <c r="H798" s="2" t="s">
        <v>7</v>
      </c>
      <c r="I798" s="2" t="s">
        <v>3390</v>
      </c>
      <c r="J798" s="3">
        <v>26.39</v>
      </c>
      <c r="K798" s="3">
        <v>20.079999999999998</v>
      </c>
      <c r="L798" s="2" t="s">
        <v>8</v>
      </c>
      <c r="M798" s="2" t="s">
        <v>9</v>
      </c>
      <c r="N798" s="3">
        <v>698</v>
      </c>
      <c r="O798" s="2" t="s">
        <v>43</v>
      </c>
      <c r="P798" s="2" t="s">
        <v>3392</v>
      </c>
      <c r="Q798" s="3"/>
      <c r="R798" s="3"/>
      <c r="S798" s="2" t="s">
        <v>21</v>
      </c>
      <c r="T798" s="4">
        <v>44955</v>
      </c>
      <c r="U798" s="2" t="s">
        <v>2146</v>
      </c>
      <c r="V798" s="6">
        <f>(Real_Sales[[#This Row],[Price_retail]]-Real_Sales[[#This Row],[Price_current]])/Real_Sales[[#This Row],[Price_retail]]</f>
        <v>0.23910572186434265</v>
      </c>
      <c r="W798" s="3" t="str" cm="1">
        <f t="array" ref="W79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798" s="2" t="str">
        <f>IF(Real_Sales[[#This Row],[Price_retail]]&gt;$AC$3,"Premium","Average")</f>
        <v>Premium</v>
      </c>
      <c r="Y798" s="2" t="str">
        <f>IF(ISNUMBER(SEARCH("Basic",Real_Sales[[#This Row],[Product_name]])),"Yes","No")</f>
        <v>Yes</v>
      </c>
      <c r="Z798" s="2" cm="1">
        <f t="array" ref="Z798">_xlfn.IFS(Real_Sales[[#This Row],[Price_retail]]&lt;=15,1, Real_Sales[[#This Row],[Price_retail]]&lt;=30,2, Real_Sales[[#This Row],[Price_retail]]&lt;=50,3,Real_Sales[[#This Row],[Price_retail]]&gt;50,4)</f>
        <v>2</v>
      </c>
    </row>
    <row r="799" spans="1:26" x14ac:dyDescent="0.35">
      <c r="A799" s="2" t="s">
        <v>1249</v>
      </c>
      <c r="B799" s="2" t="s">
        <v>1250</v>
      </c>
      <c r="C799" s="2" t="s">
        <v>1090</v>
      </c>
      <c r="D799" s="2" t="s">
        <v>319</v>
      </c>
      <c r="E799" s="2" t="s">
        <v>4</v>
      </c>
      <c r="F799" s="2" t="s">
        <v>5</v>
      </c>
      <c r="G799" s="2" t="s">
        <v>82</v>
      </c>
      <c r="H799" s="2" t="s">
        <v>90</v>
      </c>
      <c r="I799" s="2" t="s">
        <v>3393</v>
      </c>
      <c r="J799" s="3">
        <v>26.41</v>
      </c>
      <c r="K799" s="3">
        <v>26.41</v>
      </c>
      <c r="L799" s="2" t="s">
        <v>3391</v>
      </c>
      <c r="M799" s="2" t="s">
        <v>9</v>
      </c>
      <c r="N799" s="3">
        <v>856</v>
      </c>
      <c r="O799" s="2" t="s">
        <v>3392</v>
      </c>
      <c r="P799" s="2" t="s">
        <v>30</v>
      </c>
      <c r="Q799" s="3"/>
      <c r="R799" s="3"/>
      <c r="S799" s="2" t="s">
        <v>21</v>
      </c>
      <c r="T799" s="4">
        <v>44955</v>
      </c>
      <c r="U799" s="2" t="s">
        <v>1251</v>
      </c>
      <c r="V799" s="6">
        <f>(Real_Sales[[#This Row],[Price_retail]]-Real_Sales[[#This Row],[Price_current]])/Real_Sales[[#This Row],[Price_retail]]</f>
        <v>0</v>
      </c>
      <c r="W799" s="3" t="str" cm="1">
        <f t="array" ref="W7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799" s="2" t="str">
        <f>IF(Real_Sales[[#This Row],[Price_retail]]&gt;$AC$3,"Premium","Average")</f>
        <v>Premium</v>
      </c>
      <c r="Y799" s="2" t="str">
        <f>IF(ISNUMBER(SEARCH("Basic",Real_Sales[[#This Row],[Product_name]])),"Yes","No")</f>
        <v>No</v>
      </c>
      <c r="Z799" s="2" cm="1">
        <f t="array" ref="Z799">_xlfn.IFS(Real_Sales[[#This Row],[Price_retail]]&lt;=15,1, Real_Sales[[#This Row],[Price_retail]]&lt;=30,2, Real_Sales[[#This Row],[Price_retail]]&lt;=50,3,Real_Sales[[#This Row],[Price_retail]]&gt;50,4)</f>
        <v>2</v>
      </c>
    </row>
    <row r="800" spans="1:26" x14ac:dyDescent="0.35">
      <c r="A800" s="2" t="s">
        <v>207</v>
      </c>
      <c r="B800" s="2" t="s">
        <v>208</v>
      </c>
      <c r="C800" s="2" t="s">
        <v>2915</v>
      </c>
      <c r="D800" s="2" t="s">
        <v>209</v>
      </c>
      <c r="E800" s="2" t="s">
        <v>4</v>
      </c>
      <c r="F800" s="2" t="s">
        <v>5</v>
      </c>
      <c r="G800" s="2" t="s">
        <v>6</v>
      </c>
      <c r="H800" s="2" t="s">
        <v>35</v>
      </c>
      <c r="I800" s="2" t="s">
        <v>3393</v>
      </c>
      <c r="J800" s="3">
        <v>26.46</v>
      </c>
      <c r="K800" s="3">
        <v>26.46</v>
      </c>
      <c r="L800" s="2" t="s">
        <v>3391</v>
      </c>
      <c r="M800" s="2" t="s">
        <v>9</v>
      </c>
      <c r="N800" s="3">
        <v>937</v>
      </c>
      <c r="O800" s="2" t="s">
        <v>3392</v>
      </c>
      <c r="P800" s="2" t="s">
        <v>37</v>
      </c>
      <c r="Q800" s="3"/>
      <c r="R800" s="3"/>
      <c r="S800" s="2" t="s">
        <v>21</v>
      </c>
      <c r="T800" s="4">
        <v>44955</v>
      </c>
      <c r="U800" s="2" t="s">
        <v>210</v>
      </c>
      <c r="V800" s="6">
        <f>(Real_Sales[[#This Row],[Price_retail]]-Real_Sales[[#This Row],[Price_current]])/Real_Sales[[#This Row],[Price_retail]]</f>
        <v>0</v>
      </c>
      <c r="W800" s="3" t="str" cm="1">
        <f t="array" ref="W80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0" s="2" t="str">
        <f>IF(Real_Sales[[#This Row],[Price_retail]]&gt;$AC$3,"Premium","Average")</f>
        <v>Premium</v>
      </c>
      <c r="Y800" s="2" t="str">
        <f>IF(ISNUMBER(SEARCH("Basic",Real_Sales[[#This Row],[Product_name]])),"Yes","No")</f>
        <v>No</v>
      </c>
      <c r="Z800" s="2" cm="1">
        <f t="array" ref="Z800">_xlfn.IFS(Real_Sales[[#This Row],[Price_retail]]&lt;=15,1, Real_Sales[[#This Row],[Price_retail]]&lt;=30,2, Real_Sales[[#This Row],[Price_retail]]&lt;=50,3,Real_Sales[[#This Row],[Price_retail]]&gt;50,4)</f>
        <v>2</v>
      </c>
    </row>
    <row r="801" spans="1:26" x14ac:dyDescent="0.35">
      <c r="A801" s="2" t="s">
        <v>2465</v>
      </c>
      <c r="B801" s="2" t="s">
        <v>2466</v>
      </c>
      <c r="C801" s="2" t="s">
        <v>242</v>
      </c>
      <c r="D801" s="2" t="s">
        <v>939</v>
      </c>
      <c r="E801" s="2" t="s">
        <v>4</v>
      </c>
      <c r="F801" s="2" t="s">
        <v>5</v>
      </c>
      <c r="G801" s="2" t="s">
        <v>121</v>
      </c>
      <c r="H801" s="2" t="s">
        <v>134</v>
      </c>
      <c r="I801" s="2" t="s">
        <v>3390</v>
      </c>
      <c r="J801" s="3">
        <v>26.55</v>
      </c>
      <c r="K801" s="3">
        <v>26.55</v>
      </c>
      <c r="L801" s="2" t="s">
        <v>3391</v>
      </c>
      <c r="M801" s="2" t="s">
        <v>9</v>
      </c>
      <c r="N801" s="3">
        <v>375</v>
      </c>
      <c r="O801" s="2" t="s">
        <v>60</v>
      </c>
      <c r="P801" s="2" t="s">
        <v>238</v>
      </c>
      <c r="Q801" s="3"/>
      <c r="R801" s="3"/>
      <c r="S801" s="2" t="s">
        <v>21</v>
      </c>
      <c r="T801" s="4">
        <v>44955</v>
      </c>
      <c r="U801" s="2" t="s">
        <v>2467</v>
      </c>
      <c r="V801" s="6">
        <f>(Real_Sales[[#This Row],[Price_retail]]-Real_Sales[[#This Row],[Price_current]])/Real_Sales[[#This Row],[Price_retail]]</f>
        <v>0</v>
      </c>
      <c r="W801" s="3" t="str" cm="1">
        <f t="array" ref="W80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1" s="2" t="str">
        <f>IF(Real_Sales[[#This Row],[Price_retail]]&gt;$AC$3,"Premium","Average")</f>
        <v>Premium</v>
      </c>
      <c r="Y801" s="2" t="str">
        <f>IF(ISNUMBER(SEARCH("Basic",Real_Sales[[#This Row],[Product_name]])),"Yes","No")</f>
        <v>No</v>
      </c>
      <c r="Z801" s="2" cm="1">
        <f t="array" ref="Z801">_xlfn.IFS(Real_Sales[[#This Row],[Price_retail]]&lt;=15,1, Real_Sales[[#This Row],[Price_retail]]&lt;=30,2, Real_Sales[[#This Row],[Price_retail]]&lt;=50,3,Real_Sales[[#This Row],[Price_retail]]&gt;50,4)</f>
        <v>2</v>
      </c>
    </row>
    <row r="802" spans="1:26" x14ac:dyDescent="0.35">
      <c r="A802" s="2" t="s">
        <v>1419</v>
      </c>
      <c r="B802" s="2" t="s">
        <v>1420</v>
      </c>
      <c r="C802" s="2" t="s">
        <v>1421</v>
      </c>
      <c r="D802" s="2" t="s">
        <v>964</v>
      </c>
      <c r="E802" s="2" t="s">
        <v>4</v>
      </c>
      <c r="F802" s="2" t="s">
        <v>17</v>
      </c>
      <c r="G802" s="2" t="s">
        <v>18</v>
      </c>
      <c r="H802" s="2" t="s">
        <v>333</v>
      </c>
      <c r="I802" s="2" t="s">
        <v>3395</v>
      </c>
      <c r="J802" s="3">
        <v>26.67</v>
      </c>
      <c r="K802" s="3">
        <v>26.67</v>
      </c>
      <c r="L802" s="2" t="s">
        <v>3391</v>
      </c>
      <c r="M802" s="2" t="s">
        <v>9</v>
      </c>
      <c r="N802" s="3">
        <v>955</v>
      </c>
      <c r="O802" s="2" t="s">
        <v>302</v>
      </c>
      <c r="P802" s="2" t="s">
        <v>3392</v>
      </c>
      <c r="Q802" s="3"/>
      <c r="R802" s="3"/>
      <c r="S802" s="2" t="s">
        <v>21</v>
      </c>
      <c r="T802" s="4">
        <v>44955</v>
      </c>
      <c r="U802" s="2" t="s">
        <v>1422</v>
      </c>
      <c r="V802" s="6">
        <f>(Real_Sales[[#This Row],[Price_retail]]-Real_Sales[[#This Row],[Price_current]])/Real_Sales[[#This Row],[Price_retail]]</f>
        <v>0</v>
      </c>
      <c r="W802" s="3" t="str" cm="1">
        <f t="array" ref="W8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2" s="2" t="str">
        <f>IF(Real_Sales[[#This Row],[Price_retail]]&gt;$AC$3,"Premium","Average")</f>
        <v>Premium</v>
      </c>
      <c r="Y802" s="2" t="str">
        <f>IF(ISNUMBER(SEARCH("Basic",Real_Sales[[#This Row],[Product_name]])),"Yes","No")</f>
        <v>Yes</v>
      </c>
      <c r="Z802" s="2" cm="1">
        <f t="array" ref="Z802">_xlfn.IFS(Real_Sales[[#This Row],[Price_retail]]&lt;=15,1, Real_Sales[[#This Row],[Price_retail]]&lt;=30,2, Real_Sales[[#This Row],[Price_retail]]&lt;=50,3,Real_Sales[[#This Row],[Price_retail]]&gt;50,4)</f>
        <v>2</v>
      </c>
    </row>
    <row r="803" spans="1:26" x14ac:dyDescent="0.35">
      <c r="A803" s="2" t="s">
        <v>2511</v>
      </c>
      <c r="B803" s="2" t="s">
        <v>2512</v>
      </c>
      <c r="C803" s="2" t="s">
        <v>1314</v>
      </c>
      <c r="D803" s="2" t="s">
        <v>1169</v>
      </c>
      <c r="E803" s="2" t="s">
        <v>4</v>
      </c>
      <c r="F803" s="2" t="s">
        <v>5</v>
      </c>
      <c r="G803" s="2" t="s">
        <v>121</v>
      </c>
      <c r="H803" s="2" t="s">
        <v>237</v>
      </c>
      <c r="I803" s="2" t="s">
        <v>3393</v>
      </c>
      <c r="J803" s="3">
        <v>26.73</v>
      </c>
      <c r="K803" s="3">
        <v>26.73</v>
      </c>
      <c r="L803" s="2" t="s">
        <v>3391</v>
      </c>
      <c r="M803" s="2" t="s">
        <v>9</v>
      </c>
      <c r="N803" s="3">
        <v>592</v>
      </c>
      <c r="O803" s="2" t="s">
        <v>43</v>
      </c>
      <c r="P803" s="2" t="s">
        <v>70</v>
      </c>
      <c r="Q803" s="3"/>
      <c r="R803" s="3"/>
      <c r="S803" s="2" t="s">
        <v>21</v>
      </c>
      <c r="T803" s="4">
        <v>44955</v>
      </c>
      <c r="U803" s="2" t="s">
        <v>2513</v>
      </c>
      <c r="V803" s="6">
        <f>(Real_Sales[[#This Row],[Price_retail]]-Real_Sales[[#This Row],[Price_current]])/Real_Sales[[#This Row],[Price_retail]]</f>
        <v>0</v>
      </c>
      <c r="W803" s="3" t="str" cm="1">
        <f t="array" ref="W8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3" s="2" t="str">
        <f>IF(Real_Sales[[#This Row],[Price_retail]]&gt;$AC$3,"Premium","Average")</f>
        <v>Premium</v>
      </c>
      <c r="Y803" s="2" t="str">
        <f>IF(ISNUMBER(SEARCH("Basic",Real_Sales[[#This Row],[Product_name]])),"Yes","No")</f>
        <v>No</v>
      </c>
      <c r="Z803" s="2" cm="1">
        <f t="array" ref="Z803">_xlfn.IFS(Real_Sales[[#This Row],[Price_retail]]&lt;=15,1, Real_Sales[[#This Row],[Price_retail]]&lt;=30,2, Real_Sales[[#This Row],[Price_retail]]&lt;=50,3,Real_Sales[[#This Row],[Price_retail]]&gt;50,4)</f>
        <v>2</v>
      </c>
    </row>
    <row r="804" spans="1:26" x14ac:dyDescent="0.35">
      <c r="A804" s="2" t="s">
        <v>692</v>
      </c>
      <c r="B804" s="2" t="s">
        <v>693</v>
      </c>
      <c r="C804" s="2" t="s">
        <v>412</v>
      </c>
      <c r="D804" s="2" t="s">
        <v>694</v>
      </c>
      <c r="E804" s="2" t="s">
        <v>4</v>
      </c>
      <c r="F804" s="2" t="s">
        <v>5</v>
      </c>
      <c r="G804" s="2" t="s">
        <v>121</v>
      </c>
      <c r="H804" s="2" t="s">
        <v>139</v>
      </c>
      <c r="I804" s="2" t="s">
        <v>3395</v>
      </c>
      <c r="J804" s="3">
        <v>26.74</v>
      </c>
      <c r="K804" s="3">
        <v>26.14</v>
      </c>
      <c r="L804" s="2" t="s">
        <v>8</v>
      </c>
      <c r="M804" s="2" t="s">
        <v>9</v>
      </c>
      <c r="N804" s="3">
        <v>441</v>
      </c>
      <c r="O804" s="2" t="s">
        <v>52</v>
      </c>
      <c r="P804" s="2" t="s">
        <v>328</v>
      </c>
      <c r="Q804" s="3"/>
      <c r="R804" s="3"/>
      <c r="S804" s="2" t="s">
        <v>21</v>
      </c>
      <c r="T804" s="4">
        <v>44955</v>
      </c>
      <c r="U804" s="2" t="s">
        <v>695</v>
      </c>
      <c r="V804" s="6">
        <f>(Real_Sales[[#This Row],[Price_retail]]-Real_Sales[[#This Row],[Price_current]])/Real_Sales[[#This Row],[Price_retail]]</f>
        <v>2.2438294689603511E-2</v>
      </c>
      <c r="W804" s="3" t="str" cm="1">
        <f t="array" ref="W804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804" s="2" t="str">
        <f>IF(Real_Sales[[#This Row],[Price_retail]]&gt;$AC$3,"Premium","Average")</f>
        <v>Premium</v>
      </c>
      <c r="Y804" s="2" t="str">
        <f>IF(ISNUMBER(SEARCH("Basic",Real_Sales[[#This Row],[Product_name]])),"Yes","No")</f>
        <v>No</v>
      </c>
      <c r="Z804" s="2" cm="1">
        <f t="array" ref="Z804">_xlfn.IFS(Real_Sales[[#This Row],[Price_retail]]&lt;=15,1, Real_Sales[[#This Row],[Price_retail]]&lt;=30,2, Real_Sales[[#This Row],[Price_retail]]&lt;=50,3,Real_Sales[[#This Row],[Price_retail]]&gt;50,4)</f>
        <v>2</v>
      </c>
    </row>
    <row r="805" spans="1:26" x14ac:dyDescent="0.35">
      <c r="A805" s="2" t="s">
        <v>2395</v>
      </c>
      <c r="B805" s="2" t="s">
        <v>2396</v>
      </c>
      <c r="C805" s="2" t="s">
        <v>525</v>
      </c>
      <c r="D805" s="2" t="s">
        <v>16</v>
      </c>
      <c r="E805" s="2" t="s">
        <v>4</v>
      </c>
      <c r="F805" s="2" t="s">
        <v>17</v>
      </c>
      <c r="G805" s="2" t="s">
        <v>18</v>
      </c>
      <c r="H805" s="2" t="s">
        <v>19</v>
      </c>
      <c r="I805" s="2" t="s">
        <v>3390</v>
      </c>
      <c r="J805" s="3">
        <v>26.76</v>
      </c>
      <c r="K805" s="3">
        <v>18.47</v>
      </c>
      <c r="L805" s="2" t="s">
        <v>8</v>
      </c>
      <c r="M805" s="2" t="s">
        <v>9</v>
      </c>
      <c r="N805" s="3">
        <v>33</v>
      </c>
      <c r="O805" s="2" t="s">
        <v>43</v>
      </c>
      <c r="P805" s="2" t="s">
        <v>283</v>
      </c>
      <c r="Q805" s="3"/>
      <c r="R805" s="3"/>
      <c r="S805" s="2" t="s">
        <v>21</v>
      </c>
      <c r="T805" s="4">
        <v>44955</v>
      </c>
      <c r="U805" s="2" t="s">
        <v>2397</v>
      </c>
      <c r="V805" s="6">
        <f>(Real_Sales[[#This Row],[Price_retail]]-Real_Sales[[#This Row],[Price_current]])/Real_Sales[[#This Row],[Price_retail]]</f>
        <v>0.30979073243647243</v>
      </c>
      <c r="W805" s="3" t="str" cm="1">
        <f t="array" ref="W80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05" s="2" t="str">
        <f>IF(Real_Sales[[#This Row],[Price_retail]]&gt;$AC$3,"Premium","Average")</f>
        <v>Premium</v>
      </c>
      <c r="Y805" s="2" t="str">
        <f>IF(ISNUMBER(SEARCH("Basic",Real_Sales[[#This Row],[Product_name]])),"Yes","No")</f>
        <v>No</v>
      </c>
      <c r="Z805" s="2" cm="1">
        <f t="array" ref="Z805">_xlfn.IFS(Real_Sales[[#This Row],[Price_retail]]&lt;=15,1, Real_Sales[[#This Row],[Price_retail]]&lt;=30,2, Real_Sales[[#This Row],[Price_retail]]&lt;=50,3,Real_Sales[[#This Row],[Price_retail]]&gt;50,4)</f>
        <v>2</v>
      </c>
    </row>
    <row r="806" spans="1:26" x14ac:dyDescent="0.35">
      <c r="A806" s="2" t="s">
        <v>859</v>
      </c>
      <c r="B806" s="2" t="s">
        <v>860</v>
      </c>
      <c r="C806" s="2" t="s">
        <v>616</v>
      </c>
      <c r="D806" s="2" t="s">
        <v>861</v>
      </c>
      <c r="E806" s="2" t="s">
        <v>4</v>
      </c>
      <c r="F806" s="2" t="s">
        <v>17</v>
      </c>
      <c r="G806" s="2" t="s">
        <v>67</v>
      </c>
      <c r="H806" s="2" t="s">
        <v>139</v>
      </c>
      <c r="I806" s="2" t="s">
        <v>3390</v>
      </c>
      <c r="J806" s="3">
        <v>26.77</v>
      </c>
      <c r="K806" s="3">
        <v>15.31</v>
      </c>
      <c r="L806" s="2" t="s">
        <v>8</v>
      </c>
      <c r="M806" s="2" t="s">
        <v>9</v>
      </c>
      <c r="N806" s="3">
        <v>903</v>
      </c>
      <c r="O806" s="2" t="s">
        <v>302</v>
      </c>
      <c r="P806" s="2" t="s">
        <v>37</v>
      </c>
      <c r="Q806" s="3"/>
      <c r="R806" s="3"/>
      <c r="S806" s="2" t="s">
        <v>12</v>
      </c>
      <c r="T806" s="4">
        <v>44955</v>
      </c>
      <c r="U806" s="2" t="s">
        <v>862</v>
      </c>
      <c r="V806" s="6">
        <f>(Real_Sales[[#This Row],[Price_retail]]-Real_Sales[[#This Row],[Price_current]])/Real_Sales[[#This Row],[Price_retail]]</f>
        <v>0.42809114680612625</v>
      </c>
      <c r="W806" s="3" t="str" cm="1">
        <f t="array" ref="W80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06" s="2" t="str">
        <f>IF(Real_Sales[[#This Row],[Price_retail]]&gt;$AC$3,"Premium","Average")</f>
        <v>Premium</v>
      </c>
      <c r="Y806" s="2" t="str">
        <f>IF(ISNUMBER(SEARCH("Basic",Real_Sales[[#This Row],[Product_name]])),"Yes","No")</f>
        <v>No</v>
      </c>
      <c r="Z806" s="2" cm="1">
        <f t="array" ref="Z806">_xlfn.IFS(Real_Sales[[#This Row],[Price_retail]]&lt;=15,1, Real_Sales[[#This Row],[Price_retail]]&lt;=30,2, Real_Sales[[#This Row],[Price_retail]]&lt;=50,3,Real_Sales[[#This Row],[Price_retail]]&gt;50,4)</f>
        <v>2</v>
      </c>
    </row>
    <row r="807" spans="1:26" x14ac:dyDescent="0.35">
      <c r="A807" s="2" t="s">
        <v>1596</v>
      </c>
      <c r="B807" s="2" t="s">
        <v>1597</v>
      </c>
      <c r="C807" s="2" t="s">
        <v>48</v>
      </c>
      <c r="D807" s="2" t="s">
        <v>1598</v>
      </c>
      <c r="E807" s="2" t="s">
        <v>4</v>
      </c>
      <c r="F807" s="2" t="s">
        <v>5</v>
      </c>
      <c r="G807" s="2" t="s">
        <v>6</v>
      </c>
      <c r="H807" s="2" t="s">
        <v>418</v>
      </c>
      <c r="I807" s="2" t="s">
        <v>3390</v>
      </c>
      <c r="J807" s="3">
        <v>26.81</v>
      </c>
      <c r="K807" s="3">
        <v>15.52</v>
      </c>
      <c r="L807" s="2" t="s">
        <v>8</v>
      </c>
      <c r="M807" s="2" t="s">
        <v>9</v>
      </c>
      <c r="N807" s="3">
        <v>704</v>
      </c>
      <c r="O807" s="2" t="s">
        <v>98</v>
      </c>
      <c r="P807" s="2" t="s">
        <v>192</v>
      </c>
      <c r="Q807" s="3"/>
      <c r="R807" s="3"/>
      <c r="S807" s="2" t="s">
        <v>21</v>
      </c>
      <c r="T807" s="4">
        <v>44955</v>
      </c>
      <c r="U807" s="2" t="s">
        <v>1599</v>
      </c>
      <c r="V807" s="6">
        <f>(Real_Sales[[#This Row],[Price_retail]]-Real_Sales[[#This Row],[Price_current]])/Real_Sales[[#This Row],[Price_retail]]</f>
        <v>0.42111152555016784</v>
      </c>
      <c r="W807" s="3" t="str" cm="1">
        <f t="array" ref="W80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07" s="2" t="str">
        <f>IF(Real_Sales[[#This Row],[Price_retail]]&gt;$AC$3,"Premium","Average")</f>
        <v>Premium</v>
      </c>
      <c r="Y807" s="2" t="str">
        <f>IF(ISNUMBER(SEARCH("Basic",Real_Sales[[#This Row],[Product_name]])),"Yes","No")</f>
        <v>No</v>
      </c>
      <c r="Z807" s="2" cm="1">
        <f t="array" ref="Z807">_xlfn.IFS(Real_Sales[[#This Row],[Price_retail]]&lt;=15,1, Real_Sales[[#This Row],[Price_retail]]&lt;=30,2, Real_Sales[[#This Row],[Price_retail]]&lt;=50,3,Real_Sales[[#This Row],[Price_retail]]&gt;50,4)</f>
        <v>2</v>
      </c>
    </row>
    <row r="808" spans="1:26" x14ac:dyDescent="0.35">
      <c r="A808" s="2" t="s">
        <v>2719</v>
      </c>
      <c r="B808" s="2" t="s">
        <v>2720</v>
      </c>
      <c r="C808" s="2" t="s">
        <v>412</v>
      </c>
      <c r="D808" s="2" t="s">
        <v>16</v>
      </c>
      <c r="E808" s="2" t="s">
        <v>4</v>
      </c>
      <c r="F808" s="2" t="s">
        <v>17</v>
      </c>
      <c r="G808" s="2" t="s">
        <v>67</v>
      </c>
      <c r="H808" s="2" t="s">
        <v>19</v>
      </c>
      <c r="I808" s="2" t="s">
        <v>3395</v>
      </c>
      <c r="J808" s="3">
        <v>26.82</v>
      </c>
      <c r="K808" s="3">
        <v>26.82</v>
      </c>
      <c r="L808" s="2" t="s">
        <v>3391</v>
      </c>
      <c r="M808" s="2" t="s">
        <v>9</v>
      </c>
      <c r="N808" s="3">
        <v>635</v>
      </c>
      <c r="O808" s="2" t="s">
        <v>36</v>
      </c>
      <c r="P808" s="2" t="s">
        <v>53</v>
      </c>
      <c r="Q808" s="3"/>
      <c r="R808" s="3"/>
      <c r="S808" s="2" t="s">
        <v>21</v>
      </c>
      <c r="T808" s="4">
        <v>44955</v>
      </c>
      <c r="U808" s="2" t="s">
        <v>2721</v>
      </c>
      <c r="V808" s="6">
        <f>(Real_Sales[[#This Row],[Price_retail]]-Real_Sales[[#This Row],[Price_current]])/Real_Sales[[#This Row],[Price_retail]]</f>
        <v>0</v>
      </c>
      <c r="W808" s="3" t="str" cm="1">
        <f t="array" ref="W80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8" s="2" t="str">
        <f>IF(Real_Sales[[#This Row],[Price_retail]]&gt;$AC$3,"Premium","Average")</f>
        <v>Premium</v>
      </c>
      <c r="Y808" s="2" t="str">
        <f>IF(ISNUMBER(SEARCH("Basic",Real_Sales[[#This Row],[Product_name]])),"Yes","No")</f>
        <v>No</v>
      </c>
      <c r="Z808" s="2" cm="1">
        <f t="array" ref="Z808">_xlfn.IFS(Real_Sales[[#This Row],[Price_retail]]&lt;=15,1, Real_Sales[[#This Row],[Price_retail]]&lt;=30,2, Real_Sales[[#This Row],[Price_retail]]&lt;=50,3,Real_Sales[[#This Row],[Price_retail]]&gt;50,4)</f>
        <v>2</v>
      </c>
    </row>
    <row r="809" spans="1:26" x14ac:dyDescent="0.35">
      <c r="A809" s="2" t="s">
        <v>2111</v>
      </c>
      <c r="B809" s="2" t="s">
        <v>2112</v>
      </c>
      <c r="C809" s="2" t="s">
        <v>25</v>
      </c>
      <c r="D809" s="2" t="s">
        <v>511</v>
      </c>
      <c r="E809" s="2" t="s">
        <v>4</v>
      </c>
      <c r="F809" s="2" t="s">
        <v>5</v>
      </c>
      <c r="G809" s="2" t="s">
        <v>6</v>
      </c>
      <c r="H809" s="2" t="s">
        <v>7</v>
      </c>
      <c r="I809" s="2" t="s">
        <v>3393</v>
      </c>
      <c r="J809" s="3">
        <v>26.83</v>
      </c>
      <c r="K809" s="3">
        <v>26.83</v>
      </c>
      <c r="L809" s="2" t="s">
        <v>3391</v>
      </c>
      <c r="M809" s="2" t="s">
        <v>9</v>
      </c>
      <c r="N809" s="3">
        <v>301</v>
      </c>
      <c r="O809" s="2" t="s">
        <v>20</v>
      </c>
      <c r="P809" s="2" t="s">
        <v>3392</v>
      </c>
      <c r="Q809" s="3"/>
      <c r="R809" s="3"/>
      <c r="S809" s="2" t="s">
        <v>12</v>
      </c>
      <c r="T809" s="4">
        <v>44955</v>
      </c>
      <c r="U809" s="2" t="s">
        <v>2113</v>
      </c>
      <c r="V809" s="6">
        <f>(Real_Sales[[#This Row],[Price_retail]]-Real_Sales[[#This Row],[Price_current]])/Real_Sales[[#This Row],[Price_retail]]</f>
        <v>0</v>
      </c>
      <c r="W809" s="3" t="str" cm="1">
        <f t="array" ref="W8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09" s="2" t="str">
        <f>IF(Real_Sales[[#This Row],[Price_retail]]&gt;$AC$3,"Premium","Average")</f>
        <v>Premium</v>
      </c>
      <c r="Y809" s="2" t="str">
        <f>IF(ISNUMBER(SEARCH("Basic",Real_Sales[[#This Row],[Product_name]])),"Yes","No")</f>
        <v>No</v>
      </c>
      <c r="Z809" s="2" cm="1">
        <f t="array" ref="Z809">_xlfn.IFS(Real_Sales[[#This Row],[Price_retail]]&lt;=15,1, Real_Sales[[#This Row],[Price_retail]]&lt;=30,2, Real_Sales[[#This Row],[Price_retail]]&lt;=50,3,Real_Sales[[#This Row],[Price_retail]]&gt;50,4)</f>
        <v>2</v>
      </c>
    </row>
    <row r="810" spans="1:26" x14ac:dyDescent="0.35">
      <c r="A810" s="2" t="s">
        <v>3101</v>
      </c>
      <c r="B810" s="2" t="s">
        <v>3102</v>
      </c>
      <c r="C810" s="2" t="s">
        <v>585</v>
      </c>
      <c r="D810" s="2" t="s">
        <v>905</v>
      </c>
      <c r="E810" s="2" t="s">
        <v>4</v>
      </c>
      <c r="F810" s="2" t="s">
        <v>5</v>
      </c>
      <c r="G810" s="2" t="s">
        <v>82</v>
      </c>
      <c r="H810" s="2" t="s">
        <v>28</v>
      </c>
      <c r="I810" s="2" t="s">
        <v>3393</v>
      </c>
      <c r="J810" s="3">
        <v>26.89</v>
      </c>
      <c r="K810" s="3">
        <v>26.89</v>
      </c>
      <c r="L810" s="2" t="s">
        <v>3391</v>
      </c>
      <c r="M810" s="2" t="s">
        <v>9</v>
      </c>
      <c r="N810" s="3">
        <v>588</v>
      </c>
      <c r="O810" s="2" t="s">
        <v>347</v>
      </c>
      <c r="P810" s="2" t="s">
        <v>44</v>
      </c>
      <c r="Q810" s="3"/>
      <c r="R810" s="3"/>
      <c r="S810" s="2" t="s">
        <v>21</v>
      </c>
      <c r="T810" s="4">
        <v>44955</v>
      </c>
      <c r="U810" s="2" t="s">
        <v>3103</v>
      </c>
      <c r="V810" s="6">
        <f>(Real_Sales[[#This Row],[Price_retail]]-Real_Sales[[#This Row],[Price_current]])/Real_Sales[[#This Row],[Price_retail]]</f>
        <v>0</v>
      </c>
      <c r="W810" s="3" t="str" cm="1">
        <f t="array" ref="W81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10" s="2" t="str">
        <f>IF(Real_Sales[[#This Row],[Price_retail]]&gt;$AC$3,"Premium","Average")</f>
        <v>Premium</v>
      </c>
      <c r="Y810" s="2" t="str">
        <f>IF(ISNUMBER(SEARCH("Basic",Real_Sales[[#This Row],[Product_name]])),"Yes","No")</f>
        <v>No</v>
      </c>
      <c r="Z810" s="2" cm="1">
        <f t="array" ref="Z810">_xlfn.IFS(Real_Sales[[#This Row],[Price_retail]]&lt;=15,1, Real_Sales[[#This Row],[Price_retail]]&lt;=30,2, Real_Sales[[#This Row],[Price_retail]]&lt;=50,3,Real_Sales[[#This Row],[Price_retail]]&gt;50,4)</f>
        <v>2</v>
      </c>
    </row>
    <row r="811" spans="1:26" x14ac:dyDescent="0.35">
      <c r="A811" s="2" t="s">
        <v>1540</v>
      </c>
      <c r="B811" s="2" t="s">
        <v>1541</v>
      </c>
      <c r="C811" s="2" t="s">
        <v>1542</v>
      </c>
      <c r="D811" s="2" t="s">
        <v>1206</v>
      </c>
      <c r="E811" s="2" t="s">
        <v>4</v>
      </c>
      <c r="F811" s="2" t="s">
        <v>17</v>
      </c>
      <c r="G811" s="2" t="s">
        <v>27</v>
      </c>
      <c r="H811" s="2"/>
      <c r="I811" s="2" t="s">
        <v>3393</v>
      </c>
      <c r="J811" s="3">
        <v>26.97</v>
      </c>
      <c r="K811" s="3">
        <v>16.239999999999998</v>
      </c>
      <c r="L811" s="2" t="s">
        <v>8</v>
      </c>
      <c r="M811" s="2" t="s">
        <v>9</v>
      </c>
      <c r="N811" s="3">
        <v>841</v>
      </c>
      <c r="O811" s="2" t="s">
        <v>91</v>
      </c>
      <c r="P811" s="2" t="s">
        <v>192</v>
      </c>
      <c r="Q811" s="3"/>
      <c r="R811" s="3"/>
      <c r="S811" s="2" t="s">
        <v>21</v>
      </c>
      <c r="T811" s="4">
        <v>44955</v>
      </c>
      <c r="U811" s="2" t="s">
        <v>1543</v>
      </c>
      <c r="V811" s="6">
        <f>(Real_Sales[[#This Row],[Price_retail]]-Real_Sales[[#This Row],[Price_current]])/Real_Sales[[#This Row],[Price_retail]]</f>
        <v>0.39784946236559143</v>
      </c>
      <c r="W811" s="3" t="str" cm="1">
        <f t="array" ref="W81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11" s="2" t="str">
        <f>IF(Real_Sales[[#This Row],[Price_retail]]&gt;$AC$3,"Premium","Average")</f>
        <v>Premium</v>
      </c>
      <c r="Y811" s="2" t="str">
        <f>IF(ISNUMBER(SEARCH("Basic",Real_Sales[[#This Row],[Product_name]])),"Yes","No")</f>
        <v>No</v>
      </c>
      <c r="Z811" s="2" cm="1">
        <f t="array" ref="Z811">_xlfn.IFS(Real_Sales[[#This Row],[Price_retail]]&lt;=15,1, Real_Sales[[#This Row],[Price_retail]]&lt;=30,2, Real_Sales[[#This Row],[Price_retail]]&lt;=50,3,Real_Sales[[#This Row],[Price_retail]]&gt;50,4)</f>
        <v>2</v>
      </c>
    </row>
    <row r="812" spans="1:26" x14ac:dyDescent="0.35">
      <c r="A812" s="2" t="s">
        <v>2032</v>
      </c>
      <c r="B812" s="2" t="s">
        <v>2033</v>
      </c>
      <c r="C812" s="2" t="s">
        <v>65</v>
      </c>
      <c r="D812" s="2" t="s">
        <v>58</v>
      </c>
      <c r="E812" s="2" t="s">
        <v>4</v>
      </c>
      <c r="F812" s="2" t="s">
        <v>17</v>
      </c>
      <c r="G812" s="2" t="s">
        <v>18</v>
      </c>
      <c r="H812" s="2" t="s">
        <v>59</v>
      </c>
      <c r="I812" s="2" t="s">
        <v>3395</v>
      </c>
      <c r="J812" s="3">
        <v>27.14</v>
      </c>
      <c r="K812" s="3">
        <v>21.03</v>
      </c>
      <c r="L812" s="2" t="s">
        <v>8</v>
      </c>
      <c r="M812" s="2" t="s">
        <v>9</v>
      </c>
      <c r="N812" s="3">
        <v>377</v>
      </c>
      <c r="O812" s="2" t="s">
        <v>140</v>
      </c>
      <c r="P812" s="2" t="s">
        <v>3392</v>
      </c>
      <c r="Q812" s="3"/>
      <c r="R812" s="3"/>
      <c r="S812" s="2" t="s">
        <v>21</v>
      </c>
      <c r="T812" s="4">
        <v>44955</v>
      </c>
      <c r="U812" s="2" t="s">
        <v>2034</v>
      </c>
      <c r="V812" s="6">
        <f>(Real_Sales[[#This Row],[Price_retail]]-Real_Sales[[#This Row],[Price_current]])/Real_Sales[[#This Row],[Price_retail]]</f>
        <v>0.22512896094325716</v>
      </c>
      <c r="W812" s="3" t="str" cm="1">
        <f t="array" ref="W81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12" s="2" t="str">
        <f>IF(Real_Sales[[#This Row],[Price_retail]]&gt;$AC$3,"Premium","Average")</f>
        <v>Premium</v>
      </c>
      <c r="Y812" s="2" t="str">
        <f>IF(ISNUMBER(SEARCH("Basic",Real_Sales[[#This Row],[Product_name]])),"Yes","No")</f>
        <v>No</v>
      </c>
      <c r="Z812" s="2" cm="1">
        <f t="array" ref="Z812">_xlfn.IFS(Real_Sales[[#This Row],[Price_retail]]&lt;=15,1, Real_Sales[[#This Row],[Price_retail]]&lt;=30,2, Real_Sales[[#This Row],[Price_retail]]&lt;=50,3,Real_Sales[[#This Row],[Price_retail]]&gt;50,4)</f>
        <v>2</v>
      </c>
    </row>
    <row r="813" spans="1:26" x14ac:dyDescent="0.35">
      <c r="A813" s="2" t="s">
        <v>2605</v>
      </c>
      <c r="B813" s="2" t="s">
        <v>2606</v>
      </c>
      <c r="C813" s="2" t="s">
        <v>1797</v>
      </c>
      <c r="D813" s="2" t="s">
        <v>1011</v>
      </c>
      <c r="E813" s="2" t="s">
        <v>4</v>
      </c>
      <c r="F813" s="2" t="s">
        <v>17</v>
      </c>
      <c r="G813" s="2" t="s">
        <v>27</v>
      </c>
      <c r="H813" s="2" t="s">
        <v>68</v>
      </c>
      <c r="I813" s="2" t="s">
        <v>3393</v>
      </c>
      <c r="J813" s="3">
        <v>27.14</v>
      </c>
      <c r="K813" s="3">
        <v>27.14</v>
      </c>
      <c r="L813" s="2" t="s">
        <v>3391</v>
      </c>
      <c r="M813" s="2" t="s">
        <v>9</v>
      </c>
      <c r="N813" s="3">
        <v>925</v>
      </c>
      <c r="O813" s="2" t="s">
        <v>3392</v>
      </c>
      <c r="P813" s="2" t="s">
        <v>238</v>
      </c>
      <c r="Q813" s="3"/>
      <c r="R813" s="3"/>
      <c r="S813" s="2" t="s">
        <v>21</v>
      </c>
      <c r="T813" s="4">
        <v>44955</v>
      </c>
      <c r="U813" s="2" t="s">
        <v>2607</v>
      </c>
      <c r="V813" s="6">
        <f>(Real_Sales[[#This Row],[Price_retail]]-Real_Sales[[#This Row],[Price_current]])/Real_Sales[[#This Row],[Price_retail]]</f>
        <v>0</v>
      </c>
      <c r="W813" s="3" t="str" cm="1">
        <f t="array" ref="W81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13" s="2" t="str">
        <f>IF(Real_Sales[[#This Row],[Price_retail]]&gt;$AC$3,"Premium","Average")</f>
        <v>Premium</v>
      </c>
      <c r="Y813" s="2" t="str">
        <f>IF(ISNUMBER(SEARCH("Basic",Real_Sales[[#This Row],[Product_name]])),"Yes","No")</f>
        <v>No</v>
      </c>
      <c r="Z813" s="2" cm="1">
        <f t="array" ref="Z813">_xlfn.IFS(Real_Sales[[#This Row],[Price_retail]]&lt;=15,1, Real_Sales[[#This Row],[Price_retail]]&lt;=30,2, Real_Sales[[#This Row],[Price_retail]]&lt;=50,3,Real_Sales[[#This Row],[Price_retail]]&gt;50,4)</f>
        <v>2</v>
      </c>
    </row>
    <row r="814" spans="1:26" x14ac:dyDescent="0.35">
      <c r="A814" s="2" t="s">
        <v>778</v>
      </c>
      <c r="B814" s="2" t="s">
        <v>779</v>
      </c>
      <c r="C814" s="2" t="s">
        <v>102</v>
      </c>
      <c r="D814" s="2" t="s">
        <v>557</v>
      </c>
      <c r="E814" s="2" t="s">
        <v>4</v>
      </c>
      <c r="F814" s="2" t="s">
        <v>5</v>
      </c>
      <c r="G814" s="2" t="s">
        <v>121</v>
      </c>
      <c r="H814" s="2" t="s">
        <v>28</v>
      </c>
      <c r="I814" s="2" t="s">
        <v>3393</v>
      </c>
      <c r="J814" s="3">
        <v>27.15</v>
      </c>
      <c r="K814" s="3">
        <v>27.15</v>
      </c>
      <c r="L814" s="2" t="s">
        <v>3391</v>
      </c>
      <c r="M814" s="2" t="s">
        <v>9</v>
      </c>
      <c r="N814" s="3">
        <v>190</v>
      </c>
      <c r="O814" s="2" t="s">
        <v>140</v>
      </c>
      <c r="P814" s="2" t="s">
        <v>70</v>
      </c>
      <c r="Q814" s="3"/>
      <c r="R814" s="3"/>
      <c r="S814" s="2" t="s">
        <v>12</v>
      </c>
      <c r="T814" s="4">
        <v>44955</v>
      </c>
      <c r="U814" s="2" t="s">
        <v>780</v>
      </c>
      <c r="V814" s="6">
        <f>(Real_Sales[[#This Row],[Price_retail]]-Real_Sales[[#This Row],[Price_current]])/Real_Sales[[#This Row],[Price_retail]]</f>
        <v>0</v>
      </c>
      <c r="W814" s="3" t="str" cm="1">
        <f t="array" ref="W8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14" s="2" t="str">
        <f>IF(Real_Sales[[#This Row],[Price_retail]]&gt;$AC$3,"Premium","Average")</f>
        <v>Premium</v>
      </c>
      <c r="Y814" s="2" t="str">
        <f>IF(ISNUMBER(SEARCH("Basic",Real_Sales[[#This Row],[Product_name]])),"Yes","No")</f>
        <v>No</v>
      </c>
      <c r="Z814" s="2" cm="1">
        <f t="array" ref="Z814">_xlfn.IFS(Real_Sales[[#This Row],[Price_retail]]&lt;=15,1, Real_Sales[[#This Row],[Price_retail]]&lt;=30,2, Real_Sales[[#This Row],[Price_retail]]&lt;=50,3,Real_Sales[[#This Row],[Price_retail]]&gt;50,4)</f>
        <v>2</v>
      </c>
    </row>
    <row r="815" spans="1:26" x14ac:dyDescent="0.35">
      <c r="A815" s="2" t="s">
        <v>3167</v>
      </c>
      <c r="B815" s="2" t="s">
        <v>3168</v>
      </c>
      <c r="C815" s="2" t="s">
        <v>3401</v>
      </c>
      <c r="D815" s="2" t="s">
        <v>16</v>
      </c>
      <c r="E815" s="2" t="s">
        <v>4</v>
      </c>
      <c r="F815" s="2" t="s">
        <v>17</v>
      </c>
      <c r="G815" s="2" t="s">
        <v>67</v>
      </c>
      <c r="H815" s="2" t="s">
        <v>19</v>
      </c>
      <c r="I815" s="2" t="s">
        <v>3390</v>
      </c>
      <c r="J815" s="3">
        <v>27.16</v>
      </c>
      <c r="K815" s="3">
        <v>16.14</v>
      </c>
      <c r="L815" s="2" t="s">
        <v>8</v>
      </c>
      <c r="M815" s="2" t="s">
        <v>9</v>
      </c>
      <c r="N815" s="3">
        <v>628</v>
      </c>
      <c r="O815" s="2" t="s">
        <v>347</v>
      </c>
      <c r="P815" s="2" t="s">
        <v>70</v>
      </c>
      <c r="Q815" s="3"/>
      <c r="R815" s="3"/>
      <c r="S815" s="2" t="s">
        <v>21</v>
      </c>
      <c r="T815" s="4">
        <v>44955</v>
      </c>
      <c r="U815" s="2" t="s">
        <v>3169</v>
      </c>
      <c r="V815" s="6">
        <f>(Real_Sales[[#This Row],[Price_retail]]-Real_Sales[[#This Row],[Price_current]])/Real_Sales[[#This Row],[Price_retail]]</f>
        <v>0.40574374079528719</v>
      </c>
      <c r="W815" s="3" t="str" cm="1">
        <f t="array" ref="W81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15" s="2" t="str">
        <f>IF(Real_Sales[[#This Row],[Price_retail]]&gt;$AC$3,"Premium","Average")</f>
        <v>Premium</v>
      </c>
      <c r="Y815" s="2" t="str">
        <f>IF(ISNUMBER(SEARCH("Basic",Real_Sales[[#This Row],[Product_name]])),"Yes","No")</f>
        <v>No</v>
      </c>
      <c r="Z815" s="2" cm="1">
        <f t="array" ref="Z815">_xlfn.IFS(Real_Sales[[#This Row],[Price_retail]]&lt;=15,1, Real_Sales[[#This Row],[Price_retail]]&lt;=30,2, Real_Sales[[#This Row],[Price_retail]]&lt;=50,3,Real_Sales[[#This Row],[Price_retail]]&gt;50,4)</f>
        <v>2</v>
      </c>
    </row>
    <row r="816" spans="1:26" x14ac:dyDescent="0.35">
      <c r="A816" s="2" t="s">
        <v>3365</v>
      </c>
      <c r="B816" s="2" t="s">
        <v>3366</v>
      </c>
      <c r="C816" s="2" t="s">
        <v>102</v>
      </c>
      <c r="D816" s="2" t="s">
        <v>1495</v>
      </c>
      <c r="E816" s="2" t="s">
        <v>4</v>
      </c>
      <c r="F816" s="2" t="s">
        <v>5</v>
      </c>
      <c r="G816" s="2" t="s">
        <v>82</v>
      </c>
      <c r="H816" s="2" t="s">
        <v>35</v>
      </c>
      <c r="I816" s="2" t="s">
        <v>3395</v>
      </c>
      <c r="J816" s="3">
        <v>27.16</v>
      </c>
      <c r="K816" s="3">
        <v>22.46</v>
      </c>
      <c r="L816" s="2" t="s">
        <v>8</v>
      </c>
      <c r="M816" s="2" t="s">
        <v>9</v>
      </c>
      <c r="N816" s="3">
        <v>988</v>
      </c>
      <c r="O816" s="2" t="s">
        <v>91</v>
      </c>
      <c r="P816" s="2" t="s">
        <v>37</v>
      </c>
      <c r="Q816" s="3"/>
      <c r="R816" s="3"/>
      <c r="S816" s="2" t="s">
        <v>21</v>
      </c>
      <c r="T816" s="4">
        <v>44955</v>
      </c>
      <c r="U816" s="2" t="s">
        <v>3367</v>
      </c>
      <c r="V816" s="6">
        <f>(Real_Sales[[#This Row],[Price_retail]]-Real_Sales[[#This Row],[Price_current]])/Real_Sales[[#This Row],[Price_retail]]</f>
        <v>0.1730486008836524</v>
      </c>
      <c r="W816" s="3" t="str" cm="1">
        <f t="array" ref="W81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816" s="2" t="str">
        <f>IF(Real_Sales[[#This Row],[Price_retail]]&gt;$AC$3,"Premium","Average")</f>
        <v>Premium</v>
      </c>
      <c r="Y816" s="2" t="str">
        <f>IF(ISNUMBER(SEARCH("Basic",Real_Sales[[#This Row],[Product_name]])),"Yes","No")</f>
        <v>No</v>
      </c>
      <c r="Z816" s="2" cm="1">
        <f t="array" ref="Z816">_xlfn.IFS(Real_Sales[[#This Row],[Price_retail]]&lt;=15,1, Real_Sales[[#This Row],[Price_retail]]&lt;=30,2, Real_Sales[[#This Row],[Price_retail]]&lt;=50,3,Real_Sales[[#This Row],[Price_retail]]&gt;50,4)</f>
        <v>2</v>
      </c>
    </row>
    <row r="817" spans="1:26" x14ac:dyDescent="0.35">
      <c r="A817" s="2" t="s">
        <v>298</v>
      </c>
      <c r="B817" s="2" t="s">
        <v>299</v>
      </c>
      <c r="C817" s="2" t="s">
        <v>300</v>
      </c>
      <c r="D817" s="2" t="s">
        <v>301</v>
      </c>
      <c r="E817" s="2" t="s">
        <v>4</v>
      </c>
      <c r="F817" s="2" t="s">
        <v>17</v>
      </c>
      <c r="G817" s="2" t="s">
        <v>18</v>
      </c>
      <c r="H817" s="2" t="s">
        <v>145</v>
      </c>
      <c r="I817" s="2" t="s">
        <v>3389</v>
      </c>
      <c r="J817" s="3">
        <v>27.26</v>
      </c>
      <c r="K817" s="3">
        <v>27.26</v>
      </c>
      <c r="L817" s="2" t="s">
        <v>248</v>
      </c>
      <c r="M817" s="2" t="s">
        <v>9</v>
      </c>
      <c r="N817" s="3">
        <v>734</v>
      </c>
      <c r="O817" s="2" t="s">
        <v>302</v>
      </c>
      <c r="P817" s="2" t="s">
        <v>3392</v>
      </c>
      <c r="Q817" s="3"/>
      <c r="R817" s="3"/>
      <c r="S817" s="2" t="s">
        <v>21</v>
      </c>
      <c r="T817" s="4">
        <v>44955</v>
      </c>
      <c r="U817" s="2" t="s">
        <v>303</v>
      </c>
      <c r="V817" s="6">
        <f>(Real_Sales[[#This Row],[Price_retail]]-Real_Sales[[#This Row],[Price_current]])/Real_Sales[[#This Row],[Price_retail]]</f>
        <v>0</v>
      </c>
      <c r="W817" s="3" t="str" cm="1">
        <f t="array" ref="W8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17" s="2" t="str">
        <f>IF(Real_Sales[[#This Row],[Price_retail]]&gt;$AC$3,"Premium","Average")</f>
        <v>Premium</v>
      </c>
      <c r="Y817" s="2" t="str">
        <f>IF(ISNUMBER(SEARCH("Basic",Real_Sales[[#This Row],[Product_name]])),"Yes","No")</f>
        <v>No</v>
      </c>
      <c r="Z817" s="2" cm="1">
        <f t="array" ref="Z817">_xlfn.IFS(Real_Sales[[#This Row],[Price_retail]]&lt;=15,1, Real_Sales[[#This Row],[Price_retail]]&lt;=30,2, Real_Sales[[#This Row],[Price_retail]]&lt;=50,3,Real_Sales[[#This Row],[Price_retail]]&gt;50,4)</f>
        <v>2</v>
      </c>
    </row>
    <row r="818" spans="1:26" x14ac:dyDescent="0.35">
      <c r="A818" s="2" t="s">
        <v>415</v>
      </c>
      <c r="B818" s="2" t="s">
        <v>416</v>
      </c>
      <c r="C818" s="2" t="s">
        <v>65</v>
      </c>
      <c r="D818" s="2" t="s">
        <v>417</v>
      </c>
      <c r="E818" s="2" t="s">
        <v>4</v>
      </c>
      <c r="F818" s="2" t="s">
        <v>17</v>
      </c>
      <c r="G818" s="2" t="s">
        <v>18</v>
      </c>
      <c r="H818" s="2" t="s">
        <v>418</v>
      </c>
      <c r="I818" s="2" t="s">
        <v>3393</v>
      </c>
      <c r="J818" s="3">
        <v>27.4</v>
      </c>
      <c r="K818" s="3">
        <v>27.4</v>
      </c>
      <c r="L818" s="2" t="s">
        <v>3391</v>
      </c>
      <c r="M818" s="2" t="s">
        <v>9</v>
      </c>
      <c r="N818" s="3">
        <v>805</v>
      </c>
      <c r="O818" s="2" t="s">
        <v>261</v>
      </c>
      <c r="P818" s="2" t="s">
        <v>419</v>
      </c>
      <c r="Q818" s="3"/>
      <c r="R818" s="3"/>
      <c r="S818" s="2" t="s">
        <v>12</v>
      </c>
      <c r="T818" s="4">
        <v>44955</v>
      </c>
      <c r="U818" s="2" t="s">
        <v>420</v>
      </c>
      <c r="V818" s="6">
        <f>(Real_Sales[[#This Row],[Price_retail]]-Real_Sales[[#This Row],[Price_current]])/Real_Sales[[#This Row],[Price_retail]]</f>
        <v>0</v>
      </c>
      <c r="W818" s="3" t="str" cm="1">
        <f t="array" ref="W81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18" s="2" t="str">
        <f>IF(Real_Sales[[#This Row],[Price_retail]]&gt;$AC$3,"Premium","Average")</f>
        <v>Premium</v>
      </c>
      <c r="Y818" s="2" t="str">
        <f>IF(ISNUMBER(SEARCH("Basic",Real_Sales[[#This Row],[Product_name]])),"Yes","No")</f>
        <v>Yes</v>
      </c>
      <c r="Z818" s="2" cm="1">
        <f t="array" ref="Z818">_xlfn.IFS(Real_Sales[[#This Row],[Price_retail]]&lt;=15,1, Real_Sales[[#This Row],[Price_retail]]&lt;=30,2, Real_Sales[[#This Row],[Price_retail]]&lt;=50,3,Real_Sales[[#This Row],[Price_retail]]&gt;50,4)</f>
        <v>2</v>
      </c>
    </row>
    <row r="819" spans="1:26" x14ac:dyDescent="0.35">
      <c r="A819" s="2" t="s">
        <v>1075</v>
      </c>
      <c r="B819" s="2" t="s">
        <v>1076</v>
      </c>
      <c r="C819" s="2" t="s">
        <v>102</v>
      </c>
      <c r="D819" s="2" t="s">
        <v>220</v>
      </c>
      <c r="E819" s="2" t="s">
        <v>4</v>
      </c>
      <c r="F819" s="2" t="s">
        <v>17</v>
      </c>
      <c r="G819" s="2" t="s">
        <v>27</v>
      </c>
      <c r="H819" s="2" t="s">
        <v>139</v>
      </c>
      <c r="I819" s="2" t="s">
        <v>3395</v>
      </c>
      <c r="J819" s="3">
        <v>27.46</v>
      </c>
      <c r="K819" s="3">
        <v>25.5</v>
      </c>
      <c r="L819" s="2" t="s">
        <v>8</v>
      </c>
      <c r="M819" s="2" t="s">
        <v>9</v>
      </c>
      <c r="N819" s="3">
        <v>333</v>
      </c>
      <c r="O819" s="2" t="s">
        <v>140</v>
      </c>
      <c r="P819" s="2" t="s">
        <v>368</v>
      </c>
      <c r="Q819" s="3"/>
      <c r="R819" s="3"/>
      <c r="S819" s="2" t="s">
        <v>21</v>
      </c>
      <c r="T819" s="4">
        <v>44955</v>
      </c>
      <c r="U819" s="2" t="s">
        <v>1077</v>
      </c>
      <c r="V819" s="6">
        <f>(Real_Sales[[#This Row],[Price_retail]]-Real_Sales[[#This Row],[Price_current]])/Real_Sales[[#This Row],[Price_retail]]</f>
        <v>7.1376547705753857E-2</v>
      </c>
      <c r="W819" s="3" t="str" cm="1">
        <f t="array" ref="W819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819" s="2" t="str">
        <f>IF(Real_Sales[[#This Row],[Price_retail]]&gt;$AC$3,"Premium","Average")</f>
        <v>Premium</v>
      </c>
      <c r="Y819" s="2" t="str">
        <f>IF(ISNUMBER(SEARCH("Basic",Real_Sales[[#This Row],[Product_name]])),"Yes","No")</f>
        <v>No</v>
      </c>
      <c r="Z819" s="2" cm="1">
        <f t="array" ref="Z819">_xlfn.IFS(Real_Sales[[#This Row],[Price_retail]]&lt;=15,1, Real_Sales[[#This Row],[Price_retail]]&lt;=30,2, Real_Sales[[#This Row],[Price_retail]]&lt;=50,3,Real_Sales[[#This Row],[Price_retail]]&gt;50,4)</f>
        <v>2</v>
      </c>
    </row>
    <row r="820" spans="1:26" x14ac:dyDescent="0.35">
      <c r="A820" s="2" t="s">
        <v>2350</v>
      </c>
      <c r="B820" s="2" t="s">
        <v>2351</v>
      </c>
      <c r="C820" s="2" t="s">
        <v>3407</v>
      </c>
      <c r="D820" s="2" t="s">
        <v>16</v>
      </c>
      <c r="E820" s="2" t="s">
        <v>4</v>
      </c>
      <c r="F820" s="2" t="s">
        <v>17</v>
      </c>
      <c r="G820" s="2" t="s">
        <v>50</v>
      </c>
      <c r="H820" s="2" t="s">
        <v>19</v>
      </c>
      <c r="I820" s="2" t="s">
        <v>3393</v>
      </c>
      <c r="J820" s="3">
        <v>27.51</v>
      </c>
      <c r="K820" s="3">
        <v>15.36</v>
      </c>
      <c r="L820" s="2" t="s">
        <v>8</v>
      </c>
      <c r="M820" s="2" t="s">
        <v>9</v>
      </c>
      <c r="N820" s="3">
        <v>215</v>
      </c>
      <c r="O820" s="2" t="s">
        <v>91</v>
      </c>
      <c r="P820" s="2" t="s">
        <v>3392</v>
      </c>
      <c r="Q820" s="3"/>
      <c r="R820" s="3"/>
      <c r="S820" s="2" t="s">
        <v>21</v>
      </c>
      <c r="T820" s="4">
        <v>44955</v>
      </c>
      <c r="U820" s="2" t="s">
        <v>2352</v>
      </c>
      <c r="V820" s="6">
        <f>(Real_Sales[[#This Row],[Price_retail]]-Real_Sales[[#This Row],[Price_current]])/Real_Sales[[#This Row],[Price_retail]]</f>
        <v>0.44165757906215924</v>
      </c>
      <c r="W820" s="3" t="str" cm="1">
        <f t="array" ref="W82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20" s="2" t="str">
        <f>IF(Real_Sales[[#This Row],[Price_retail]]&gt;$AC$3,"Premium","Average")</f>
        <v>Premium</v>
      </c>
      <c r="Y820" s="2" t="str">
        <f>IF(ISNUMBER(SEARCH("Basic",Real_Sales[[#This Row],[Product_name]])),"Yes","No")</f>
        <v>No</v>
      </c>
      <c r="Z820" s="2" cm="1">
        <f t="array" ref="Z820">_xlfn.IFS(Real_Sales[[#This Row],[Price_retail]]&lt;=15,1, Real_Sales[[#This Row],[Price_retail]]&lt;=30,2, Real_Sales[[#This Row],[Price_retail]]&lt;=50,3,Real_Sales[[#This Row],[Price_retail]]&gt;50,4)</f>
        <v>2</v>
      </c>
    </row>
    <row r="821" spans="1:26" x14ac:dyDescent="0.35">
      <c r="A821" s="2" t="s">
        <v>336</v>
      </c>
      <c r="B821" s="2" t="s">
        <v>337</v>
      </c>
      <c r="C821" s="2" t="s">
        <v>65</v>
      </c>
      <c r="D821" s="2" t="s">
        <v>338</v>
      </c>
      <c r="E821" s="2" t="s">
        <v>4</v>
      </c>
      <c r="F821" s="2" t="s">
        <v>17</v>
      </c>
      <c r="G821" s="2" t="s">
        <v>18</v>
      </c>
      <c r="H821" s="2" t="s">
        <v>90</v>
      </c>
      <c r="I821" s="2" t="s">
        <v>3390</v>
      </c>
      <c r="J821" s="3">
        <v>27.54</v>
      </c>
      <c r="K821" s="3">
        <v>27.54</v>
      </c>
      <c r="L821" s="2" t="s">
        <v>3391</v>
      </c>
      <c r="M821" s="2" t="s">
        <v>9</v>
      </c>
      <c r="N821" s="3">
        <v>297</v>
      </c>
      <c r="O821" s="2" t="s">
        <v>140</v>
      </c>
      <c r="P821" s="2" t="s">
        <v>92</v>
      </c>
      <c r="Q821" s="3"/>
      <c r="R821" s="3"/>
      <c r="S821" s="2" t="s">
        <v>21</v>
      </c>
      <c r="T821" s="4">
        <v>44955</v>
      </c>
      <c r="U821" s="2" t="s">
        <v>339</v>
      </c>
      <c r="V821" s="6">
        <f>(Real_Sales[[#This Row],[Price_retail]]-Real_Sales[[#This Row],[Price_current]])/Real_Sales[[#This Row],[Price_retail]]</f>
        <v>0</v>
      </c>
      <c r="W821" s="3" t="str" cm="1">
        <f t="array" ref="W82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21" s="2" t="str">
        <f>IF(Real_Sales[[#This Row],[Price_retail]]&gt;$AC$3,"Premium","Average")</f>
        <v>Premium</v>
      </c>
      <c r="Y821" s="2" t="str">
        <f>IF(ISNUMBER(SEARCH("Basic",Real_Sales[[#This Row],[Product_name]])),"Yes","No")</f>
        <v>No</v>
      </c>
      <c r="Z821" s="2" cm="1">
        <f t="array" ref="Z821">_xlfn.IFS(Real_Sales[[#This Row],[Price_retail]]&lt;=15,1, Real_Sales[[#This Row],[Price_retail]]&lt;=30,2, Real_Sales[[#This Row],[Price_retail]]&lt;=50,3,Real_Sales[[#This Row],[Price_retail]]&gt;50,4)</f>
        <v>2</v>
      </c>
    </row>
    <row r="822" spans="1:26" x14ac:dyDescent="0.35">
      <c r="A822" s="2" t="s">
        <v>1820</v>
      </c>
      <c r="B822" s="2" t="s">
        <v>1821</v>
      </c>
      <c r="C822" s="2" t="s">
        <v>1822</v>
      </c>
      <c r="D822" s="2" t="s">
        <v>1823</v>
      </c>
      <c r="E822" s="2" t="s">
        <v>4</v>
      </c>
      <c r="F822" s="2" t="s">
        <v>17</v>
      </c>
      <c r="G822" s="2" t="s">
        <v>50</v>
      </c>
      <c r="H822" s="2" t="s">
        <v>168</v>
      </c>
      <c r="I822" s="2" t="s">
        <v>3390</v>
      </c>
      <c r="J822" s="3">
        <v>27.55</v>
      </c>
      <c r="K822" s="3">
        <v>27.55</v>
      </c>
      <c r="L822" s="2" t="s">
        <v>3391</v>
      </c>
      <c r="M822" s="2" t="s">
        <v>9</v>
      </c>
      <c r="N822" s="3">
        <v>3</v>
      </c>
      <c r="O822" s="2" t="s">
        <v>163</v>
      </c>
      <c r="P822" s="2" t="s">
        <v>328</v>
      </c>
      <c r="Q822" s="3"/>
      <c r="R822" s="3"/>
      <c r="S822" s="2" t="s">
        <v>21</v>
      </c>
      <c r="T822" s="4">
        <v>44955</v>
      </c>
      <c r="U822" s="2" t="s">
        <v>1824</v>
      </c>
      <c r="V822" s="6">
        <f>(Real_Sales[[#This Row],[Price_retail]]-Real_Sales[[#This Row],[Price_current]])/Real_Sales[[#This Row],[Price_retail]]</f>
        <v>0</v>
      </c>
      <c r="W822" s="3" t="str" cm="1">
        <f t="array" ref="W8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22" s="2" t="str">
        <f>IF(Real_Sales[[#This Row],[Price_retail]]&gt;$AC$3,"Premium","Average")</f>
        <v>Premium</v>
      </c>
      <c r="Y822" s="2" t="str">
        <f>IF(ISNUMBER(SEARCH("Basic",Real_Sales[[#This Row],[Product_name]])),"Yes","No")</f>
        <v>No</v>
      </c>
      <c r="Z822" s="2" cm="1">
        <f t="array" ref="Z822">_xlfn.IFS(Real_Sales[[#This Row],[Price_retail]]&lt;=15,1, Real_Sales[[#This Row],[Price_retail]]&lt;=30,2, Real_Sales[[#This Row],[Price_retail]]&lt;=50,3,Real_Sales[[#This Row],[Price_retail]]&gt;50,4)</f>
        <v>2</v>
      </c>
    </row>
    <row r="823" spans="1:26" x14ac:dyDescent="0.35">
      <c r="A823" s="2" t="s">
        <v>716</v>
      </c>
      <c r="B823" s="2" t="s">
        <v>717</v>
      </c>
      <c r="C823" s="2" t="s">
        <v>41</v>
      </c>
      <c r="D823" s="2" t="s">
        <v>428</v>
      </c>
      <c r="E823" s="2" t="s">
        <v>4</v>
      </c>
      <c r="F823" s="2" t="s">
        <v>5</v>
      </c>
      <c r="G823" s="2" t="s">
        <v>6</v>
      </c>
      <c r="H823" s="2" t="s">
        <v>333</v>
      </c>
      <c r="I823" s="2" t="s">
        <v>3395</v>
      </c>
      <c r="J823" s="3">
        <v>27.57</v>
      </c>
      <c r="K823" s="3">
        <v>13.57</v>
      </c>
      <c r="L823" s="2" t="s">
        <v>8</v>
      </c>
      <c r="M823" s="2" t="s">
        <v>9</v>
      </c>
      <c r="N823" s="3">
        <v>77</v>
      </c>
      <c r="O823" s="2" t="s">
        <v>52</v>
      </c>
      <c r="P823" s="2" t="s">
        <v>177</v>
      </c>
      <c r="Q823" s="3"/>
      <c r="R823" s="3"/>
      <c r="S823" s="2" t="s">
        <v>21</v>
      </c>
      <c r="T823" s="4">
        <v>44955</v>
      </c>
      <c r="U823" s="2" t="s">
        <v>718</v>
      </c>
      <c r="V823" s="6">
        <f>(Real_Sales[[#This Row],[Price_retail]]-Real_Sales[[#This Row],[Price_current]])/Real_Sales[[#This Row],[Price_retail]]</f>
        <v>0.50779833151976783</v>
      </c>
      <c r="W823" s="3" t="str" cm="1">
        <f t="array" ref="W82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23" s="2" t="str">
        <f>IF(Real_Sales[[#This Row],[Price_retail]]&gt;$AC$3,"Premium","Average")</f>
        <v>Premium</v>
      </c>
      <c r="Y823" s="2" t="str">
        <f>IF(ISNUMBER(SEARCH("Basic",Real_Sales[[#This Row],[Product_name]])),"Yes","No")</f>
        <v>No</v>
      </c>
      <c r="Z823" s="2" cm="1">
        <f t="array" ref="Z823">_xlfn.IFS(Real_Sales[[#This Row],[Price_retail]]&lt;=15,1, Real_Sales[[#This Row],[Price_retail]]&lt;=30,2, Real_Sales[[#This Row],[Price_retail]]&lt;=50,3,Real_Sales[[#This Row],[Price_retail]]&gt;50,4)</f>
        <v>2</v>
      </c>
    </row>
    <row r="824" spans="1:26" x14ac:dyDescent="0.35">
      <c r="A824" s="2" t="s">
        <v>1149</v>
      </c>
      <c r="B824" s="2" t="s">
        <v>1150</v>
      </c>
      <c r="C824" s="2" t="s">
        <v>3394</v>
      </c>
      <c r="D824" s="2" t="s">
        <v>678</v>
      </c>
      <c r="E824" s="2" t="s">
        <v>4</v>
      </c>
      <c r="F824" s="2" t="s">
        <v>17</v>
      </c>
      <c r="G824" s="2" t="s">
        <v>50</v>
      </c>
      <c r="H824" s="2" t="s">
        <v>134</v>
      </c>
      <c r="I824" s="2" t="s">
        <v>3390</v>
      </c>
      <c r="J824" s="3">
        <v>27.72</v>
      </c>
      <c r="K824" s="3">
        <v>27.72</v>
      </c>
      <c r="L824" s="2" t="s">
        <v>3391</v>
      </c>
      <c r="M824" s="2" t="s">
        <v>9</v>
      </c>
      <c r="N824" s="3">
        <v>951</v>
      </c>
      <c r="O824" s="2" t="s">
        <v>287</v>
      </c>
      <c r="P824" s="2" t="s">
        <v>221</v>
      </c>
      <c r="Q824" s="3"/>
      <c r="R824" s="3"/>
      <c r="S824" s="2" t="s">
        <v>21</v>
      </c>
      <c r="T824" s="4">
        <v>44955</v>
      </c>
      <c r="U824" s="2" t="s">
        <v>1151</v>
      </c>
      <c r="V824" s="6">
        <f>(Real_Sales[[#This Row],[Price_retail]]-Real_Sales[[#This Row],[Price_current]])/Real_Sales[[#This Row],[Price_retail]]</f>
        <v>0</v>
      </c>
      <c r="W824" s="3" t="str" cm="1">
        <f t="array" ref="W82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24" s="2" t="str">
        <f>IF(Real_Sales[[#This Row],[Price_retail]]&gt;$AC$3,"Premium","Average")</f>
        <v>Premium</v>
      </c>
      <c r="Y824" s="2" t="str">
        <f>IF(ISNUMBER(SEARCH("Basic",Real_Sales[[#This Row],[Product_name]])),"Yes","No")</f>
        <v>No</v>
      </c>
      <c r="Z824" s="2" cm="1">
        <f t="array" ref="Z824">_xlfn.IFS(Real_Sales[[#This Row],[Price_retail]]&lt;=15,1, Real_Sales[[#This Row],[Price_retail]]&lt;=30,2, Real_Sales[[#This Row],[Price_retail]]&lt;=50,3,Real_Sales[[#This Row],[Price_retail]]&gt;50,4)</f>
        <v>2</v>
      </c>
    </row>
    <row r="825" spans="1:26" x14ac:dyDescent="0.35">
      <c r="A825" s="2" t="s">
        <v>3236</v>
      </c>
      <c r="B825" s="2" t="s">
        <v>3237</v>
      </c>
      <c r="C825" s="2" t="s">
        <v>1743</v>
      </c>
      <c r="D825" s="2" t="s">
        <v>1324</v>
      </c>
      <c r="E825" s="2" t="s">
        <v>4</v>
      </c>
      <c r="F825" s="2" t="s">
        <v>17</v>
      </c>
      <c r="G825" s="2" t="s">
        <v>18</v>
      </c>
      <c r="H825" s="2" t="s">
        <v>19</v>
      </c>
      <c r="I825" s="2" t="s">
        <v>3395</v>
      </c>
      <c r="J825" s="3">
        <v>27.75</v>
      </c>
      <c r="K825" s="3">
        <v>16.87</v>
      </c>
      <c r="L825" s="2" t="s">
        <v>8</v>
      </c>
      <c r="M825" s="2" t="s">
        <v>9</v>
      </c>
      <c r="N825" s="3">
        <v>606</v>
      </c>
      <c r="O825" s="2" t="s">
        <v>104</v>
      </c>
      <c r="P825" s="2" t="s">
        <v>84</v>
      </c>
      <c r="Q825" s="3"/>
      <c r="R825" s="3"/>
      <c r="S825" s="2" t="s">
        <v>21</v>
      </c>
      <c r="T825" s="4">
        <v>44955</v>
      </c>
      <c r="U825" s="2" t="s">
        <v>3238</v>
      </c>
      <c r="V825" s="6">
        <f>(Real_Sales[[#This Row],[Price_retail]]-Real_Sales[[#This Row],[Price_current]])/Real_Sales[[#This Row],[Price_retail]]</f>
        <v>0.39207207207207201</v>
      </c>
      <c r="W825" s="3" t="str" cm="1">
        <f t="array" ref="W82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25" s="2" t="str">
        <f>IF(Real_Sales[[#This Row],[Price_retail]]&gt;$AC$3,"Premium","Average")</f>
        <v>Premium</v>
      </c>
      <c r="Y825" s="2" t="str">
        <f>IF(ISNUMBER(SEARCH("Basic",Real_Sales[[#This Row],[Product_name]])),"Yes","No")</f>
        <v>Yes</v>
      </c>
      <c r="Z825" s="2" cm="1">
        <f t="array" ref="Z825">_xlfn.IFS(Real_Sales[[#This Row],[Price_retail]]&lt;=15,1, Real_Sales[[#This Row],[Price_retail]]&lt;=30,2, Real_Sales[[#This Row],[Price_retail]]&lt;=50,3,Real_Sales[[#This Row],[Price_retail]]&gt;50,4)</f>
        <v>2</v>
      </c>
    </row>
    <row r="826" spans="1:26" x14ac:dyDescent="0.35">
      <c r="A826" s="2" t="s">
        <v>1896</v>
      </c>
      <c r="B826" s="2" t="s">
        <v>1897</v>
      </c>
      <c r="C826" s="2" t="s">
        <v>333</v>
      </c>
      <c r="D826" s="2" t="s">
        <v>842</v>
      </c>
      <c r="E826" s="2" t="s">
        <v>4</v>
      </c>
      <c r="F826" s="2" t="s">
        <v>5</v>
      </c>
      <c r="G826" s="2" t="s">
        <v>6</v>
      </c>
      <c r="H826" s="2" t="s">
        <v>7</v>
      </c>
      <c r="I826" s="2" t="s">
        <v>3393</v>
      </c>
      <c r="J826" s="3">
        <v>27.76</v>
      </c>
      <c r="K826" s="3">
        <v>27.76</v>
      </c>
      <c r="L826" s="2" t="s">
        <v>248</v>
      </c>
      <c r="M826" s="2" t="s">
        <v>9</v>
      </c>
      <c r="N826" s="3">
        <v>252</v>
      </c>
      <c r="O826" s="2" t="s">
        <v>60</v>
      </c>
      <c r="P826" s="2" t="s">
        <v>44</v>
      </c>
      <c r="Q826" s="3"/>
      <c r="R826" s="3"/>
      <c r="S826" s="2" t="s">
        <v>21</v>
      </c>
      <c r="T826" s="4">
        <v>44955</v>
      </c>
      <c r="U826" s="2" t="s">
        <v>1898</v>
      </c>
      <c r="V826" s="6">
        <f>(Real_Sales[[#This Row],[Price_retail]]-Real_Sales[[#This Row],[Price_current]])/Real_Sales[[#This Row],[Price_retail]]</f>
        <v>0</v>
      </c>
      <c r="W826" s="3" t="str" cm="1">
        <f t="array" ref="W82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26" s="2" t="str">
        <f>IF(Real_Sales[[#This Row],[Price_retail]]&gt;$AC$3,"Premium","Average")</f>
        <v>Premium</v>
      </c>
      <c r="Y826" s="2" t="str">
        <f>IF(ISNUMBER(SEARCH("Basic",Real_Sales[[#This Row],[Product_name]])),"Yes","No")</f>
        <v>No</v>
      </c>
      <c r="Z826" s="2" cm="1">
        <f t="array" ref="Z826">_xlfn.IFS(Real_Sales[[#This Row],[Price_retail]]&lt;=15,1, Real_Sales[[#This Row],[Price_retail]]&lt;=30,2, Real_Sales[[#This Row],[Price_retail]]&lt;=50,3,Real_Sales[[#This Row],[Price_retail]]&gt;50,4)</f>
        <v>2</v>
      </c>
    </row>
    <row r="827" spans="1:26" x14ac:dyDescent="0.35">
      <c r="A827" s="2" t="s">
        <v>1905</v>
      </c>
      <c r="B827" s="2" t="s">
        <v>1906</v>
      </c>
      <c r="C827" s="2" t="s">
        <v>1115</v>
      </c>
      <c r="D827" s="2" t="s">
        <v>1125</v>
      </c>
      <c r="E827" s="2" t="s">
        <v>4</v>
      </c>
      <c r="F827" s="2" t="s">
        <v>5</v>
      </c>
      <c r="G827" s="2" t="s">
        <v>82</v>
      </c>
      <c r="H827" s="2" t="s">
        <v>333</v>
      </c>
      <c r="I827" s="2" t="s">
        <v>3390</v>
      </c>
      <c r="J827" s="3">
        <v>27.8</v>
      </c>
      <c r="K827" s="3">
        <v>15.99</v>
      </c>
      <c r="L827" s="2" t="s">
        <v>8</v>
      </c>
      <c r="M827" s="2" t="s">
        <v>9</v>
      </c>
      <c r="N827" s="3">
        <v>123</v>
      </c>
      <c r="O827" s="2" t="s">
        <v>69</v>
      </c>
      <c r="P827" s="2" t="s">
        <v>553</v>
      </c>
      <c r="Q827" s="3"/>
      <c r="R827" s="3"/>
      <c r="S827" s="2"/>
      <c r="T827" s="4">
        <v>44955</v>
      </c>
      <c r="U827" s="2" t="s">
        <v>1907</v>
      </c>
      <c r="V827" s="6">
        <f>(Real_Sales[[#This Row],[Price_retail]]-Real_Sales[[#This Row],[Price_current]])/Real_Sales[[#This Row],[Price_retail]]</f>
        <v>0.42482014388489209</v>
      </c>
      <c r="W827" s="3" t="str" cm="1">
        <f t="array" ref="W82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27" s="2" t="str">
        <f>IF(Real_Sales[[#This Row],[Price_retail]]&gt;$AC$3,"Premium","Average")</f>
        <v>Premium</v>
      </c>
      <c r="Y827" s="2" t="str">
        <f>IF(ISNUMBER(SEARCH("Basic",Real_Sales[[#This Row],[Product_name]])),"Yes","No")</f>
        <v>Yes</v>
      </c>
      <c r="Z827" s="2" cm="1">
        <f t="array" ref="Z827">_xlfn.IFS(Real_Sales[[#This Row],[Price_retail]]&lt;=15,1, Real_Sales[[#This Row],[Price_retail]]&lt;=30,2, Real_Sales[[#This Row],[Price_retail]]&lt;=50,3,Real_Sales[[#This Row],[Price_retail]]&gt;50,4)</f>
        <v>2</v>
      </c>
    </row>
    <row r="828" spans="1:26" x14ac:dyDescent="0.35">
      <c r="A828" s="2" t="s">
        <v>3125</v>
      </c>
      <c r="B828" s="2" t="s">
        <v>3126</v>
      </c>
      <c r="C828" s="2" t="s">
        <v>3410</v>
      </c>
      <c r="D828" s="2" t="s">
        <v>847</v>
      </c>
      <c r="E828" s="2" t="s">
        <v>4</v>
      </c>
      <c r="F828" s="2" t="s">
        <v>5</v>
      </c>
      <c r="G828" s="2" t="s">
        <v>82</v>
      </c>
      <c r="H828" s="2" t="s">
        <v>237</v>
      </c>
      <c r="I828" s="2" t="s">
        <v>3393</v>
      </c>
      <c r="J828" s="3">
        <v>27.86</v>
      </c>
      <c r="K828" s="3">
        <v>11.56</v>
      </c>
      <c r="L828" s="2" t="s">
        <v>8</v>
      </c>
      <c r="M828" s="2" t="s">
        <v>9</v>
      </c>
      <c r="N828" s="3">
        <v>733</v>
      </c>
      <c r="O828" s="2" t="s">
        <v>191</v>
      </c>
      <c r="P828" s="2" t="s">
        <v>37</v>
      </c>
      <c r="Q828" s="3"/>
      <c r="R828" s="3"/>
      <c r="S828" s="2" t="s">
        <v>12</v>
      </c>
      <c r="T828" s="4">
        <v>44955</v>
      </c>
      <c r="U828" s="2" t="s">
        <v>3127</v>
      </c>
      <c r="V828" s="6">
        <f>(Real_Sales[[#This Row],[Price_retail]]-Real_Sales[[#This Row],[Price_current]])/Real_Sales[[#This Row],[Price_retail]]</f>
        <v>0.58506819813352473</v>
      </c>
      <c r="W828" s="3" t="str" cm="1">
        <f t="array" ref="W828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28" s="2" t="str">
        <f>IF(Real_Sales[[#This Row],[Price_retail]]&gt;$AC$3,"Premium","Average")</f>
        <v>Premium</v>
      </c>
      <c r="Y828" s="2" t="str">
        <f>IF(ISNUMBER(SEARCH("Basic",Real_Sales[[#This Row],[Product_name]])),"Yes","No")</f>
        <v>No</v>
      </c>
      <c r="Z828" s="2" cm="1">
        <f t="array" ref="Z828">_xlfn.IFS(Real_Sales[[#This Row],[Price_retail]]&lt;=15,1, Real_Sales[[#This Row],[Price_retail]]&lt;=30,2, Real_Sales[[#This Row],[Price_retail]]&lt;=50,3,Real_Sales[[#This Row],[Price_retail]]&gt;50,4)</f>
        <v>2</v>
      </c>
    </row>
    <row r="829" spans="1:26" x14ac:dyDescent="0.35">
      <c r="A829" s="2" t="s">
        <v>2907</v>
      </c>
      <c r="B829" s="2" t="s">
        <v>2908</v>
      </c>
      <c r="C829" s="2" t="s">
        <v>3394</v>
      </c>
      <c r="D829" s="2" t="s">
        <v>1495</v>
      </c>
      <c r="E829" s="2" t="s">
        <v>4</v>
      </c>
      <c r="F829" s="2" t="s">
        <v>5</v>
      </c>
      <c r="G829" s="2" t="s">
        <v>6</v>
      </c>
      <c r="H829" s="2" t="s">
        <v>35</v>
      </c>
      <c r="I829" s="2" t="s">
        <v>3395</v>
      </c>
      <c r="J829" s="3">
        <v>27.92</v>
      </c>
      <c r="K829" s="3">
        <v>27.92</v>
      </c>
      <c r="L829" s="2" t="s">
        <v>3391</v>
      </c>
      <c r="M829" s="2" t="s">
        <v>9</v>
      </c>
      <c r="N829" s="3">
        <v>357</v>
      </c>
      <c r="O829" s="2" t="s">
        <v>98</v>
      </c>
      <c r="P829" s="2" t="s">
        <v>30</v>
      </c>
      <c r="Q829" s="3"/>
      <c r="R829" s="3"/>
      <c r="S829" s="2" t="s">
        <v>21</v>
      </c>
      <c r="T829" s="4">
        <v>44955</v>
      </c>
      <c r="U829" s="2" t="s">
        <v>2909</v>
      </c>
      <c r="V829" s="6">
        <f>(Real_Sales[[#This Row],[Price_retail]]-Real_Sales[[#This Row],[Price_current]])/Real_Sales[[#This Row],[Price_retail]]</f>
        <v>0</v>
      </c>
      <c r="W829" s="3" t="str" cm="1">
        <f t="array" ref="W82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29" s="2" t="str">
        <f>IF(Real_Sales[[#This Row],[Price_retail]]&gt;$AC$3,"Premium","Average")</f>
        <v>Premium</v>
      </c>
      <c r="Y829" s="2" t="str">
        <f>IF(ISNUMBER(SEARCH("Basic",Real_Sales[[#This Row],[Product_name]])),"Yes","No")</f>
        <v>No</v>
      </c>
      <c r="Z829" s="2" cm="1">
        <f t="array" ref="Z829">_xlfn.IFS(Real_Sales[[#This Row],[Price_retail]]&lt;=15,1, Real_Sales[[#This Row],[Price_retail]]&lt;=30,2, Real_Sales[[#This Row],[Price_retail]]&lt;=50,3,Real_Sales[[#This Row],[Price_retail]]&gt;50,4)</f>
        <v>2</v>
      </c>
    </row>
    <row r="830" spans="1:26" x14ac:dyDescent="0.35">
      <c r="A830" s="2" t="s">
        <v>3134</v>
      </c>
      <c r="B830" s="2" t="s">
        <v>3135</v>
      </c>
      <c r="C830" s="2" t="s">
        <v>3419</v>
      </c>
      <c r="D830" s="2" t="s">
        <v>711</v>
      </c>
      <c r="E830" s="2" t="s">
        <v>4</v>
      </c>
      <c r="F830" s="2" t="s">
        <v>17</v>
      </c>
      <c r="G830" s="2" t="s">
        <v>27</v>
      </c>
      <c r="H830" s="2"/>
      <c r="I830" s="2" t="s">
        <v>3390</v>
      </c>
      <c r="J830" s="3">
        <v>28.07</v>
      </c>
      <c r="K830" s="3">
        <v>28.07</v>
      </c>
      <c r="L830" s="2" t="s">
        <v>3391</v>
      </c>
      <c r="M830" s="2" t="s">
        <v>9</v>
      </c>
      <c r="N830" s="3">
        <v>278</v>
      </c>
      <c r="O830" s="2" t="s">
        <v>69</v>
      </c>
      <c r="P830" s="2" t="s">
        <v>368</v>
      </c>
      <c r="Q830" s="3"/>
      <c r="R830" s="3"/>
      <c r="S830" s="2" t="s">
        <v>21</v>
      </c>
      <c r="T830" s="4">
        <v>44955</v>
      </c>
      <c r="U830" s="2" t="s">
        <v>3136</v>
      </c>
      <c r="V830" s="6">
        <f>(Real_Sales[[#This Row],[Price_retail]]-Real_Sales[[#This Row],[Price_current]])/Real_Sales[[#This Row],[Price_retail]]</f>
        <v>0</v>
      </c>
      <c r="W830" s="3" t="str" cm="1">
        <f t="array" ref="W8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0" s="2" t="str">
        <f>IF(Real_Sales[[#This Row],[Price_retail]]&gt;$AC$3,"Premium","Average")</f>
        <v>Premium</v>
      </c>
      <c r="Y830" s="2" t="str">
        <f>IF(ISNUMBER(SEARCH("Basic",Real_Sales[[#This Row],[Product_name]])),"Yes","No")</f>
        <v>No</v>
      </c>
      <c r="Z830" s="2" cm="1">
        <f t="array" ref="Z830">_xlfn.IFS(Real_Sales[[#This Row],[Price_retail]]&lt;=15,1, Real_Sales[[#This Row],[Price_retail]]&lt;=30,2, Real_Sales[[#This Row],[Price_retail]]&lt;=50,3,Real_Sales[[#This Row],[Price_retail]]&gt;50,4)</f>
        <v>2</v>
      </c>
    </row>
    <row r="831" spans="1:26" x14ac:dyDescent="0.35">
      <c r="A831" s="2" t="s">
        <v>1623</v>
      </c>
      <c r="B831" s="2" t="s">
        <v>1624</v>
      </c>
      <c r="C831" s="2" t="s">
        <v>1973</v>
      </c>
      <c r="D831" s="2" t="s">
        <v>814</v>
      </c>
      <c r="E831" s="2" t="s">
        <v>4</v>
      </c>
      <c r="F831" s="2" t="s">
        <v>5</v>
      </c>
      <c r="G831" s="2" t="s">
        <v>6</v>
      </c>
      <c r="H831" s="2" t="s">
        <v>418</v>
      </c>
      <c r="I831" s="2" t="s">
        <v>3390</v>
      </c>
      <c r="J831" s="3">
        <v>28.08</v>
      </c>
      <c r="K831" s="3">
        <v>25.88</v>
      </c>
      <c r="L831" s="2" t="s">
        <v>8</v>
      </c>
      <c r="M831" s="2" t="s">
        <v>9</v>
      </c>
      <c r="N831" s="3">
        <v>929</v>
      </c>
      <c r="O831" s="2" t="s">
        <v>191</v>
      </c>
      <c r="P831" s="2" t="s">
        <v>215</v>
      </c>
      <c r="Q831" s="3"/>
      <c r="R831" s="3"/>
      <c r="S831" s="2" t="s">
        <v>12</v>
      </c>
      <c r="T831" s="4">
        <v>44955</v>
      </c>
      <c r="U831" s="2" t="s">
        <v>1625</v>
      </c>
      <c r="V831" s="6">
        <f>(Real_Sales[[#This Row],[Price_retail]]-Real_Sales[[#This Row],[Price_current]])/Real_Sales[[#This Row],[Price_retail]]</f>
        <v>7.8347578347578328E-2</v>
      </c>
      <c r="W831" s="3" t="str" cm="1">
        <f t="array" ref="W831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831" s="2" t="str">
        <f>IF(Real_Sales[[#This Row],[Price_retail]]&gt;$AC$3,"Premium","Average")</f>
        <v>Premium</v>
      </c>
      <c r="Y831" s="2" t="str">
        <f>IF(ISNUMBER(SEARCH("Basic",Real_Sales[[#This Row],[Product_name]])),"Yes","No")</f>
        <v>No</v>
      </c>
      <c r="Z831" s="2" cm="1">
        <f t="array" ref="Z831">_xlfn.IFS(Real_Sales[[#This Row],[Price_retail]]&lt;=15,1, Real_Sales[[#This Row],[Price_retail]]&lt;=30,2, Real_Sales[[#This Row],[Price_retail]]&lt;=50,3,Real_Sales[[#This Row],[Price_retail]]&gt;50,4)</f>
        <v>2</v>
      </c>
    </row>
    <row r="832" spans="1:26" x14ac:dyDescent="0.35">
      <c r="A832" s="2" t="s">
        <v>3050</v>
      </c>
      <c r="B832" s="2" t="s">
        <v>3051</v>
      </c>
      <c r="C832" s="2" t="s">
        <v>65</v>
      </c>
      <c r="D832" s="2" t="s">
        <v>2312</v>
      </c>
      <c r="E832" s="2" t="s">
        <v>4</v>
      </c>
      <c r="F832" s="2" t="s">
        <v>5</v>
      </c>
      <c r="G832" s="2" t="s">
        <v>6</v>
      </c>
      <c r="H832" s="2" t="s">
        <v>145</v>
      </c>
      <c r="I832" s="2" t="s">
        <v>3393</v>
      </c>
      <c r="J832" s="3">
        <v>28.11</v>
      </c>
      <c r="K832" s="3">
        <v>28.11</v>
      </c>
      <c r="L832" s="2" t="s">
        <v>3391</v>
      </c>
      <c r="M832" s="2" t="s">
        <v>9</v>
      </c>
      <c r="N832" s="3">
        <v>84</v>
      </c>
      <c r="O832" s="2" t="s">
        <v>3392</v>
      </c>
      <c r="P832" s="2" t="s">
        <v>70</v>
      </c>
      <c r="Q832" s="3"/>
      <c r="R832" s="3"/>
      <c r="S832" s="2" t="s">
        <v>12</v>
      </c>
      <c r="T832" s="4">
        <v>44955</v>
      </c>
      <c r="U832" s="2" t="s">
        <v>3052</v>
      </c>
      <c r="V832" s="6">
        <f>(Real_Sales[[#This Row],[Price_retail]]-Real_Sales[[#This Row],[Price_current]])/Real_Sales[[#This Row],[Price_retail]]</f>
        <v>0</v>
      </c>
      <c r="W832" s="3" t="str" cm="1">
        <f t="array" ref="W83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2" s="2" t="str">
        <f>IF(Real_Sales[[#This Row],[Price_retail]]&gt;$AC$3,"Premium","Average")</f>
        <v>Premium</v>
      </c>
      <c r="Y832" s="2" t="str">
        <f>IF(ISNUMBER(SEARCH("Basic",Real_Sales[[#This Row],[Product_name]])),"Yes","No")</f>
        <v>No</v>
      </c>
      <c r="Z832" s="2" cm="1">
        <f t="array" ref="Z832">_xlfn.IFS(Real_Sales[[#This Row],[Price_retail]]&lt;=15,1, Real_Sales[[#This Row],[Price_retail]]&lt;=30,2, Real_Sales[[#This Row],[Price_retail]]&lt;=50,3,Real_Sales[[#This Row],[Price_retail]]&gt;50,4)</f>
        <v>2</v>
      </c>
    </row>
    <row r="833" spans="1:26" x14ac:dyDescent="0.35">
      <c r="A833" s="2" t="s">
        <v>1167</v>
      </c>
      <c r="B833" s="2" t="s">
        <v>1168</v>
      </c>
      <c r="C833" s="2" t="s">
        <v>3417</v>
      </c>
      <c r="D833" s="2" t="s">
        <v>1169</v>
      </c>
      <c r="E833" s="2" t="s">
        <v>4</v>
      </c>
      <c r="F833" s="2" t="s">
        <v>5</v>
      </c>
      <c r="G833" s="2" t="s">
        <v>6</v>
      </c>
      <c r="H833" s="2" t="s">
        <v>237</v>
      </c>
      <c r="I833" s="2" t="s">
        <v>3393</v>
      </c>
      <c r="J833" s="3">
        <v>28.26</v>
      </c>
      <c r="K833" s="3">
        <v>28.26</v>
      </c>
      <c r="L833" s="2" t="s">
        <v>3391</v>
      </c>
      <c r="M833" s="2" t="s">
        <v>9</v>
      </c>
      <c r="N833" s="3">
        <v>470</v>
      </c>
      <c r="O833" s="2" t="s">
        <v>29</v>
      </c>
      <c r="P833" s="2" t="s">
        <v>30</v>
      </c>
      <c r="Q833" s="3"/>
      <c r="R833" s="3"/>
      <c r="S833" s="2" t="s">
        <v>21</v>
      </c>
      <c r="T833" s="4">
        <v>44955</v>
      </c>
      <c r="U833" s="2" t="s">
        <v>1170</v>
      </c>
      <c r="V833" s="6">
        <f>(Real_Sales[[#This Row],[Price_retail]]-Real_Sales[[#This Row],[Price_current]])/Real_Sales[[#This Row],[Price_retail]]</f>
        <v>0</v>
      </c>
      <c r="W833" s="3" t="str" cm="1">
        <f t="array" ref="W8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3" s="2" t="str">
        <f>IF(Real_Sales[[#This Row],[Price_retail]]&gt;$AC$3,"Premium","Average")</f>
        <v>Premium</v>
      </c>
      <c r="Y833" s="2" t="str">
        <f>IF(ISNUMBER(SEARCH("Basic",Real_Sales[[#This Row],[Product_name]])),"Yes","No")</f>
        <v>No</v>
      </c>
      <c r="Z833" s="2" cm="1">
        <f t="array" ref="Z833">_xlfn.IFS(Real_Sales[[#This Row],[Price_retail]]&lt;=15,1, Real_Sales[[#This Row],[Price_retail]]&lt;=30,2, Real_Sales[[#This Row],[Price_retail]]&lt;=50,3,Real_Sales[[#This Row],[Price_retail]]&gt;50,4)</f>
        <v>2</v>
      </c>
    </row>
    <row r="834" spans="1:26" x14ac:dyDescent="0.35">
      <c r="A834" s="2" t="s">
        <v>2538</v>
      </c>
      <c r="B834" s="2" t="s">
        <v>2539</v>
      </c>
      <c r="C834" s="2" t="s">
        <v>333</v>
      </c>
      <c r="D834" s="2" t="s">
        <v>1482</v>
      </c>
      <c r="E834" s="2" t="s">
        <v>4</v>
      </c>
      <c r="F834" s="2" t="s">
        <v>17</v>
      </c>
      <c r="G834" s="2" t="s">
        <v>18</v>
      </c>
      <c r="H834" s="2" t="s">
        <v>185</v>
      </c>
      <c r="I834" s="2" t="s">
        <v>3393</v>
      </c>
      <c r="J834" s="3">
        <v>28.26</v>
      </c>
      <c r="K834" s="3">
        <v>28.26</v>
      </c>
      <c r="L834" s="2" t="s">
        <v>3391</v>
      </c>
      <c r="M834" s="2" t="s">
        <v>9</v>
      </c>
      <c r="N834" s="3">
        <v>453</v>
      </c>
      <c r="O834" s="2" t="s">
        <v>91</v>
      </c>
      <c r="P834" s="2" t="s">
        <v>215</v>
      </c>
      <c r="Q834" s="3"/>
      <c r="R834" s="3"/>
      <c r="S834" s="2" t="s">
        <v>21</v>
      </c>
      <c r="T834" s="4">
        <v>44955</v>
      </c>
      <c r="U834" s="2" t="s">
        <v>2540</v>
      </c>
      <c r="V834" s="6">
        <f>(Real_Sales[[#This Row],[Price_retail]]-Real_Sales[[#This Row],[Price_current]])/Real_Sales[[#This Row],[Price_retail]]</f>
        <v>0</v>
      </c>
      <c r="W834" s="3" t="str" cm="1">
        <f t="array" ref="W8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4" s="2" t="str">
        <f>IF(Real_Sales[[#This Row],[Price_retail]]&gt;$AC$3,"Premium","Average")</f>
        <v>Premium</v>
      </c>
      <c r="Y834" s="2" t="str">
        <f>IF(ISNUMBER(SEARCH("Basic",Real_Sales[[#This Row],[Product_name]])),"Yes","No")</f>
        <v>No</v>
      </c>
      <c r="Z834" s="2" cm="1">
        <f t="array" ref="Z834">_xlfn.IFS(Real_Sales[[#This Row],[Price_retail]]&lt;=15,1, Real_Sales[[#This Row],[Price_retail]]&lt;=30,2, Real_Sales[[#This Row],[Price_retail]]&lt;=50,3,Real_Sales[[#This Row],[Price_retail]]&gt;50,4)</f>
        <v>2</v>
      </c>
    </row>
    <row r="835" spans="1:26" x14ac:dyDescent="0.35">
      <c r="A835" s="2" t="s">
        <v>575</v>
      </c>
      <c r="B835" s="2" t="s">
        <v>576</v>
      </c>
      <c r="C835" s="2" t="s">
        <v>102</v>
      </c>
      <c r="D835" s="2" t="s">
        <v>577</v>
      </c>
      <c r="E835" s="2" t="s">
        <v>4</v>
      </c>
      <c r="F835" s="2" t="s">
        <v>5</v>
      </c>
      <c r="G835" s="2" t="s">
        <v>121</v>
      </c>
      <c r="H835" s="2" t="s">
        <v>168</v>
      </c>
      <c r="I835" s="2" t="s">
        <v>3390</v>
      </c>
      <c r="J835" s="3">
        <v>28.28</v>
      </c>
      <c r="K835" s="3">
        <v>28.28</v>
      </c>
      <c r="L835" s="2" t="s">
        <v>3391</v>
      </c>
      <c r="M835" s="2" t="s">
        <v>9</v>
      </c>
      <c r="N835" s="3">
        <v>880</v>
      </c>
      <c r="O835" s="2" t="s">
        <v>347</v>
      </c>
      <c r="P835" s="2" t="s">
        <v>283</v>
      </c>
      <c r="Q835" s="3"/>
      <c r="R835" s="3"/>
      <c r="S835" s="2" t="s">
        <v>21</v>
      </c>
      <c r="T835" s="4">
        <v>44955</v>
      </c>
      <c r="U835" s="2" t="s">
        <v>578</v>
      </c>
      <c r="V835" s="6">
        <f>(Real_Sales[[#This Row],[Price_retail]]-Real_Sales[[#This Row],[Price_current]])/Real_Sales[[#This Row],[Price_retail]]</f>
        <v>0</v>
      </c>
      <c r="W835" s="3" t="str" cm="1">
        <f t="array" ref="W83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5" s="2" t="str">
        <f>IF(Real_Sales[[#This Row],[Price_retail]]&gt;$AC$3,"Premium","Average")</f>
        <v>Premium</v>
      </c>
      <c r="Y835" s="2" t="str">
        <f>IF(ISNUMBER(SEARCH("Basic",Real_Sales[[#This Row],[Product_name]])),"Yes","No")</f>
        <v>No</v>
      </c>
      <c r="Z835" s="2" cm="1">
        <f t="array" ref="Z835">_xlfn.IFS(Real_Sales[[#This Row],[Price_retail]]&lt;=15,1, Real_Sales[[#This Row],[Price_retail]]&lt;=30,2, Real_Sales[[#This Row],[Price_retail]]&lt;=50,3,Real_Sales[[#This Row],[Price_retail]]&gt;50,4)</f>
        <v>2</v>
      </c>
    </row>
    <row r="836" spans="1:26" x14ac:dyDescent="0.35">
      <c r="A836" s="2" t="s">
        <v>3224</v>
      </c>
      <c r="B836" s="2" t="s">
        <v>3225</v>
      </c>
      <c r="C836" s="2" t="s">
        <v>3433</v>
      </c>
      <c r="D836" s="2" t="s">
        <v>162</v>
      </c>
      <c r="E836" s="2" t="s">
        <v>4</v>
      </c>
      <c r="F836" s="2" t="s">
        <v>17</v>
      </c>
      <c r="G836" s="2" t="s">
        <v>50</v>
      </c>
      <c r="H836" s="2" t="s">
        <v>35</v>
      </c>
      <c r="I836" s="2" t="s">
        <v>3390</v>
      </c>
      <c r="J836" s="3">
        <v>28.38</v>
      </c>
      <c r="K836" s="3">
        <v>17.73</v>
      </c>
      <c r="L836" s="2" t="s">
        <v>8</v>
      </c>
      <c r="M836" s="2" t="s">
        <v>9</v>
      </c>
      <c r="N836" s="3">
        <v>359</v>
      </c>
      <c r="O836" s="2" t="s">
        <v>20</v>
      </c>
      <c r="P836" s="2" t="s">
        <v>30</v>
      </c>
      <c r="Q836" s="3"/>
      <c r="R836" s="3"/>
      <c r="S836" s="2" t="s">
        <v>21</v>
      </c>
      <c r="T836" s="4">
        <v>44955</v>
      </c>
      <c r="U836" s="2" t="s">
        <v>3226</v>
      </c>
      <c r="V836" s="6">
        <f>(Real_Sales[[#This Row],[Price_retail]]-Real_Sales[[#This Row],[Price_current]])/Real_Sales[[#This Row],[Price_retail]]</f>
        <v>0.3752642706131078</v>
      </c>
      <c r="W836" s="3" t="str" cm="1">
        <f t="array" ref="W83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36" s="2" t="str">
        <f>IF(Real_Sales[[#This Row],[Price_retail]]&gt;$AC$3,"Premium","Average")</f>
        <v>Premium</v>
      </c>
      <c r="Y836" s="2" t="str">
        <f>IF(ISNUMBER(SEARCH("Basic",Real_Sales[[#This Row],[Product_name]])),"Yes","No")</f>
        <v>No</v>
      </c>
      <c r="Z836" s="2" cm="1">
        <f t="array" ref="Z836">_xlfn.IFS(Real_Sales[[#This Row],[Price_retail]]&lt;=15,1, Real_Sales[[#This Row],[Price_retail]]&lt;=30,2, Real_Sales[[#This Row],[Price_retail]]&lt;=50,3,Real_Sales[[#This Row],[Price_retail]]&gt;50,4)</f>
        <v>2</v>
      </c>
    </row>
    <row r="837" spans="1:26" x14ac:dyDescent="0.35">
      <c r="A837" s="2" t="s">
        <v>2093</v>
      </c>
      <c r="B837" s="2" t="s">
        <v>2094</v>
      </c>
      <c r="C837" s="2" t="s">
        <v>323</v>
      </c>
      <c r="D837" s="2" t="s">
        <v>209</v>
      </c>
      <c r="E837" s="2" t="s">
        <v>4</v>
      </c>
      <c r="F837" s="2" t="s">
        <v>5</v>
      </c>
      <c r="G837" s="2" t="s">
        <v>82</v>
      </c>
      <c r="H837" s="2"/>
      <c r="I837" s="2" t="s">
        <v>3390</v>
      </c>
      <c r="J837" s="3">
        <v>28.39</v>
      </c>
      <c r="K837" s="3">
        <v>17.88</v>
      </c>
      <c r="L837" s="2" t="s">
        <v>8</v>
      </c>
      <c r="M837" s="2" t="s">
        <v>9</v>
      </c>
      <c r="N837" s="3">
        <v>831</v>
      </c>
      <c r="O837" s="2" t="s">
        <v>36</v>
      </c>
      <c r="P837" s="2" t="s">
        <v>3392</v>
      </c>
      <c r="Q837" s="3"/>
      <c r="R837" s="3"/>
      <c r="S837" s="2" t="s">
        <v>12</v>
      </c>
      <c r="T837" s="4">
        <v>44955</v>
      </c>
      <c r="U837" s="2" t="s">
        <v>2095</v>
      </c>
      <c r="V837" s="6">
        <f>(Real_Sales[[#This Row],[Price_retail]]-Real_Sales[[#This Row],[Price_current]])/Real_Sales[[#This Row],[Price_retail]]</f>
        <v>0.37020077492074677</v>
      </c>
      <c r="W837" s="3" t="str" cm="1">
        <f t="array" ref="W83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37" s="2" t="str">
        <f>IF(Real_Sales[[#This Row],[Price_retail]]&gt;$AC$3,"Premium","Average")</f>
        <v>Premium</v>
      </c>
      <c r="Y837" s="2" t="str">
        <f>IF(ISNUMBER(SEARCH("Basic",Real_Sales[[#This Row],[Product_name]])),"Yes","No")</f>
        <v>No</v>
      </c>
      <c r="Z837" s="2" cm="1">
        <f t="array" ref="Z837">_xlfn.IFS(Real_Sales[[#This Row],[Price_retail]]&lt;=15,1, Real_Sales[[#This Row],[Price_retail]]&lt;=30,2, Real_Sales[[#This Row],[Price_retail]]&lt;=50,3,Real_Sales[[#This Row],[Price_retail]]&gt;50,4)</f>
        <v>2</v>
      </c>
    </row>
    <row r="838" spans="1:26" x14ac:dyDescent="0.35">
      <c r="A838" s="2" t="s">
        <v>2755</v>
      </c>
      <c r="B838" s="2" t="s">
        <v>2756</v>
      </c>
      <c r="C838" s="2" t="s">
        <v>484</v>
      </c>
      <c r="D838" s="2" t="s">
        <v>432</v>
      </c>
      <c r="E838" s="2" t="s">
        <v>4</v>
      </c>
      <c r="F838" s="2" t="s">
        <v>5</v>
      </c>
      <c r="G838" s="2" t="s">
        <v>6</v>
      </c>
      <c r="H838" s="2" t="s">
        <v>35</v>
      </c>
      <c r="I838" s="2" t="s">
        <v>3393</v>
      </c>
      <c r="J838" s="3">
        <v>28.49</v>
      </c>
      <c r="K838" s="3">
        <v>28.49</v>
      </c>
      <c r="L838" s="2" t="s">
        <v>3391</v>
      </c>
      <c r="M838" s="2" t="s">
        <v>9</v>
      </c>
      <c r="N838" s="3">
        <v>857</v>
      </c>
      <c r="O838" s="2" t="s">
        <v>10</v>
      </c>
      <c r="P838" s="2" t="s">
        <v>221</v>
      </c>
      <c r="Q838" s="3"/>
      <c r="R838" s="3"/>
      <c r="S838" s="2" t="s">
        <v>21</v>
      </c>
      <c r="T838" s="4">
        <v>44955</v>
      </c>
      <c r="U838" s="2" t="s">
        <v>2757</v>
      </c>
      <c r="V838" s="6">
        <f>(Real_Sales[[#This Row],[Price_retail]]-Real_Sales[[#This Row],[Price_current]])/Real_Sales[[#This Row],[Price_retail]]</f>
        <v>0</v>
      </c>
      <c r="W838" s="3" t="str" cm="1">
        <f t="array" ref="W83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8" s="2" t="str">
        <f>IF(Real_Sales[[#This Row],[Price_retail]]&gt;$AC$3,"Premium","Average")</f>
        <v>Premium</v>
      </c>
      <c r="Y838" s="2" t="str">
        <f>IF(ISNUMBER(SEARCH("Basic",Real_Sales[[#This Row],[Product_name]])),"Yes","No")</f>
        <v>Yes</v>
      </c>
      <c r="Z838" s="2" cm="1">
        <f t="array" ref="Z838">_xlfn.IFS(Real_Sales[[#This Row],[Price_retail]]&lt;=15,1, Real_Sales[[#This Row],[Price_retail]]&lt;=30,2, Real_Sales[[#This Row],[Price_retail]]&lt;=50,3,Real_Sales[[#This Row],[Price_retail]]&gt;50,4)</f>
        <v>2</v>
      </c>
    </row>
    <row r="839" spans="1:26" x14ac:dyDescent="0.35">
      <c r="A839" s="2" t="s">
        <v>1423</v>
      </c>
      <c r="B839" s="2" t="s">
        <v>1424</v>
      </c>
      <c r="C839" s="2" t="s">
        <v>1425</v>
      </c>
      <c r="D839" s="2" t="s">
        <v>526</v>
      </c>
      <c r="E839" s="2" t="s">
        <v>4</v>
      </c>
      <c r="F839" s="2" t="s">
        <v>5</v>
      </c>
      <c r="G839" s="2" t="s">
        <v>6</v>
      </c>
      <c r="H839" s="2" t="s">
        <v>59</v>
      </c>
      <c r="I839" s="2" t="s">
        <v>3390</v>
      </c>
      <c r="J839" s="3">
        <v>28.56</v>
      </c>
      <c r="K839" s="3">
        <v>28.56</v>
      </c>
      <c r="L839" s="2" t="s">
        <v>3391</v>
      </c>
      <c r="M839" s="2" t="s">
        <v>9</v>
      </c>
      <c r="N839" s="3">
        <v>832</v>
      </c>
      <c r="O839" s="2" t="s">
        <v>347</v>
      </c>
      <c r="P839" s="2" t="s">
        <v>3392</v>
      </c>
      <c r="Q839" s="3"/>
      <c r="R839" s="3"/>
      <c r="S839" s="2" t="s">
        <v>21</v>
      </c>
      <c r="T839" s="4">
        <v>44955</v>
      </c>
      <c r="U839" s="2" t="s">
        <v>1426</v>
      </c>
      <c r="V839" s="6">
        <f>(Real_Sales[[#This Row],[Price_retail]]-Real_Sales[[#This Row],[Price_current]])/Real_Sales[[#This Row],[Price_retail]]</f>
        <v>0</v>
      </c>
      <c r="W839" s="3" t="str" cm="1">
        <f t="array" ref="W83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39" s="2" t="str">
        <f>IF(Real_Sales[[#This Row],[Price_retail]]&gt;$AC$3,"Premium","Average")</f>
        <v>Premium</v>
      </c>
      <c r="Y839" s="2" t="str">
        <f>IF(ISNUMBER(SEARCH("Basic",Real_Sales[[#This Row],[Product_name]])),"Yes","No")</f>
        <v>No</v>
      </c>
      <c r="Z839" s="2" cm="1">
        <f t="array" ref="Z839">_xlfn.IFS(Real_Sales[[#This Row],[Price_retail]]&lt;=15,1, Real_Sales[[#This Row],[Price_retail]]&lt;=30,2, Real_Sales[[#This Row],[Price_retail]]&lt;=50,3,Real_Sales[[#This Row],[Price_retail]]&gt;50,4)</f>
        <v>2</v>
      </c>
    </row>
    <row r="840" spans="1:26" x14ac:dyDescent="0.35">
      <c r="A840" s="2" t="s">
        <v>3254</v>
      </c>
      <c r="B840" s="2" t="s">
        <v>3255</v>
      </c>
      <c r="C840" s="2" t="s">
        <v>3430</v>
      </c>
      <c r="D840" s="2" t="s">
        <v>247</v>
      </c>
      <c r="E840" s="2" t="s">
        <v>4</v>
      </c>
      <c r="F840" s="2" t="s">
        <v>17</v>
      </c>
      <c r="G840" s="2" t="s">
        <v>50</v>
      </c>
      <c r="H840" s="2" t="s">
        <v>68</v>
      </c>
      <c r="I840" s="2" t="s">
        <v>3390</v>
      </c>
      <c r="J840" s="3">
        <v>28.59</v>
      </c>
      <c r="K840" s="3">
        <v>28.59</v>
      </c>
      <c r="L840" s="2" t="s">
        <v>3391</v>
      </c>
      <c r="M840" s="2" t="s">
        <v>9</v>
      </c>
      <c r="N840" s="3">
        <v>605</v>
      </c>
      <c r="O840" s="2" t="s">
        <v>20</v>
      </c>
      <c r="P840" s="2" t="s">
        <v>254</v>
      </c>
      <c r="Q840" s="3"/>
      <c r="R840" s="3"/>
      <c r="S840" s="2" t="s">
        <v>21</v>
      </c>
      <c r="T840" s="4">
        <v>44955</v>
      </c>
      <c r="U840" s="2" t="s">
        <v>3256</v>
      </c>
      <c r="V840" s="6">
        <f>(Real_Sales[[#This Row],[Price_retail]]-Real_Sales[[#This Row],[Price_current]])/Real_Sales[[#This Row],[Price_retail]]</f>
        <v>0</v>
      </c>
      <c r="W840" s="3" t="str" cm="1">
        <f t="array" ref="W84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0" s="2" t="str">
        <f>IF(Real_Sales[[#This Row],[Price_retail]]&gt;$AC$3,"Premium","Average")</f>
        <v>Premium</v>
      </c>
      <c r="Y840" s="2" t="str">
        <f>IF(ISNUMBER(SEARCH("Basic",Real_Sales[[#This Row],[Product_name]])),"Yes","No")</f>
        <v>No</v>
      </c>
      <c r="Z840" s="2" cm="1">
        <f t="array" ref="Z840">_xlfn.IFS(Real_Sales[[#This Row],[Price_retail]]&lt;=15,1, Real_Sales[[#This Row],[Price_retail]]&lt;=30,2, Real_Sales[[#This Row],[Price_retail]]&lt;=50,3,Real_Sales[[#This Row],[Price_retail]]&gt;50,4)</f>
        <v>2</v>
      </c>
    </row>
    <row r="841" spans="1:26" x14ac:dyDescent="0.35">
      <c r="A841" s="2" t="s">
        <v>2641</v>
      </c>
      <c r="B841" s="2" t="s">
        <v>2642</v>
      </c>
      <c r="C841" s="2" t="s">
        <v>65</v>
      </c>
      <c r="D841" s="2" t="s">
        <v>814</v>
      </c>
      <c r="E841" s="2" t="s">
        <v>4</v>
      </c>
      <c r="F841" s="2" t="s">
        <v>5</v>
      </c>
      <c r="G841" s="2" t="s">
        <v>82</v>
      </c>
      <c r="H841" s="2" t="s">
        <v>418</v>
      </c>
      <c r="I841" s="2" t="s">
        <v>3390</v>
      </c>
      <c r="J841" s="3">
        <v>28.64</v>
      </c>
      <c r="K841" s="3">
        <v>23.04</v>
      </c>
      <c r="L841" s="2" t="s">
        <v>8</v>
      </c>
      <c r="M841" s="2" t="s">
        <v>9</v>
      </c>
      <c r="N841" s="3">
        <v>141</v>
      </c>
      <c r="O841" s="2" t="s">
        <v>163</v>
      </c>
      <c r="P841" s="2" t="s">
        <v>328</v>
      </c>
      <c r="Q841" s="3"/>
      <c r="R841" s="3"/>
      <c r="S841" s="2" t="s">
        <v>21</v>
      </c>
      <c r="T841" s="4">
        <v>44955</v>
      </c>
      <c r="U841" s="2" t="s">
        <v>2643</v>
      </c>
      <c r="V841" s="6">
        <f>(Real_Sales[[#This Row],[Price_retail]]-Real_Sales[[#This Row],[Price_current]])/Real_Sales[[#This Row],[Price_retail]]</f>
        <v>0.19553072625698328</v>
      </c>
      <c r="W841" s="3" t="str" cm="1">
        <f t="array" ref="W841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841" s="2" t="str">
        <f>IF(Real_Sales[[#This Row],[Price_retail]]&gt;$AC$3,"Premium","Average")</f>
        <v>Premium</v>
      </c>
      <c r="Y841" s="2" t="str">
        <f>IF(ISNUMBER(SEARCH("Basic",Real_Sales[[#This Row],[Product_name]])),"Yes","No")</f>
        <v>No</v>
      </c>
      <c r="Z841" s="2" cm="1">
        <f t="array" ref="Z841">_xlfn.IFS(Real_Sales[[#This Row],[Price_retail]]&lt;=15,1, Real_Sales[[#This Row],[Price_retail]]&lt;=30,2, Real_Sales[[#This Row],[Price_retail]]&lt;=50,3,Real_Sales[[#This Row],[Price_retail]]&gt;50,4)</f>
        <v>2</v>
      </c>
    </row>
    <row r="842" spans="1:26" x14ac:dyDescent="0.35">
      <c r="A842" s="2" t="s">
        <v>744</v>
      </c>
      <c r="B842" s="2" t="s">
        <v>745</v>
      </c>
      <c r="C842" s="2" t="s">
        <v>746</v>
      </c>
      <c r="D842" s="2" t="s">
        <v>521</v>
      </c>
      <c r="E842" s="2" t="s">
        <v>4</v>
      </c>
      <c r="F842" s="2" t="s">
        <v>5</v>
      </c>
      <c r="G842" s="2" t="s">
        <v>82</v>
      </c>
      <c r="H842" s="2" t="s">
        <v>19</v>
      </c>
      <c r="I842" s="2" t="s">
        <v>3395</v>
      </c>
      <c r="J842" s="3">
        <v>28.67</v>
      </c>
      <c r="K842" s="3">
        <v>28.67</v>
      </c>
      <c r="L842" s="2" t="s">
        <v>248</v>
      </c>
      <c r="M842" s="2" t="s">
        <v>9</v>
      </c>
      <c r="N842" s="3">
        <v>350</v>
      </c>
      <c r="O842" s="2" t="s">
        <v>191</v>
      </c>
      <c r="P842" s="2" t="s">
        <v>3392</v>
      </c>
      <c r="Q842" s="3"/>
      <c r="R842" s="3"/>
      <c r="S842" s="2" t="s">
        <v>21</v>
      </c>
      <c r="T842" s="4">
        <v>44955</v>
      </c>
      <c r="U842" s="2" t="s">
        <v>747</v>
      </c>
      <c r="V842" s="6">
        <f>(Real_Sales[[#This Row],[Price_retail]]-Real_Sales[[#This Row],[Price_current]])/Real_Sales[[#This Row],[Price_retail]]</f>
        <v>0</v>
      </c>
      <c r="W842" s="3" t="str" cm="1">
        <f t="array" ref="W84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2" s="2" t="str">
        <f>IF(Real_Sales[[#This Row],[Price_retail]]&gt;$AC$3,"Premium","Average")</f>
        <v>Premium</v>
      </c>
      <c r="Y842" s="2" t="str">
        <f>IF(ISNUMBER(SEARCH("Basic",Real_Sales[[#This Row],[Product_name]])),"Yes","No")</f>
        <v>Yes</v>
      </c>
      <c r="Z842" s="2" cm="1">
        <f t="array" ref="Z842">_xlfn.IFS(Real_Sales[[#This Row],[Price_retail]]&lt;=15,1, Real_Sales[[#This Row],[Price_retail]]&lt;=30,2, Real_Sales[[#This Row],[Price_retail]]&lt;=50,3,Real_Sales[[#This Row],[Price_retail]]&gt;50,4)</f>
        <v>2</v>
      </c>
    </row>
    <row r="843" spans="1:26" x14ac:dyDescent="0.35">
      <c r="A843" s="2" t="s">
        <v>1604</v>
      </c>
      <c r="B843" s="2" t="s">
        <v>1605</v>
      </c>
      <c r="C843" s="2" t="s">
        <v>750</v>
      </c>
      <c r="D843" s="2" t="s">
        <v>725</v>
      </c>
      <c r="E843" s="2" t="s">
        <v>4</v>
      </c>
      <c r="F843" s="2" t="s">
        <v>17</v>
      </c>
      <c r="G843" s="2" t="s">
        <v>18</v>
      </c>
      <c r="H843" s="2" t="s">
        <v>110</v>
      </c>
      <c r="I843" s="2" t="s">
        <v>3393</v>
      </c>
      <c r="J843" s="3">
        <v>28.79</v>
      </c>
      <c r="K843" s="3">
        <v>13.89</v>
      </c>
      <c r="L843" s="2" t="s">
        <v>8</v>
      </c>
      <c r="M843" s="2" t="s">
        <v>9</v>
      </c>
      <c r="N843" s="3">
        <v>920</v>
      </c>
      <c r="O843" s="2" t="s">
        <v>287</v>
      </c>
      <c r="P843" s="2" t="s">
        <v>419</v>
      </c>
      <c r="Q843" s="3"/>
      <c r="R843" s="3"/>
      <c r="S843" s="2" t="s">
        <v>12</v>
      </c>
      <c r="T843" s="4">
        <v>44955</v>
      </c>
      <c r="U843" s="2" t="s">
        <v>1606</v>
      </c>
      <c r="V843" s="6">
        <f>(Real_Sales[[#This Row],[Price_retail]]-Real_Sales[[#This Row],[Price_current]])/Real_Sales[[#This Row],[Price_retail]]</f>
        <v>0.51754081278221598</v>
      </c>
      <c r="W843" s="3" t="str" cm="1">
        <f t="array" ref="W84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43" s="2" t="str">
        <f>IF(Real_Sales[[#This Row],[Price_retail]]&gt;$AC$3,"Premium","Average")</f>
        <v>Premium</v>
      </c>
      <c r="Y843" s="2" t="str">
        <f>IF(ISNUMBER(SEARCH("Basic",Real_Sales[[#This Row],[Product_name]])),"Yes","No")</f>
        <v>Yes</v>
      </c>
      <c r="Z843" s="2" cm="1">
        <f t="array" ref="Z843">_xlfn.IFS(Real_Sales[[#This Row],[Price_retail]]&lt;=15,1, Real_Sales[[#This Row],[Price_retail]]&lt;=30,2, Real_Sales[[#This Row],[Price_retail]]&lt;=50,3,Real_Sales[[#This Row],[Price_retail]]&gt;50,4)</f>
        <v>2</v>
      </c>
    </row>
    <row r="844" spans="1:26" x14ac:dyDescent="0.35">
      <c r="A844" s="2" t="s">
        <v>2150</v>
      </c>
      <c r="B844" s="2" t="s">
        <v>2151</v>
      </c>
      <c r="C844" s="2" t="s">
        <v>65</v>
      </c>
      <c r="D844" s="2" t="s">
        <v>372</v>
      </c>
      <c r="E844" s="2" t="s">
        <v>4</v>
      </c>
      <c r="F844" s="2" t="s">
        <v>5</v>
      </c>
      <c r="G844" s="2" t="s">
        <v>82</v>
      </c>
      <c r="H844" s="2" t="s">
        <v>134</v>
      </c>
      <c r="I844" s="2" t="s">
        <v>3395</v>
      </c>
      <c r="J844" s="3">
        <v>28.87</v>
      </c>
      <c r="K844" s="3">
        <v>28.87</v>
      </c>
      <c r="L844" s="2" t="s">
        <v>3391</v>
      </c>
      <c r="M844" s="2" t="s">
        <v>9</v>
      </c>
      <c r="N844" s="3">
        <v>670</v>
      </c>
      <c r="O844" s="2" t="s">
        <v>3392</v>
      </c>
      <c r="P844" s="2" t="s">
        <v>186</v>
      </c>
      <c r="Q844" s="3"/>
      <c r="R844" s="3"/>
      <c r="S844" s="2" t="s">
        <v>21</v>
      </c>
      <c r="T844" s="4">
        <v>44955</v>
      </c>
      <c r="U844" s="2" t="s">
        <v>2152</v>
      </c>
      <c r="V844" s="6">
        <f>(Real_Sales[[#This Row],[Price_retail]]-Real_Sales[[#This Row],[Price_current]])/Real_Sales[[#This Row],[Price_retail]]</f>
        <v>0</v>
      </c>
      <c r="W844" s="3" t="str" cm="1">
        <f t="array" ref="W8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4" s="2" t="str">
        <f>IF(Real_Sales[[#This Row],[Price_retail]]&gt;$AC$3,"Premium","Average")</f>
        <v>Premium</v>
      </c>
      <c r="Y844" s="2" t="str">
        <f>IF(ISNUMBER(SEARCH("Basic",Real_Sales[[#This Row],[Product_name]])),"Yes","No")</f>
        <v>No</v>
      </c>
      <c r="Z844" s="2" cm="1">
        <f t="array" ref="Z844">_xlfn.IFS(Real_Sales[[#This Row],[Price_retail]]&lt;=15,1, Real_Sales[[#This Row],[Price_retail]]&lt;=30,2, Real_Sales[[#This Row],[Price_retail]]&lt;=50,3,Real_Sales[[#This Row],[Price_retail]]&gt;50,4)</f>
        <v>2</v>
      </c>
    </row>
    <row r="845" spans="1:26" x14ac:dyDescent="0.35">
      <c r="A845" s="2" t="s">
        <v>2193</v>
      </c>
      <c r="B845" s="2" t="s">
        <v>2194</v>
      </c>
      <c r="C845" s="2" t="s">
        <v>323</v>
      </c>
      <c r="D845" s="2" t="s">
        <v>3</v>
      </c>
      <c r="E845" s="2" t="s">
        <v>4</v>
      </c>
      <c r="F845" s="2" t="s">
        <v>5</v>
      </c>
      <c r="G845" s="2" t="s">
        <v>121</v>
      </c>
      <c r="H845" s="2" t="s">
        <v>7</v>
      </c>
      <c r="I845" s="2" t="s">
        <v>3390</v>
      </c>
      <c r="J845" s="3">
        <v>28.89</v>
      </c>
      <c r="K845" s="3">
        <v>28.89</v>
      </c>
      <c r="L845" s="2" t="s">
        <v>3391</v>
      </c>
      <c r="M845" s="2" t="s">
        <v>9</v>
      </c>
      <c r="N845" s="3">
        <v>309</v>
      </c>
      <c r="O845" s="2" t="s">
        <v>347</v>
      </c>
      <c r="P845" s="2" t="s">
        <v>186</v>
      </c>
      <c r="Q845" s="3"/>
      <c r="R845" s="3"/>
      <c r="S845" s="2" t="s">
        <v>12</v>
      </c>
      <c r="T845" s="4">
        <v>44955</v>
      </c>
      <c r="U845" s="2" t="s">
        <v>2195</v>
      </c>
      <c r="V845" s="6">
        <f>(Real_Sales[[#This Row],[Price_retail]]-Real_Sales[[#This Row],[Price_current]])/Real_Sales[[#This Row],[Price_retail]]</f>
        <v>0</v>
      </c>
      <c r="W845" s="3" t="str" cm="1">
        <f t="array" ref="W84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5" s="2" t="str">
        <f>IF(Real_Sales[[#This Row],[Price_retail]]&gt;$AC$3,"Premium","Average")</f>
        <v>Premium</v>
      </c>
      <c r="Y845" s="2" t="str">
        <f>IF(ISNUMBER(SEARCH("Basic",Real_Sales[[#This Row],[Product_name]])),"Yes","No")</f>
        <v>No</v>
      </c>
      <c r="Z845" s="2" cm="1">
        <f t="array" ref="Z845">_xlfn.IFS(Real_Sales[[#This Row],[Price_retail]]&lt;=15,1, Real_Sales[[#This Row],[Price_retail]]&lt;=30,2, Real_Sales[[#This Row],[Price_retail]]&lt;=50,3,Real_Sales[[#This Row],[Price_retail]]&gt;50,4)</f>
        <v>2</v>
      </c>
    </row>
    <row r="846" spans="1:26" x14ac:dyDescent="0.35">
      <c r="A846" s="2" t="s">
        <v>662</v>
      </c>
      <c r="B846" s="2" t="s">
        <v>663</v>
      </c>
      <c r="C846" s="2" t="s">
        <v>3407</v>
      </c>
      <c r="D846" s="2" t="s">
        <v>608</v>
      </c>
      <c r="E846" s="2" t="s">
        <v>4</v>
      </c>
      <c r="F846" s="2" t="s">
        <v>17</v>
      </c>
      <c r="G846" s="2" t="s">
        <v>18</v>
      </c>
      <c r="H846" s="2" t="s">
        <v>51</v>
      </c>
      <c r="I846" s="2" t="s">
        <v>3393</v>
      </c>
      <c r="J846" s="3">
        <v>29.05</v>
      </c>
      <c r="K846" s="3">
        <v>29.05</v>
      </c>
      <c r="L846" s="2" t="s">
        <v>3391</v>
      </c>
      <c r="M846" s="2" t="s">
        <v>9</v>
      </c>
      <c r="N846" s="3">
        <v>431</v>
      </c>
      <c r="O846" s="2" t="s">
        <v>664</v>
      </c>
      <c r="P846" s="2" t="s">
        <v>61</v>
      </c>
      <c r="Q846" s="3"/>
      <c r="R846" s="3"/>
      <c r="S846" s="2" t="s">
        <v>12</v>
      </c>
      <c r="T846" s="4">
        <v>44955</v>
      </c>
      <c r="U846" s="2" t="s">
        <v>665</v>
      </c>
      <c r="V846" s="6">
        <f>(Real_Sales[[#This Row],[Price_retail]]-Real_Sales[[#This Row],[Price_current]])/Real_Sales[[#This Row],[Price_retail]]</f>
        <v>0</v>
      </c>
      <c r="W846" s="3" t="str" cm="1">
        <f t="array" ref="W84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6" s="2" t="str">
        <f>IF(Real_Sales[[#This Row],[Price_retail]]&gt;$AC$3,"Premium","Average")</f>
        <v>Premium</v>
      </c>
      <c r="Y846" s="2" t="str">
        <f>IF(ISNUMBER(SEARCH("Basic",Real_Sales[[#This Row],[Product_name]])),"Yes","No")</f>
        <v>No</v>
      </c>
      <c r="Z846" s="2" cm="1">
        <f t="array" ref="Z846">_xlfn.IFS(Real_Sales[[#This Row],[Price_retail]]&lt;=15,1, Real_Sales[[#This Row],[Price_retail]]&lt;=30,2, Real_Sales[[#This Row],[Price_retail]]&lt;=50,3,Real_Sales[[#This Row],[Price_retail]]&gt;50,4)</f>
        <v>2</v>
      </c>
    </row>
    <row r="847" spans="1:26" x14ac:dyDescent="0.35">
      <c r="A847" s="2" t="s">
        <v>2677</v>
      </c>
      <c r="B847" s="2" t="s">
        <v>2678</v>
      </c>
      <c r="C847" s="2" t="s">
        <v>3394</v>
      </c>
      <c r="D847" s="2" t="s">
        <v>913</v>
      </c>
      <c r="E847" s="2" t="s">
        <v>4</v>
      </c>
      <c r="F847" s="2" t="s">
        <v>17</v>
      </c>
      <c r="G847" s="2" t="s">
        <v>67</v>
      </c>
      <c r="H847" s="2" t="s">
        <v>51</v>
      </c>
      <c r="I847" s="2" t="s">
        <v>3393</v>
      </c>
      <c r="J847" s="3">
        <v>29.06</v>
      </c>
      <c r="K847" s="3">
        <v>17.47</v>
      </c>
      <c r="L847" s="2" t="s">
        <v>8</v>
      </c>
      <c r="M847" s="2" t="s">
        <v>9</v>
      </c>
      <c r="N847" s="3">
        <v>1</v>
      </c>
      <c r="O847" s="2" t="s">
        <v>267</v>
      </c>
      <c r="P847" s="2" t="s">
        <v>215</v>
      </c>
      <c r="Q847" s="3"/>
      <c r="R847" s="3"/>
      <c r="S847" s="2" t="s">
        <v>21</v>
      </c>
      <c r="T847" s="4">
        <v>44955</v>
      </c>
      <c r="U847" s="2" t="s">
        <v>2679</v>
      </c>
      <c r="V847" s="6">
        <f>(Real_Sales[[#This Row],[Price_retail]]-Real_Sales[[#This Row],[Price_current]])/Real_Sales[[#This Row],[Price_retail]]</f>
        <v>0.39883000688231246</v>
      </c>
      <c r="W847" s="3" t="str" cm="1">
        <f t="array" ref="W84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47" s="2" t="str">
        <f>IF(Real_Sales[[#This Row],[Price_retail]]&gt;$AC$3,"Premium","Average")</f>
        <v>Premium</v>
      </c>
      <c r="Y847" s="2" t="str">
        <f>IF(ISNUMBER(SEARCH("Basic",Real_Sales[[#This Row],[Product_name]])),"Yes","No")</f>
        <v>No</v>
      </c>
      <c r="Z847" s="2" cm="1">
        <f t="array" ref="Z847">_xlfn.IFS(Real_Sales[[#This Row],[Price_retail]]&lt;=15,1, Real_Sales[[#This Row],[Price_retail]]&lt;=30,2, Real_Sales[[#This Row],[Price_retail]]&lt;=50,3,Real_Sales[[#This Row],[Price_retail]]&gt;50,4)</f>
        <v>2</v>
      </c>
    </row>
    <row r="848" spans="1:26" x14ac:dyDescent="0.35">
      <c r="A848" s="2" t="s">
        <v>881</v>
      </c>
      <c r="B848" s="2" t="s">
        <v>882</v>
      </c>
      <c r="C848" s="2" t="s">
        <v>65</v>
      </c>
      <c r="D848" s="2" t="s">
        <v>58</v>
      </c>
      <c r="E848" s="2" t="s">
        <v>4</v>
      </c>
      <c r="F848" s="2" t="s">
        <v>17</v>
      </c>
      <c r="G848" s="2" t="s">
        <v>18</v>
      </c>
      <c r="H848" s="2" t="s">
        <v>59</v>
      </c>
      <c r="I848" s="2" t="s">
        <v>3390</v>
      </c>
      <c r="J848" s="3">
        <v>29.23</v>
      </c>
      <c r="K848" s="3">
        <v>16.36</v>
      </c>
      <c r="L848" s="2" t="s">
        <v>8</v>
      </c>
      <c r="M848" s="2" t="s">
        <v>9</v>
      </c>
      <c r="N848" s="3">
        <v>484</v>
      </c>
      <c r="O848" s="2" t="s">
        <v>69</v>
      </c>
      <c r="P848" s="2" t="s">
        <v>61</v>
      </c>
      <c r="Q848" s="3"/>
      <c r="R848" s="3"/>
      <c r="S848" s="2"/>
      <c r="T848" s="4">
        <v>44955</v>
      </c>
      <c r="U848" s="2" t="s">
        <v>883</v>
      </c>
      <c r="V848" s="6">
        <f>(Real_Sales[[#This Row],[Price_retail]]-Real_Sales[[#This Row],[Price_current]])/Real_Sales[[#This Row],[Price_retail]]</f>
        <v>0.44030106055422513</v>
      </c>
      <c r="W848" s="3" t="str" cm="1">
        <f t="array" ref="W84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48" s="2" t="str">
        <f>IF(Real_Sales[[#This Row],[Price_retail]]&gt;$AC$3,"Premium","Average")</f>
        <v>Premium</v>
      </c>
      <c r="Y848" s="2" t="str">
        <f>IF(ISNUMBER(SEARCH("Basic",Real_Sales[[#This Row],[Product_name]])),"Yes","No")</f>
        <v>No</v>
      </c>
      <c r="Z848" s="2" cm="1">
        <f t="array" ref="Z848">_xlfn.IFS(Real_Sales[[#This Row],[Price_retail]]&lt;=15,1, Real_Sales[[#This Row],[Price_retail]]&lt;=30,2, Real_Sales[[#This Row],[Price_retail]]&lt;=50,3,Real_Sales[[#This Row],[Price_retail]]&gt;50,4)</f>
        <v>2</v>
      </c>
    </row>
    <row r="849" spans="1:26" x14ac:dyDescent="0.35">
      <c r="A849" s="2" t="s">
        <v>583</v>
      </c>
      <c r="B849" s="2" t="s">
        <v>584</v>
      </c>
      <c r="C849" s="2" t="s">
        <v>585</v>
      </c>
      <c r="D849" s="2" t="s">
        <v>586</v>
      </c>
      <c r="E849" s="2" t="s">
        <v>4</v>
      </c>
      <c r="F849" s="2" t="s">
        <v>5</v>
      </c>
      <c r="G849" s="2" t="s">
        <v>121</v>
      </c>
      <c r="H849" s="2" t="s">
        <v>83</v>
      </c>
      <c r="I849" s="2" t="s">
        <v>3393</v>
      </c>
      <c r="J849" s="3">
        <v>29.25</v>
      </c>
      <c r="K849" s="3">
        <v>29.25</v>
      </c>
      <c r="L849" s="2" t="s">
        <v>3391</v>
      </c>
      <c r="M849" s="2" t="s">
        <v>9</v>
      </c>
      <c r="N849" s="3">
        <v>620</v>
      </c>
      <c r="O849" s="2" t="s">
        <v>98</v>
      </c>
      <c r="P849" s="2" t="s">
        <v>70</v>
      </c>
      <c r="Q849" s="3"/>
      <c r="R849" s="3"/>
      <c r="S849" s="2" t="s">
        <v>21</v>
      </c>
      <c r="T849" s="4">
        <v>44955</v>
      </c>
      <c r="U849" s="2" t="s">
        <v>587</v>
      </c>
      <c r="V849" s="6">
        <f>(Real_Sales[[#This Row],[Price_retail]]-Real_Sales[[#This Row],[Price_current]])/Real_Sales[[#This Row],[Price_retail]]</f>
        <v>0</v>
      </c>
      <c r="W849" s="3" t="str" cm="1">
        <f t="array" ref="W84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49" s="2" t="str">
        <f>IF(Real_Sales[[#This Row],[Price_retail]]&gt;$AC$3,"Premium","Average")</f>
        <v>Premium</v>
      </c>
      <c r="Y849" s="2" t="str">
        <f>IF(ISNUMBER(SEARCH("Basic",Real_Sales[[#This Row],[Product_name]])),"Yes","No")</f>
        <v>No</v>
      </c>
      <c r="Z849" s="2" cm="1">
        <f t="array" ref="Z849">_xlfn.IFS(Real_Sales[[#This Row],[Price_retail]]&lt;=15,1, Real_Sales[[#This Row],[Price_retail]]&lt;=30,2, Real_Sales[[#This Row],[Price_retail]]&lt;=50,3,Real_Sales[[#This Row],[Price_retail]]&gt;50,4)</f>
        <v>2</v>
      </c>
    </row>
    <row r="850" spans="1:26" x14ac:dyDescent="0.35">
      <c r="A850" s="2" t="s">
        <v>479</v>
      </c>
      <c r="B850" s="2" t="s">
        <v>480</v>
      </c>
      <c r="C850" s="2" t="s">
        <v>412</v>
      </c>
      <c r="D850" s="2" t="s">
        <v>266</v>
      </c>
      <c r="E850" s="2" t="s">
        <v>4</v>
      </c>
      <c r="F850" s="2" t="s">
        <v>17</v>
      </c>
      <c r="G850" s="2" t="s">
        <v>18</v>
      </c>
      <c r="H850" s="2" t="s">
        <v>237</v>
      </c>
      <c r="I850" s="2" t="s">
        <v>3395</v>
      </c>
      <c r="J850" s="3">
        <v>29.27</v>
      </c>
      <c r="K850" s="3">
        <v>29.27</v>
      </c>
      <c r="L850" s="2" t="s">
        <v>3391</v>
      </c>
      <c r="M850" s="2" t="s">
        <v>9</v>
      </c>
      <c r="N850" s="3">
        <v>683</v>
      </c>
      <c r="O850" s="2" t="s">
        <v>43</v>
      </c>
      <c r="P850" s="2" t="s">
        <v>186</v>
      </c>
      <c r="Q850" s="3"/>
      <c r="R850" s="3"/>
      <c r="S850" s="2" t="s">
        <v>21</v>
      </c>
      <c r="T850" s="4">
        <v>44955</v>
      </c>
      <c r="U850" s="2" t="s">
        <v>481</v>
      </c>
      <c r="V850" s="6">
        <f>(Real_Sales[[#This Row],[Price_retail]]-Real_Sales[[#This Row],[Price_current]])/Real_Sales[[#This Row],[Price_retail]]</f>
        <v>0</v>
      </c>
      <c r="W850" s="3" t="str" cm="1">
        <f t="array" ref="W85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0" s="2" t="str">
        <f>IF(Real_Sales[[#This Row],[Price_retail]]&gt;$AC$3,"Premium","Average")</f>
        <v>Premium</v>
      </c>
      <c r="Y850" s="2" t="str">
        <f>IF(ISNUMBER(SEARCH("Basic",Real_Sales[[#This Row],[Product_name]])),"Yes","No")</f>
        <v>No</v>
      </c>
      <c r="Z850" s="2" cm="1">
        <f t="array" ref="Z850">_xlfn.IFS(Real_Sales[[#This Row],[Price_retail]]&lt;=15,1, Real_Sales[[#This Row],[Price_retail]]&lt;=30,2, Real_Sales[[#This Row],[Price_retail]]&lt;=50,3,Real_Sales[[#This Row],[Price_retail]]&gt;50,4)</f>
        <v>2</v>
      </c>
    </row>
    <row r="851" spans="1:26" x14ac:dyDescent="0.35">
      <c r="A851" s="2" t="s">
        <v>151</v>
      </c>
      <c r="B851" s="2" t="s">
        <v>152</v>
      </c>
      <c r="C851" s="2" t="s">
        <v>3394</v>
      </c>
      <c r="D851" s="2" t="s">
        <v>153</v>
      </c>
      <c r="E851" s="2" t="s">
        <v>4</v>
      </c>
      <c r="F851" s="2" t="s">
        <v>17</v>
      </c>
      <c r="G851" s="2" t="s">
        <v>27</v>
      </c>
      <c r="H851" s="2" t="s">
        <v>28</v>
      </c>
      <c r="I851" s="2" t="s">
        <v>3395</v>
      </c>
      <c r="J851" s="3">
        <v>29.33</v>
      </c>
      <c r="K851" s="3">
        <v>21.6</v>
      </c>
      <c r="L851" s="2" t="s">
        <v>8</v>
      </c>
      <c r="M851" s="2" t="s">
        <v>9</v>
      </c>
      <c r="N851" s="3">
        <v>347</v>
      </c>
      <c r="O851" s="2" t="s">
        <v>75</v>
      </c>
      <c r="P851" s="2" t="s">
        <v>92</v>
      </c>
      <c r="Q851" s="3"/>
      <c r="R851" s="3"/>
      <c r="S851" s="2" t="s">
        <v>21</v>
      </c>
      <c r="T851" s="4">
        <v>44955</v>
      </c>
      <c r="U851" s="2" t="s">
        <v>154</v>
      </c>
      <c r="V851" s="6">
        <f>(Real_Sales[[#This Row],[Price_retail]]-Real_Sales[[#This Row],[Price_current]])/Real_Sales[[#This Row],[Price_retail]]</f>
        <v>0.26355267644050451</v>
      </c>
      <c r="W851" s="3" t="str" cm="1">
        <f t="array" ref="W85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51" s="2" t="str">
        <f>IF(Real_Sales[[#This Row],[Price_retail]]&gt;$AC$3,"Premium","Average")</f>
        <v>Premium</v>
      </c>
      <c r="Y851" s="2" t="str">
        <f>IF(ISNUMBER(SEARCH("Basic",Real_Sales[[#This Row],[Product_name]])),"Yes","No")</f>
        <v>No</v>
      </c>
      <c r="Z851" s="2" cm="1">
        <f t="array" ref="Z851">_xlfn.IFS(Real_Sales[[#This Row],[Price_retail]]&lt;=15,1, Real_Sales[[#This Row],[Price_retail]]&lt;=30,2, Real_Sales[[#This Row],[Price_retail]]&lt;=50,3,Real_Sales[[#This Row],[Price_retail]]&gt;50,4)</f>
        <v>2</v>
      </c>
    </row>
    <row r="852" spans="1:26" x14ac:dyDescent="0.35">
      <c r="A852" s="2" t="s">
        <v>2895</v>
      </c>
      <c r="B852" s="2" t="s">
        <v>2896</v>
      </c>
      <c r="C852" s="2" t="s">
        <v>3433</v>
      </c>
      <c r="D852" s="2" t="s">
        <v>929</v>
      </c>
      <c r="E852" s="2" t="s">
        <v>4</v>
      </c>
      <c r="F852" s="2" t="s">
        <v>5</v>
      </c>
      <c r="G852" s="2" t="s">
        <v>6</v>
      </c>
      <c r="H852" s="2" t="s">
        <v>51</v>
      </c>
      <c r="I852" s="2" t="s">
        <v>3395</v>
      </c>
      <c r="J852" s="3">
        <v>29.61</v>
      </c>
      <c r="K852" s="3">
        <v>29.61</v>
      </c>
      <c r="L852" s="2" t="s">
        <v>3391</v>
      </c>
      <c r="M852" s="2" t="s">
        <v>9</v>
      </c>
      <c r="N852" s="3">
        <v>391</v>
      </c>
      <c r="O852" s="2" t="s">
        <v>69</v>
      </c>
      <c r="P852" s="2" t="s">
        <v>44</v>
      </c>
      <c r="Q852" s="3"/>
      <c r="R852" s="3"/>
      <c r="S852" s="2" t="s">
        <v>21</v>
      </c>
      <c r="T852" s="4">
        <v>44955</v>
      </c>
      <c r="U852" s="2" t="s">
        <v>2897</v>
      </c>
      <c r="V852" s="6">
        <f>(Real_Sales[[#This Row],[Price_retail]]-Real_Sales[[#This Row],[Price_current]])/Real_Sales[[#This Row],[Price_retail]]</f>
        <v>0</v>
      </c>
      <c r="W852" s="3" t="str" cm="1">
        <f t="array" ref="W8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2" s="2" t="str">
        <f>IF(Real_Sales[[#This Row],[Price_retail]]&gt;$AC$3,"Premium","Average")</f>
        <v>Premium</v>
      </c>
      <c r="Y852" s="2" t="str">
        <f>IF(ISNUMBER(SEARCH("Basic",Real_Sales[[#This Row],[Product_name]])),"Yes","No")</f>
        <v>No</v>
      </c>
      <c r="Z852" s="2" cm="1">
        <f t="array" ref="Z852">_xlfn.IFS(Real_Sales[[#This Row],[Price_retail]]&lt;=15,1, Real_Sales[[#This Row],[Price_retail]]&lt;=30,2, Real_Sales[[#This Row],[Price_retail]]&lt;=50,3,Real_Sales[[#This Row],[Price_retail]]&gt;50,4)</f>
        <v>2</v>
      </c>
    </row>
    <row r="853" spans="1:26" x14ac:dyDescent="0.35">
      <c r="A853" s="2" t="s">
        <v>2923</v>
      </c>
      <c r="B853" s="2" t="s">
        <v>2924</v>
      </c>
      <c r="C853" s="2" t="s">
        <v>65</v>
      </c>
      <c r="D853" s="2" t="s">
        <v>1482</v>
      </c>
      <c r="E853" s="2" t="s">
        <v>4</v>
      </c>
      <c r="F853" s="2" t="s">
        <v>17</v>
      </c>
      <c r="G853" s="2" t="s">
        <v>18</v>
      </c>
      <c r="H853" s="2" t="s">
        <v>185</v>
      </c>
      <c r="I853" s="2" t="s">
        <v>3393</v>
      </c>
      <c r="J853" s="3">
        <v>29.63</v>
      </c>
      <c r="K853" s="3">
        <v>29.63</v>
      </c>
      <c r="L853" s="2" t="s">
        <v>3391</v>
      </c>
      <c r="M853" s="2" t="s">
        <v>9</v>
      </c>
      <c r="N853" s="3">
        <v>509</v>
      </c>
      <c r="O853" s="2" t="s">
        <v>75</v>
      </c>
      <c r="P853" s="2" t="s">
        <v>221</v>
      </c>
      <c r="Q853" s="3"/>
      <c r="R853" s="3"/>
      <c r="S853" s="2" t="s">
        <v>21</v>
      </c>
      <c r="T853" s="4">
        <v>44955</v>
      </c>
      <c r="U853" s="2" t="s">
        <v>2925</v>
      </c>
      <c r="V853" s="6">
        <f>(Real_Sales[[#This Row],[Price_retail]]-Real_Sales[[#This Row],[Price_current]])/Real_Sales[[#This Row],[Price_retail]]</f>
        <v>0</v>
      </c>
      <c r="W853" s="3" t="str" cm="1">
        <f t="array" ref="W85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3" s="2" t="str">
        <f>IF(Real_Sales[[#This Row],[Price_retail]]&gt;$AC$3,"Premium","Average")</f>
        <v>Premium</v>
      </c>
      <c r="Y853" s="2" t="str">
        <f>IF(ISNUMBER(SEARCH("Basic",Real_Sales[[#This Row],[Product_name]])),"Yes","No")</f>
        <v>No</v>
      </c>
      <c r="Z853" s="2" cm="1">
        <f t="array" ref="Z853">_xlfn.IFS(Real_Sales[[#This Row],[Price_retail]]&lt;=15,1, Real_Sales[[#This Row],[Price_retail]]&lt;=30,2, Real_Sales[[#This Row],[Price_retail]]&lt;=50,3,Real_Sales[[#This Row],[Price_retail]]&gt;50,4)</f>
        <v>2</v>
      </c>
    </row>
    <row r="854" spans="1:26" x14ac:dyDescent="0.35">
      <c r="A854" s="2" t="s">
        <v>931</v>
      </c>
      <c r="B854" s="2" t="s">
        <v>932</v>
      </c>
      <c r="C854" s="2" t="s">
        <v>65</v>
      </c>
      <c r="D854" s="2" t="s">
        <v>769</v>
      </c>
      <c r="E854" s="2" t="s">
        <v>4</v>
      </c>
      <c r="F854" s="2" t="s">
        <v>17</v>
      </c>
      <c r="G854" s="2" t="s">
        <v>18</v>
      </c>
      <c r="H854" s="2" t="s">
        <v>35</v>
      </c>
      <c r="I854" s="2" t="s">
        <v>3390</v>
      </c>
      <c r="J854" s="3">
        <v>29.66</v>
      </c>
      <c r="K854" s="3">
        <v>29.66</v>
      </c>
      <c r="L854" s="2" t="s">
        <v>3391</v>
      </c>
      <c r="M854" s="2" t="s">
        <v>9</v>
      </c>
      <c r="N854" s="3">
        <v>919</v>
      </c>
      <c r="O854" s="2" t="s">
        <v>3392</v>
      </c>
      <c r="P854" s="2" t="s">
        <v>238</v>
      </c>
      <c r="Q854" s="3"/>
      <c r="R854" s="3"/>
      <c r="S854" s="2" t="s">
        <v>21</v>
      </c>
      <c r="T854" s="4">
        <v>44955</v>
      </c>
      <c r="U854" s="2" t="s">
        <v>933</v>
      </c>
      <c r="V854" s="6">
        <f>(Real_Sales[[#This Row],[Price_retail]]-Real_Sales[[#This Row],[Price_current]])/Real_Sales[[#This Row],[Price_retail]]</f>
        <v>0</v>
      </c>
      <c r="W854" s="3" t="str" cm="1">
        <f t="array" ref="W85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4" s="2" t="str">
        <f>IF(Real_Sales[[#This Row],[Price_retail]]&gt;$AC$3,"Premium","Average")</f>
        <v>Premium</v>
      </c>
      <c r="Y854" s="2" t="str">
        <f>IF(ISNUMBER(SEARCH("Basic",Real_Sales[[#This Row],[Product_name]])),"Yes","No")</f>
        <v>Yes</v>
      </c>
      <c r="Z854" s="2" cm="1">
        <f t="array" ref="Z854">_xlfn.IFS(Real_Sales[[#This Row],[Price_retail]]&lt;=15,1, Real_Sales[[#This Row],[Price_retail]]&lt;=30,2, Real_Sales[[#This Row],[Price_retail]]&lt;=50,3,Real_Sales[[#This Row],[Price_retail]]&gt;50,4)</f>
        <v>2</v>
      </c>
    </row>
    <row r="855" spans="1:26" x14ac:dyDescent="0.35">
      <c r="A855" s="2" t="s">
        <v>2862</v>
      </c>
      <c r="B855" s="2" t="s">
        <v>2863</v>
      </c>
      <c r="C855" s="2" t="s">
        <v>2409</v>
      </c>
      <c r="D855" s="2" t="s">
        <v>400</v>
      </c>
      <c r="E855" s="2" t="s">
        <v>4</v>
      </c>
      <c r="F855" s="2" t="s">
        <v>5</v>
      </c>
      <c r="G855" s="2" t="s">
        <v>121</v>
      </c>
      <c r="H855" s="2" t="s">
        <v>185</v>
      </c>
      <c r="I855" s="2" t="s">
        <v>3390</v>
      </c>
      <c r="J855" s="3">
        <v>29.67</v>
      </c>
      <c r="K855" s="3">
        <v>29.67</v>
      </c>
      <c r="L855" s="2" t="s">
        <v>3391</v>
      </c>
      <c r="M855" s="2" t="s">
        <v>9</v>
      </c>
      <c r="N855" s="3">
        <v>511</v>
      </c>
      <c r="O855" s="2" t="s">
        <v>3392</v>
      </c>
      <c r="P855" s="2" t="s">
        <v>92</v>
      </c>
      <c r="Q855" s="3"/>
      <c r="R855" s="3"/>
      <c r="S855" s="2" t="s">
        <v>21</v>
      </c>
      <c r="T855" s="4">
        <v>44955</v>
      </c>
      <c r="U855" s="2" t="s">
        <v>2864</v>
      </c>
      <c r="V855" s="6">
        <f>(Real_Sales[[#This Row],[Price_retail]]-Real_Sales[[#This Row],[Price_current]])/Real_Sales[[#This Row],[Price_retail]]</f>
        <v>0</v>
      </c>
      <c r="W855" s="3" t="str" cm="1">
        <f t="array" ref="W85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5" s="2" t="str">
        <f>IF(Real_Sales[[#This Row],[Price_retail]]&gt;$AC$3,"Premium","Average")</f>
        <v>Premium</v>
      </c>
      <c r="Y855" s="2" t="str">
        <f>IF(ISNUMBER(SEARCH("Basic",Real_Sales[[#This Row],[Product_name]])),"Yes","No")</f>
        <v>No</v>
      </c>
      <c r="Z855" s="2" cm="1">
        <f t="array" ref="Z855">_xlfn.IFS(Real_Sales[[#This Row],[Price_retail]]&lt;=15,1, Real_Sales[[#This Row],[Price_retail]]&lt;=30,2, Real_Sales[[#This Row],[Price_retail]]&lt;=50,3,Real_Sales[[#This Row],[Price_retail]]&gt;50,4)</f>
        <v>2</v>
      </c>
    </row>
    <row r="856" spans="1:26" x14ac:dyDescent="0.35">
      <c r="A856" s="2" t="s">
        <v>899</v>
      </c>
      <c r="B856" s="2" t="s">
        <v>900</v>
      </c>
      <c r="C856" s="2" t="s">
        <v>901</v>
      </c>
      <c r="D856" s="2" t="s">
        <v>501</v>
      </c>
      <c r="E856" s="2" t="s">
        <v>4</v>
      </c>
      <c r="F856" s="2" t="s">
        <v>17</v>
      </c>
      <c r="G856" s="2" t="s">
        <v>18</v>
      </c>
      <c r="H856" s="2" t="s">
        <v>83</v>
      </c>
      <c r="I856" s="2" t="s">
        <v>3390</v>
      </c>
      <c r="J856" s="3">
        <v>29.7</v>
      </c>
      <c r="K856" s="3">
        <v>29.7</v>
      </c>
      <c r="L856" s="2" t="s">
        <v>3391</v>
      </c>
      <c r="M856" s="2" t="s">
        <v>9</v>
      </c>
      <c r="N856" s="3">
        <v>828</v>
      </c>
      <c r="O856" s="2" t="s">
        <v>60</v>
      </c>
      <c r="P856" s="2" t="s">
        <v>186</v>
      </c>
      <c r="Q856" s="3"/>
      <c r="R856" s="3"/>
      <c r="S856" s="2" t="s">
        <v>21</v>
      </c>
      <c r="T856" s="4">
        <v>44955</v>
      </c>
      <c r="U856" s="2" t="s">
        <v>902</v>
      </c>
      <c r="V856" s="6">
        <f>(Real_Sales[[#This Row],[Price_retail]]-Real_Sales[[#This Row],[Price_current]])/Real_Sales[[#This Row],[Price_retail]]</f>
        <v>0</v>
      </c>
      <c r="W856" s="3" t="str" cm="1">
        <f t="array" ref="W8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6" s="2" t="str">
        <f>IF(Real_Sales[[#This Row],[Price_retail]]&gt;$AC$3,"Premium","Average")</f>
        <v>Premium</v>
      </c>
      <c r="Y856" s="2" t="str">
        <f>IF(ISNUMBER(SEARCH("Basic",Real_Sales[[#This Row],[Product_name]])),"Yes","No")</f>
        <v>No</v>
      </c>
      <c r="Z856" s="2" cm="1">
        <f t="array" ref="Z856">_xlfn.IFS(Real_Sales[[#This Row],[Price_retail]]&lt;=15,1, Real_Sales[[#This Row],[Price_retail]]&lt;=30,2, Real_Sales[[#This Row],[Price_retail]]&lt;=50,3,Real_Sales[[#This Row],[Price_retail]]&gt;50,4)</f>
        <v>2</v>
      </c>
    </row>
    <row r="857" spans="1:26" x14ac:dyDescent="0.35">
      <c r="A857" s="2" t="s">
        <v>1610</v>
      </c>
      <c r="B857" s="2" t="s">
        <v>1611</v>
      </c>
      <c r="C857" s="2" t="s">
        <v>2915</v>
      </c>
      <c r="D857" s="2" t="s">
        <v>201</v>
      </c>
      <c r="E857" s="2" t="s">
        <v>4</v>
      </c>
      <c r="F857" s="2" t="s">
        <v>5</v>
      </c>
      <c r="G857" s="2" t="s">
        <v>121</v>
      </c>
      <c r="H857" s="2" t="s">
        <v>185</v>
      </c>
      <c r="I857" s="2" t="s">
        <v>3395</v>
      </c>
      <c r="J857" s="3">
        <v>29.8</v>
      </c>
      <c r="K857" s="3">
        <v>29.8</v>
      </c>
      <c r="L857" s="2" t="s">
        <v>3391</v>
      </c>
      <c r="M857" s="2" t="s">
        <v>9</v>
      </c>
      <c r="N857" s="3">
        <v>261</v>
      </c>
      <c r="O857" s="2" t="s">
        <v>3392</v>
      </c>
      <c r="P857" s="2" t="s">
        <v>37</v>
      </c>
      <c r="Q857" s="3"/>
      <c r="R857" s="3"/>
      <c r="S857" s="2" t="s">
        <v>12</v>
      </c>
      <c r="T857" s="4">
        <v>44955</v>
      </c>
      <c r="U857" s="2" t="s">
        <v>1612</v>
      </c>
      <c r="V857" s="6">
        <f>(Real_Sales[[#This Row],[Price_retail]]-Real_Sales[[#This Row],[Price_current]])/Real_Sales[[#This Row],[Price_retail]]</f>
        <v>0</v>
      </c>
      <c r="W857" s="3" t="str" cm="1">
        <f t="array" ref="W85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7" s="2" t="str">
        <f>IF(Real_Sales[[#This Row],[Price_retail]]&gt;$AC$3,"Premium","Average")</f>
        <v>Premium</v>
      </c>
      <c r="Y857" s="2" t="str">
        <f>IF(ISNUMBER(SEARCH("Basic",Real_Sales[[#This Row],[Product_name]])),"Yes","No")</f>
        <v>No</v>
      </c>
      <c r="Z857" s="2" cm="1">
        <f t="array" ref="Z857">_xlfn.IFS(Real_Sales[[#This Row],[Price_retail]]&lt;=15,1, Real_Sales[[#This Row],[Price_retail]]&lt;=30,2, Real_Sales[[#This Row],[Price_retail]]&lt;=50,3,Real_Sales[[#This Row],[Price_retail]]&gt;50,4)</f>
        <v>2</v>
      </c>
    </row>
    <row r="858" spans="1:26" x14ac:dyDescent="0.35">
      <c r="A858" s="2" t="s">
        <v>1145</v>
      </c>
      <c r="B858" s="2" t="s">
        <v>1146</v>
      </c>
      <c r="C858" s="2" t="s">
        <v>569</v>
      </c>
      <c r="D858" s="2" t="s">
        <v>1147</v>
      </c>
      <c r="E858" s="2" t="s">
        <v>4</v>
      </c>
      <c r="F858" s="2" t="s">
        <v>5</v>
      </c>
      <c r="G858" s="2" t="s">
        <v>121</v>
      </c>
      <c r="H858" s="2" t="s">
        <v>51</v>
      </c>
      <c r="I858" s="2" t="s">
        <v>3390</v>
      </c>
      <c r="J858" s="3">
        <v>29.81</v>
      </c>
      <c r="K858" s="3">
        <v>18.37</v>
      </c>
      <c r="L858" s="2" t="s">
        <v>8</v>
      </c>
      <c r="M858" s="2" t="s">
        <v>9</v>
      </c>
      <c r="N858" s="3">
        <v>756</v>
      </c>
      <c r="O858" s="2" t="s">
        <v>29</v>
      </c>
      <c r="P858" s="2" t="s">
        <v>221</v>
      </c>
      <c r="Q858" s="3"/>
      <c r="R858" s="3"/>
      <c r="S858" s="2" t="s">
        <v>12</v>
      </c>
      <c r="T858" s="4">
        <v>44955</v>
      </c>
      <c r="U858" s="2" t="s">
        <v>1148</v>
      </c>
      <c r="V858" s="6">
        <f>(Real_Sales[[#This Row],[Price_retail]]-Real_Sales[[#This Row],[Price_current]])/Real_Sales[[#This Row],[Price_retail]]</f>
        <v>0.38376383763837635</v>
      </c>
      <c r="W858" s="3" t="str" cm="1">
        <f t="array" ref="W85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58" s="2" t="str">
        <f>IF(Real_Sales[[#This Row],[Price_retail]]&gt;$AC$3,"Premium","Average")</f>
        <v>Premium</v>
      </c>
      <c r="Y858" s="2" t="str">
        <f>IF(ISNUMBER(SEARCH("Basic",Real_Sales[[#This Row],[Product_name]])),"Yes","No")</f>
        <v>Yes</v>
      </c>
      <c r="Z858" s="2" cm="1">
        <f t="array" ref="Z858">_xlfn.IFS(Real_Sales[[#This Row],[Price_retail]]&lt;=15,1, Real_Sales[[#This Row],[Price_retail]]&lt;=30,2, Real_Sales[[#This Row],[Price_retail]]&lt;=50,3,Real_Sales[[#This Row],[Price_retail]]&gt;50,4)</f>
        <v>2</v>
      </c>
    </row>
    <row r="859" spans="1:26" x14ac:dyDescent="0.35">
      <c r="A859" s="2" t="s">
        <v>3188</v>
      </c>
      <c r="B859" s="2" t="s">
        <v>3189</v>
      </c>
      <c r="C859" s="2" t="s">
        <v>65</v>
      </c>
      <c r="D859" s="2" t="s">
        <v>1169</v>
      </c>
      <c r="E859" s="2" t="s">
        <v>4</v>
      </c>
      <c r="F859" s="2" t="s">
        <v>5</v>
      </c>
      <c r="G859" s="2" t="s">
        <v>82</v>
      </c>
      <c r="H859" s="2" t="s">
        <v>237</v>
      </c>
      <c r="I859" s="2" t="s">
        <v>3393</v>
      </c>
      <c r="J859" s="3">
        <v>29.83</v>
      </c>
      <c r="K859" s="3">
        <v>29.83</v>
      </c>
      <c r="L859" s="2" t="s">
        <v>3391</v>
      </c>
      <c r="M859" s="2" t="s">
        <v>9</v>
      </c>
      <c r="N859" s="3">
        <v>324</v>
      </c>
      <c r="O859" s="2" t="s">
        <v>267</v>
      </c>
      <c r="P859" s="2" t="s">
        <v>419</v>
      </c>
      <c r="Q859" s="3"/>
      <c r="R859" s="3"/>
      <c r="S859" s="2" t="s">
        <v>21</v>
      </c>
      <c r="T859" s="4">
        <v>44955</v>
      </c>
      <c r="U859" s="2" t="s">
        <v>3190</v>
      </c>
      <c r="V859" s="6">
        <f>(Real_Sales[[#This Row],[Price_retail]]-Real_Sales[[#This Row],[Price_current]])/Real_Sales[[#This Row],[Price_retail]]</f>
        <v>0</v>
      </c>
      <c r="W859" s="3" t="str" cm="1">
        <f t="array" ref="W85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59" s="2" t="str">
        <f>IF(Real_Sales[[#This Row],[Price_retail]]&gt;$AC$3,"Premium","Average")</f>
        <v>Premium</v>
      </c>
      <c r="Y859" s="2" t="str">
        <f>IF(ISNUMBER(SEARCH("Basic",Real_Sales[[#This Row],[Product_name]])),"Yes","No")</f>
        <v>No</v>
      </c>
      <c r="Z859" s="2" cm="1">
        <f t="array" ref="Z859">_xlfn.IFS(Real_Sales[[#This Row],[Price_retail]]&lt;=15,1, Real_Sales[[#This Row],[Price_retail]]&lt;=30,2, Real_Sales[[#This Row],[Price_retail]]&lt;=50,3,Real_Sales[[#This Row],[Price_retail]]&gt;50,4)</f>
        <v>2</v>
      </c>
    </row>
    <row r="860" spans="1:26" x14ac:dyDescent="0.35">
      <c r="A860" s="2" t="s">
        <v>1941</v>
      </c>
      <c r="B860" s="2" t="s">
        <v>1942</v>
      </c>
      <c r="C860" s="2" t="s">
        <v>3407</v>
      </c>
      <c r="D860" s="2" t="s">
        <v>1161</v>
      </c>
      <c r="E860" s="2" t="s">
        <v>4</v>
      </c>
      <c r="F860" s="2" t="s">
        <v>17</v>
      </c>
      <c r="G860" s="2" t="s">
        <v>50</v>
      </c>
      <c r="H860" s="2" t="s">
        <v>28</v>
      </c>
      <c r="I860" s="2" t="s">
        <v>3393</v>
      </c>
      <c r="J860" s="3">
        <v>29.84</v>
      </c>
      <c r="K860" s="3">
        <v>29.84</v>
      </c>
      <c r="L860" s="2" t="s">
        <v>3391</v>
      </c>
      <c r="M860" s="2" t="s">
        <v>9</v>
      </c>
      <c r="N860" s="3">
        <v>811</v>
      </c>
      <c r="O860" s="2" t="s">
        <v>261</v>
      </c>
      <c r="P860" s="2" t="s">
        <v>238</v>
      </c>
      <c r="Q860" s="3"/>
      <c r="R860" s="3"/>
      <c r="S860" s="2" t="s">
        <v>12</v>
      </c>
      <c r="T860" s="4">
        <v>44955</v>
      </c>
      <c r="U860" s="2" t="s">
        <v>1943</v>
      </c>
      <c r="V860" s="6">
        <f>(Real_Sales[[#This Row],[Price_retail]]-Real_Sales[[#This Row],[Price_current]])/Real_Sales[[#This Row],[Price_retail]]</f>
        <v>0</v>
      </c>
      <c r="W860" s="3" t="str" cm="1">
        <f t="array" ref="W86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0" s="2" t="str">
        <f>IF(Real_Sales[[#This Row],[Price_retail]]&gt;$AC$3,"Premium","Average")</f>
        <v>Premium</v>
      </c>
      <c r="Y860" s="2" t="str">
        <f>IF(ISNUMBER(SEARCH("Basic",Real_Sales[[#This Row],[Product_name]])),"Yes","No")</f>
        <v>Yes</v>
      </c>
      <c r="Z860" s="2" cm="1">
        <f t="array" ref="Z860">_xlfn.IFS(Real_Sales[[#This Row],[Price_retail]]&lt;=15,1, Real_Sales[[#This Row],[Price_retail]]&lt;=30,2, Real_Sales[[#This Row],[Price_retail]]&lt;=50,3,Real_Sales[[#This Row],[Price_retail]]&gt;50,4)</f>
        <v>2</v>
      </c>
    </row>
    <row r="861" spans="1:26" x14ac:dyDescent="0.35">
      <c r="A861" s="2" t="s">
        <v>1068</v>
      </c>
      <c r="B861" s="2" t="s">
        <v>1069</v>
      </c>
      <c r="C861" s="2" t="s">
        <v>318</v>
      </c>
      <c r="D861" s="2" t="s">
        <v>450</v>
      </c>
      <c r="E861" s="2" t="s">
        <v>4</v>
      </c>
      <c r="F861" s="2" t="s">
        <v>5</v>
      </c>
      <c r="G861" s="2" t="s">
        <v>121</v>
      </c>
      <c r="H861" s="2" t="s">
        <v>59</v>
      </c>
      <c r="I861" s="2" t="s">
        <v>3389</v>
      </c>
      <c r="J861" s="3">
        <v>29.99</v>
      </c>
      <c r="K861" s="3">
        <v>29.99</v>
      </c>
      <c r="L861" s="2" t="s">
        <v>3391</v>
      </c>
      <c r="M861" s="2" t="s">
        <v>9</v>
      </c>
      <c r="N861" s="3">
        <v>446</v>
      </c>
      <c r="O861" s="2" t="s">
        <v>43</v>
      </c>
      <c r="P861" s="2" t="s">
        <v>215</v>
      </c>
      <c r="Q861" s="3"/>
      <c r="R861" s="3"/>
      <c r="S861" s="2" t="s">
        <v>12</v>
      </c>
      <c r="T861" s="4">
        <v>44955</v>
      </c>
      <c r="U861" s="2" t="s">
        <v>1070</v>
      </c>
      <c r="V861" s="6">
        <f>(Real_Sales[[#This Row],[Price_retail]]-Real_Sales[[#This Row],[Price_current]])/Real_Sales[[#This Row],[Price_retail]]</f>
        <v>0</v>
      </c>
      <c r="W861" s="3" t="str" cm="1">
        <f t="array" ref="W86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1" s="2" t="str">
        <f>IF(Real_Sales[[#This Row],[Price_retail]]&gt;$AC$3,"Premium","Average")</f>
        <v>Premium</v>
      </c>
      <c r="Y861" s="2" t="str">
        <f>IF(ISNUMBER(SEARCH("Basic",Real_Sales[[#This Row],[Product_name]])),"Yes","No")</f>
        <v>No</v>
      </c>
      <c r="Z861" s="2" cm="1">
        <f t="array" ref="Z861">_xlfn.IFS(Real_Sales[[#This Row],[Price_retail]]&lt;=15,1, Real_Sales[[#This Row],[Price_retail]]&lt;=30,2, Real_Sales[[#This Row],[Price_retail]]&lt;=50,3,Real_Sales[[#This Row],[Price_retail]]&gt;50,4)</f>
        <v>2</v>
      </c>
    </row>
    <row r="862" spans="1:26" x14ac:dyDescent="0.35">
      <c r="A862" s="2" t="s">
        <v>828</v>
      </c>
      <c r="B862" s="2" t="s">
        <v>829</v>
      </c>
      <c r="C862" s="2" t="s">
        <v>797</v>
      </c>
      <c r="D862" s="2" t="s">
        <v>474</v>
      </c>
      <c r="E862" s="2" t="s">
        <v>4</v>
      </c>
      <c r="F862" s="2" t="s">
        <v>17</v>
      </c>
      <c r="G862" s="2" t="s">
        <v>18</v>
      </c>
      <c r="H862" s="2" t="s">
        <v>83</v>
      </c>
      <c r="I862" s="2" t="s">
        <v>3393</v>
      </c>
      <c r="J862" s="3">
        <v>30.04</v>
      </c>
      <c r="K862" s="3">
        <v>30.04</v>
      </c>
      <c r="L862" s="2" t="s">
        <v>3391</v>
      </c>
      <c r="M862" s="2" t="s">
        <v>9</v>
      </c>
      <c r="N862" s="3">
        <v>74</v>
      </c>
      <c r="O862" s="2" t="s">
        <v>3392</v>
      </c>
      <c r="P862" s="2" t="s">
        <v>192</v>
      </c>
      <c r="Q862" s="3"/>
      <c r="R862" s="3"/>
      <c r="S862" s="2" t="s">
        <v>21</v>
      </c>
      <c r="T862" s="4">
        <v>44955</v>
      </c>
      <c r="U862" s="2" t="s">
        <v>830</v>
      </c>
      <c r="V862" s="6">
        <f>(Real_Sales[[#This Row],[Price_retail]]-Real_Sales[[#This Row],[Price_current]])/Real_Sales[[#This Row],[Price_retail]]</f>
        <v>0</v>
      </c>
      <c r="W862" s="3" t="str" cm="1">
        <f t="array" ref="W8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2" s="2" t="str">
        <f>IF(Real_Sales[[#This Row],[Price_retail]]&gt;$AC$3,"Premium","Average")</f>
        <v>Premium</v>
      </c>
      <c r="Y862" s="2" t="str">
        <f>IF(ISNUMBER(SEARCH("Basic",Real_Sales[[#This Row],[Product_name]])),"Yes","No")</f>
        <v>No</v>
      </c>
      <c r="Z862" s="2" cm="1">
        <f t="array" ref="Z862">_xlfn.IFS(Real_Sales[[#This Row],[Price_retail]]&lt;=15,1, Real_Sales[[#This Row],[Price_retail]]&lt;=30,2, Real_Sales[[#This Row],[Price_retail]]&lt;=50,3,Real_Sales[[#This Row],[Price_retail]]&gt;50,4)</f>
        <v>3</v>
      </c>
    </row>
    <row r="863" spans="1:26" x14ac:dyDescent="0.35">
      <c r="A863" s="2" t="s">
        <v>2650</v>
      </c>
      <c r="B863" s="2" t="s">
        <v>2651</v>
      </c>
      <c r="C863" s="2" t="s">
        <v>585</v>
      </c>
      <c r="D863" s="2" t="s">
        <v>103</v>
      </c>
      <c r="E863" s="2" t="s">
        <v>4</v>
      </c>
      <c r="F863" s="2" t="s">
        <v>17</v>
      </c>
      <c r="G863" s="2" t="s">
        <v>27</v>
      </c>
      <c r="H863" s="2" t="s">
        <v>19</v>
      </c>
      <c r="I863" s="2" t="s">
        <v>3390</v>
      </c>
      <c r="J863" s="3">
        <v>30.05</v>
      </c>
      <c r="K863" s="3">
        <v>15.02</v>
      </c>
      <c r="L863" s="2" t="s">
        <v>8</v>
      </c>
      <c r="M863" s="2" t="s">
        <v>9</v>
      </c>
      <c r="N863" s="3">
        <v>854</v>
      </c>
      <c r="O863" s="2" t="s">
        <v>191</v>
      </c>
      <c r="P863" s="2" t="s">
        <v>3392</v>
      </c>
      <c r="Q863" s="3"/>
      <c r="R863" s="3"/>
      <c r="S863" s="2" t="s">
        <v>21</v>
      </c>
      <c r="T863" s="4">
        <v>44955</v>
      </c>
      <c r="U863" s="2" t="s">
        <v>2652</v>
      </c>
      <c r="V863" s="6">
        <f>(Real_Sales[[#This Row],[Price_retail]]-Real_Sales[[#This Row],[Price_current]])/Real_Sales[[#This Row],[Price_retail]]</f>
        <v>0.5001663893510816</v>
      </c>
      <c r="W863" s="3" t="str" cm="1">
        <f t="array" ref="W86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63" s="2" t="str">
        <f>IF(Real_Sales[[#This Row],[Price_retail]]&gt;$AC$3,"Premium","Average")</f>
        <v>Premium</v>
      </c>
      <c r="Y863" s="2" t="str">
        <f>IF(ISNUMBER(SEARCH("Basic",Real_Sales[[#This Row],[Product_name]])),"Yes","No")</f>
        <v>No</v>
      </c>
      <c r="Z863" s="2" cm="1">
        <f t="array" ref="Z863">_xlfn.IFS(Real_Sales[[#This Row],[Price_retail]]&lt;=15,1, Real_Sales[[#This Row],[Price_retail]]&lt;=30,2, Real_Sales[[#This Row],[Price_retail]]&lt;=50,3,Real_Sales[[#This Row],[Price_retail]]&gt;50,4)</f>
        <v>3</v>
      </c>
    </row>
    <row r="864" spans="1:26" x14ac:dyDescent="0.35">
      <c r="A864" s="2" t="s">
        <v>610</v>
      </c>
      <c r="B864" s="2" t="s">
        <v>611</v>
      </c>
      <c r="C864" s="2" t="s">
        <v>367</v>
      </c>
      <c r="D864" s="2" t="s">
        <v>612</v>
      </c>
      <c r="E864" s="2" t="s">
        <v>4</v>
      </c>
      <c r="F864" s="2" t="s">
        <v>17</v>
      </c>
      <c r="G864" s="2" t="s">
        <v>18</v>
      </c>
      <c r="H864" s="2" t="s">
        <v>59</v>
      </c>
      <c r="I864" s="2" t="s">
        <v>3395</v>
      </c>
      <c r="J864" s="3">
        <v>30.17</v>
      </c>
      <c r="K864" s="3">
        <v>30.17</v>
      </c>
      <c r="L864" s="2" t="s">
        <v>3391</v>
      </c>
      <c r="M864" s="2" t="s">
        <v>9</v>
      </c>
      <c r="N864" s="3">
        <v>469</v>
      </c>
      <c r="O864" s="2" t="s">
        <v>3392</v>
      </c>
      <c r="P864" s="2" t="s">
        <v>186</v>
      </c>
      <c r="Q864" s="3"/>
      <c r="R864" s="3"/>
      <c r="S864" s="2" t="s">
        <v>21</v>
      </c>
      <c r="T864" s="4">
        <v>44955</v>
      </c>
      <c r="U864" s="2" t="s">
        <v>613</v>
      </c>
      <c r="V864" s="6">
        <f>(Real_Sales[[#This Row],[Price_retail]]-Real_Sales[[#This Row],[Price_current]])/Real_Sales[[#This Row],[Price_retail]]</f>
        <v>0</v>
      </c>
      <c r="W864" s="3" t="str" cm="1">
        <f t="array" ref="W86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4" s="2" t="str">
        <f>IF(Real_Sales[[#This Row],[Price_retail]]&gt;$AC$3,"Premium","Average")</f>
        <v>Premium</v>
      </c>
      <c r="Y864" s="2" t="str">
        <f>IF(ISNUMBER(SEARCH("Basic",Real_Sales[[#This Row],[Product_name]])),"Yes","No")</f>
        <v>Yes</v>
      </c>
      <c r="Z864" s="2" cm="1">
        <f t="array" ref="Z864">_xlfn.IFS(Real_Sales[[#This Row],[Price_retail]]&lt;=15,1, Real_Sales[[#This Row],[Price_retail]]&lt;=30,2, Real_Sales[[#This Row],[Price_retail]]&lt;=50,3,Real_Sales[[#This Row],[Price_retail]]&gt;50,4)</f>
        <v>3</v>
      </c>
    </row>
    <row r="865" spans="1:26" x14ac:dyDescent="0.35">
      <c r="A865" s="2" t="s">
        <v>1198</v>
      </c>
      <c r="B865" s="2" t="s">
        <v>1199</v>
      </c>
      <c r="C865" s="2" t="s">
        <v>2</v>
      </c>
      <c r="D865" s="2" t="s">
        <v>138</v>
      </c>
      <c r="E865" s="2" t="s">
        <v>4</v>
      </c>
      <c r="F865" s="2" t="s">
        <v>5</v>
      </c>
      <c r="G865" s="2" t="s">
        <v>82</v>
      </c>
      <c r="H865" s="2" t="s">
        <v>139</v>
      </c>
      <c r="I865" s="2" t="s">
        <v>3395</v>
      </c>
      <c r="J865" s="3">
        <v>30.24</v>
      </c>
      <c r="K865" s="3">
        <v>19.05</v>
      </c>
      <c r="L865" s="2" t="s">
        <v>8</v>
      </c>
      <c r="M865" s="2" t="s">
        <v>9</v>
      </c>
      <c r="N865" s="3">
        <v>220</v>
      </c>
      <c r="O865" s="2" t="s">
        <v>91</v>
      </c>
      <c r="P865" s="2" t="s">
        <v>3392</v>
      </c>
      <c r="Q865" s="3"/>
      <c r="R865" s="3"/>
      <c r="S865" s="2" t="s">
        <v>12</v>
      </c>
      <c r="T865" s="4">
        <v>44955</v>
      </c>
      <c r="U865" s="2" t="s">
        <v>1200</v>
      </c>
      <c r="V865" s="6">
        <f>(Real_Sales[[#This Row],[Price_retail]]-Real_Sales[[#This Row],[Price_current]])/Real_Sales[[#This Row],[Price_retail]]</f>
        <v>0.3700396825396825</v>
      </c>
      <c r="W865" s="3" t="str" cm="1">
        <f t="array" ref="W86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65" s="2" t="str">
        <f>IF(Real_Sales[[#This Row],[Price_retail]]&gt;$AC$3,"Premium","Average")</f>
        <v>Premium</v>
      </c>
      <c r="Y865" s="2" t="str">
        <f>IF(ISNUMBER(SEARCH("Basic",Real_Sales[[#This Row],[Product_name]])),"Yes","No")</f>
        <v>Yes</v>
      </c>
      <c r="Z865" s="2" cm="1">
        <f t="array" ref="Z865">_xlfn.IFS(Real_Sales[[#This Row],[Price_retail]]&lt;=15,1, Real_Sales[[#This Row],[Price_retail]]&lt;=30,2, Real_Sales[[#This Row],[Price_retail]]&lt;=50,3,Real_Sales[[#This Row],[Price_retail]]&gt;50,4)</f>
        <v>3</v>
      </c>
    </row>
    <row r="866" spans="1:26" x14ac:dyDescent="0.35">
      <c r="A866" s="2" t="s">
        <v>2411</v>
      </c>
      <c r="B866" s="2" t="s">
        <v>2412</v>
      </c>
      <c r="C866" s="2" t="s">
        <v>469</v>
      </c>
      <c r="D866" s="2" t="s">
        <v>573</v>
      </c>
      <c r="E866" s="2" t="s">
        <v>4</v>
      </c>
      <c r="F866" s="2" t="s">
        <v>5</v>
      </c>
      <c r="G866" s="2" t="s">
        <v>82</v>
      </c>
      <c r="H866" s="2" t="s">
        <v>68</v>
      </c>
      <c r="I866" s="2" t="s">
        <v>3390</v>
      </c>
      <c r="J866" s="3">
        <v>30.25</v>
      </c>
      <c r="K866" s="3">
        <v>30.25</v>
      </c>
      <c r="L866" s="2" t="s">
        <v>3391</v>
      </c>
      <c r="M866" s="2" t="s">
        <v>9</v>
      </c>
      <c r="N866" s="3">
        <v>517</v>
      </c>
      <c r="O866" s="2" t="s">
        <v>359</v>
      </c>
      <c r="P866" s="2" t="s">
        <v>92</v>
      </c>
      <c r="Q866" s="3"/>
      <c r="R866" s="3"/>
      <c r="S866" s="2" t="s">
        <v>21</v>
      </c>
      <c r="T866" s="4">
        <v>44955</v>
      </c>
      <c r="U866" s="2" t="s">
        <v>2413</v>
      </c>
      <c r="V866" s="6">
        <f>(Real_Sales[[#This Row],[Price_retail]]-Real_Sales[[#This Row],[Price_current]])/Real_Sales[[#This Row],[Price_retail]]</f>
        <v>0</v>
      </c>
      <c r="W866" s="3" t="str" cm="1">
        <f t="array" ref="W86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6" s="2" t="str">
        <f>IF(Real_Sales[[#This Row],[Price_retail]]&gt;$AC$3,"Premium","Average")</f>
        <v>Premium</v>
      </c>
      <c r="Y866" s="2" t="str">
        <f>IF(ISNUMBER(SEARCH("Basic",Real_Sales[[#This Row],[Product_name]])),"Yes","No")</f>
        <v>No</v>
      </c>
      <c r="Z866" s="2" cm="1">
        <f t="array" ref="Z866">_xlfn.IFS(Real_Sales[[#This Row],[Price_retail]]&lt;=15,1, Real_Sales[[#This Row],[Price_retail]]&lt;=30,2, Real_Sales[[#This Row],[Price_retail]]&lt;=50,3,Real_Sales[[#This Row],[Price_retail]]&gt;50,4)</f>
        <v>3</v>
      </c>
    </row>
    <row r="867" spans="1:26" x14ac:dyDescent="0.35">
      <c r="A867" s="2" t="s">
        <v>2344</v>
      </c>
      <c r="B867" s="2" t="s">
        <v>2345</v>
      </c>
      <c r="C867" s="2" t="s">
        <v>318</v>
      </c>
      <c r="D867" s="2" t="s">
        <v>905</v>
      </c>
      <c r="E867" s="2" t="s">
        <v>4</v>
      </c>
      <c r="F867" s="2" t="s">
        <v>5</v>
      </c>
      <c r="G867" s="2" t="s">
        <v>121</v>
      </c>
      <c r="H867" s="2" t="s">
        <v>28</v>
      </c>
      <c r="I867" s="2" t="s">
        <v>3390</v>
      </c>
      <c r="J867" s="3">
        <v>30.36</v>
      </c>
      <c r="K867" s="3">
        <v>25.95</v>
      </c>
      <c r="L867" s="2" t="s">
        <v>8</v>
      </c>
      <c r="M867" s="2" t="s">
        <v>9</v>
      </c>
      <c r="N867" s="3">
        <v>664</v>
      </c>
      <c r="O867" s="2" t="s">
        <v>359</v>
      </c>
      <c r="P867" s="2" t="s">
        <v>186</v>
      </c>
      <c r="Q867" s="3"/>
      <c r="R867" s="3"/>
      <c r="S867" s="2" t="s">
        <v>21</v>
      </c>
      <c r="T867" s="4">
        <v>44955</v>
      </c>
      <c r="U867" s="2" t="s">
        <v>2346</v>
      </c>
      <c r="V867" s="6">
        <f>(Real_Sales[[#This Row],[Price_retail]]-Real_Sales[[#This Row],[Price_current]])/Real_Sales[[#This Row],[Price_retail]]</f>
        <v>0.14525691699604742</v>
      </c>
      <c r="W867" s="3" t="str" cm="1">
        <f t="array" ref="W867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867" s="2" t="str">
        <f>IF(Real_Sales[[#This Row],[Price_retail]]&gt;$AC$3,"Premium","Average")</f>
        <v>Premium</v>
      </c>
      <c r="Y867" s="2" t="str">
        <f>IF(ISNUMBER(SEARCH("Basic",Real_Sales[[#This Row],[Product_name]])),"Yes","No")</f>
        <v>No</v>
      </c>
      <c r="Z867" s="2" cm="1">
        <f t="array" ref="Z867">_xlfn.IFS(Real_Sales[[#This Row],[Price_retail]]&lt;=15,1, Real_Sales[[#This Row],[Price_retail]]&lt;=30,2, Real_Sales[[#This Row],[Price_retail]]&lt;=50,3,Real_Sales[[#This Row],[Price_retail]]&gt;50,4)</f>
        <v>3</v>
      </c>
    </row>
    <row r="868" spans="1:26" x14ac:dyDescent="0.35">
      <c r="A868" s="2" t="s">
        <v>179</v>
      </c>
      <c r="B868" s="2" t="s">
        <v>180</v>
      </c>
      <c r="C868" s="2" t="s">
        <v>65</v>
      </c>
      <c r="D868" s="2" t="s">
        <v>181</v>
      </c>
      <c r="E868" s="2" t="s">
        <v>4</v>
      </c>
      <c r="F868" s="2" t="s">
        <v>5</v>
      </c>
      <c r="G868" s="2" t="s">
        <v>121</v>
      </c>
      <c r="H868" s="2" t="s">
        <v>68</v>
      </c>
      <c r="I868" s="2" t="s">
        <v>3393</v>
      </c>
      <c r="J868" s="3">
        <v>30.39</v>
      </c>
      <c r="K868" s="3">
        <v>30.39</v>
      </c>
      <c r="L868" s="2" t="s">
        <v>3391</v>
      </c>
      <c r="M868" s="2" t="s">
        <v>9</v>
      </c>
      <c r="N868" s="3">
        <v>374</v>
      </c>
      <c r="O868" s="2" t="s">
        <v>75</v>
      </c>
      <c r="P868" s="2" t="s">
        <v>163</v>
      </c>
      <c r="Q868" s="3"/>
      <c r="R868" s="3"/>
      <c r="S868" s="2" t="s">
        <v>12</v>
      </c>
      <c r="T868" s="4">
        <v>44955</v>
      </c>
      <c r="U868" s="2" t="s">
        <v>182</v>
      </c>
      <c r="V868" s="6">
        <f>(Real_Sales[[#This Row],[Price_retail]]-Real_Sales[[#This Row],[Price_current]])/Real_Sales[[#This Row],[Price_retail]]</f>
        <v>0</v>
      </c>
      <c r="W868" s="3" t="str" cm="1">
        <f t="array" ref="W8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8" s="2" t="str">
        <f>IF(Real_Sales[[#This Row],[Price_retail]]&gt;$AC$3,"Premium","Average")</f>
        <v>Premium</v>
      </c>
      <c r="Y868" s="2" t="str">
        <f>IF(ISNUMBER(SEARCH("Basic",Real_Sales[[#This Row],[Product_name]])),"Yes","No")</f>
        <v>No</v>
      </c>
      <c r="Z868" s="2" cm="1">
        <f t="array" ref="Z868">_xlfn.IFS(Real_Sales[[#This Row],[Price_retail]]&lt;=15,1, Real_Sales[[#This Row],[Price_retail]]&lt;=30,2, Real_Sales[[#This Row],[Price_retail]]&lt;=50,3,Real_Sales[[#This Row],[Price_retail]]&gt;50,4)</f>
        <v>3</v>
      </c>
    </row>
    <row r="869" spans="1:26" x14ac:dyDescent="0.35">
      <c r="A869" s="2" t="s">
        <v>3092</v>
      </c>
      <c r="B869" s="2" t="s">
        <v>3093</v>
      </c>
      <c r="C869" s="2" t="s">
        <v>65</v>
      </c>
      <c r="D869" s="2" t="s">
        <v>704</v>
      </c>
      <c r="E869" s="2" t="s">
        <v>4</v>
      </c>
      <c r="F869" s="2" t="s">
        <v>17</v>
      </c>
      <c r="G869" s="2" t="s">
        <v>50</v>
      </c>
      <c r="H869" s="2" t="s">
        <v>51</v>
      </c>
      <c r="I869" s="2" t="s">
        <v>3390</v>
      </c>
      <c r="J869" s="3">
        <v>30.39</v>
      </c>
      <c r="K869" s="3">
        <v>30.39</v>
      </c>
      <c r="L869" s="2" t="s">
        <v>3391</v>
      </c>
      <c r="M869" s="2" t="s">
        <v>9</v>
      </c>
      <c r="N869" s="3">
        <v>403</v>
      </c>
      <c r="O869" s="2" t="s">
        <v>75</v>
      </c>
      <c r="P869" s="2" t="s">
        <v>76</v>
      </c>
      <c r="Q869" s="3"/>
      <c r="R869" s="3"/>
      <c r="S869" s="2" t="s">
        <v>21</v>
      </c>
      <c r="T869" s="4">
        <v>44955</v>
      </c>
      <c r="U869" s="2" t="s">
        <v>3094</v>
      </c>
      <c r="V869" s="6">
        <f>(Real_Sales[[#This Row],[Price_retail]]-Real_Sales[[#This Row],[Price_current]])/Real_Sales[[#This Row],[Price_retail]]</f>
        <v>0</v>
      </c>
      <c r="W869" s="3" t="str" cm="1">
        <f t="array" ref="W86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69" s="2" t="str">
        <f>IF(Real_Sales[[#This Row],[Price_retail]]&gt;$AC$3,"Premium","Average")</f>
        <v>Premium</v>
      </c>
      <c r="Y869" s="2" t="str">
        <f>IF(ISNUMBER(SEARCH("Basic",Real_Sales[[#This Row],[Product_name]])),"Yes","No")</f>
        <v>No</v>
      </c>
      <c r="Z869" s="2" cm="1">
        <f t="array" ref="Z869">_xlfn.IFS(Real_Sales[[#This Row],[Price_retail]]&lt;=15,1, Real_Sales[[#This Row],[Price_retail]]&lt;=30,2, Real_Sales[[#This Row],[Price_retail]]&lt;=50,3,Real_Sales[[#This Row],[Price_retail]]&gt;50,4)</f>
        <v>3</v>
      </c>
    </row>
    <row r="870" spans="1:26" x14ac:dyDescent="0.35">
      <c r="A870" s="2" t="s">
        <v>3155</v>
      </c>
      <c r="B870" s="2" t="s">
        <v>3156</v>
      </c>
      <c r="C870" s="2" t="s">
        <v>412</v>
      </c>
      <c r="D870" s="2" t="s">
        <v>600</v>
      </c>
      <c r="E870" s="2" t="s">
        <v>4</v>
      </c>
      <c r="F870" s="2" t="s">
        <v>17</v>
      </c>
      <c r="G870" s="2" t="s">
        <v>27</v>
      </c>
      <c r="H870" s="2" t="s">
        <v>134</v>
      </c>
      <c r="I870" s="2" t="s">
        <v>3390</v>
      </c>
      <c r="J870" s="3">
        <v>30.47</v>
      </c>
      <c r="K870" s="3">
        <v>30.47</v>
      </c>
      <c r="L870" s="2" t="s">
        <v>3391</v>
      </c>
      <c r="M870" s="2" t="s">
        <v>9</v>
      </c>
      <c r="N870" s="3">
        <v>715</v>
      </c>
      <c r="O870" s="2" t="s">
        <v>3392</v>
      </c>
      <c r="P870" s="2" t="s">
        <v>76</v>
      </c>
      <c r="Q870" s="3"/>
      <c r="R870" s="3"/>
      <c r="S870" s="2" t="s">
        <v>21</v>
      </c>
      <c r="T870" s="4">
        <v>44955</v>
      </c>
      <c r="U870" s="2" t="s">
        <v>3157</v>
      </c>
      <c r="V870" s="6">
        <f>(Real_Sales[[#This Row],[Price_retail]]-Real_Sales[[#This Row],[Price_current]])/Real_Sales[[#This Row],[Price_retail]]</f>
        <v>0</v>
      </c>
      <c r="W870" s="3" t="str" cm="1">
        <f t="array" ref="W87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0" s="2" t="str">
        <f>IF(Real_Sales[[#This Row],[Price_retail]]&gt;$AC$3,"Premium","Average")</f>
        <v>Premium</v>
      </c>
      <c r="Y870" s="2" t="str">
        <f>IF(ISNUMBER(SEARCH("Basic",Real_Sales[[#This Row],[Product_name]])),"Yes","No")</f>
        <v>No</v>
      </c>
      <c r="Z870" s="2" cm="1">
        <f t="array" ref="Z870">_xlfn.IFS(Real_Sales[[#This Row],[Price_retail]]&lt;=15,1, Real_Sales[[#This Row],[Price_retail]]&lt;=30,2, Real_Sales[[#This Row],[Price_retail]]&lt;=50,3,Real_Sales[[#This Row],[Price_retail]]&gt;50,4)</f>
        <v>3</v>
      </c>
    </row>
    <row r="871" spans="1:26" x14ac:dyDescent="0.35">
      <c r="A871" s="2" t="s">
        <v>1042</v>
      </c>
      <c r="B871" s="2" t="s">
        <v>1043</v>
      </c>
      <c r="C871" s="2" t="s">
        <v>387</v>
      </c>
      <c r="D871" s="2" t="s">
        <v>894</v>
      </c>
      <c r="E871" s="2" t="s">
        <v>4</v>
      </c>
      <c r="F871" s="2" t="s">
        <v>5</v>
      </c>
      <c r="G871" s="2" t="s">
        <v>6</v>
      </c>
      <c r="H871" s="2" t="s">
        <v>145</v>
      </c>
      <c r="I871" s="2" t="s">
        <v>3393</v>
      </c>
      <c r="J871" s="3">
        <v>30.52</v>
      </c>
      <c r="K871" s="3">
        <v>30.52</v>
      </c>
      <c r="L871" s="2" t="s">
        <v>3391</v>
      </c>
      <c r="M871" s="2" t="s">
        <v>9</v>
      </c>
      <c r="N871" s="3">
        <v>662</v>
      </c>
      <c r="O871" s="2" t="s">
        <v>104</v>
      </c>
      <c r="P871" s="2" t="s">
        <v>186</v>
      </c>
      <c r="Q871" s="3"/>
      <c r="R871" s="3"/>
      <c r="S871" s="2" t="s">
        <v>21</v>
      </c>
      <c r="T871" s="4">
        <v>44955</v>
      </c>
      <c r="U871" s="2" t="s">
        <v>1044</v>
      </c>
      <c r="V871" s="6">
        <f>(Real_Sales[[#This Row],[Price_retail]]-Real_Sales[[#This Row],[Price_current]])/Real_Sales[[#This Row],[Price_retail]]</f>
        <v>0</v>
      </c>
      <c r="W871" s="3" t="str" cm="1">
        <f t="array" ref="W87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1" s="2" t="str">
        <f>IF(Real_Sales[[#This Row],[Price_retail]]&gt;$AC$3,"Premium","Average")</f>
        <v>Premium</v>
      </c>
      <c r="Y871" s="2" t="str">
        <f>IF(ISNUMBER(SEARCH("Basic",Real_Sales[[#This Row],[Product_name]])),"Yes","No")</f>
        <v>No</v>
      </c>
      <c r="Z871" s="2" cm="1">
        <f t="array" ref="Z871">_xlfn.IFS(Real_Sales[[#This Row],[Price_retail]]&lt;=15,1, Real_Sales[[#This Row],[Price_retail]]&lt;=30,2, Real_Sales[[#This Row],[Price_retail]]&lt;=50,3,Real_Sales[[#This Row],[Price_retail]]&gt;50,4)</f>
        <v>3</v>
      </c>
    </row>
    <row r="872" spans="1:26" x14ac:dyDescent="0.35">
      <c r="A872" s="2" t="s">
        <v>2950</v>
      </c>
      <c r="B872" s="2" t="s">
        <v>2951</v>
      </c>
      <c r="C872" s="2" t="s">
        <v>48</v>
      </c>
      <c r="D872" s="2" t="s">
        <v>814</v>
      </c>
      <c r="E872" s="2" t="s">
        <v>4</v>
      </c>
      <c r="F872" s="2" t="s">
        <v>5</v>
      </c>
      <c r="G872" s="2" t="s">
        <v>6</v>
      </c>
      <c r="H872" s="2" t="s">
        <v>418</v>
      </c>
      <c r="I872" s="2" t="s">
        <v>3393</v>
      </c>
      <c r="J872" s="3">
        <v>30.57</v>
      </c>
      <c r="K872" s="3">
        <v>30.57</v>
      </c>
      <c r="L872" s="2" t="s">
        <v>3391</v>
      </c>
      <c r="M872" s="2" t="s">
        <v>9</v>
      </c>
      <c r="N872" s="3">
        <v>248</v>
      </c>
      <c r="O872" s="2" t="s">
        <v>261</v>
      </c>
      <c r="P872" s="2" t="s">
        <v>177</v>
      </c>
      <c r="Q872" s="3"/>
      <c r="R872" s="3"/>
      <c r="S872" s="2" t="s">
        <v>12</v>
      </c>
      <c r="T872" s="4">
        <v>44955</v>
      </c>
      <c r="U872" s="2" t="s">
        <v>2952</v>
      </c>
      <c r="V872" s="6">
        <f>(Real_Sales[[#This Row],[Price_retail]]-Real_Sales[[#This Row],[Price_current]])/Real_Sales[[#This Row],[Price_retail]]</f>
        <v>0</v>
      </c>
      <c r="W872" s="3" t="str" cm="1">
        <f t="array" ref="W87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2" s="2" t="str">
        <f>IF(Real_Sales[[#This Row],[Price_retail]]&gt;$AC$3,"Premium","Average")</f>
        <v>Premium</v>
      </c>
      <c r="Y872" s="2" t="str">
        <f>IF(ISNUMBER(SEARCH("Basic",Real_Sales[[#This Row],[Product_name]])),"Yes","No")</f>
        <v>No</v>
      </c>
      <c r="Z872" s="2" cm="1">
        <f t="array" ref="Z872">_xlfn.IFS(Real_Sales[[#This Row],[Price_retail]]&lt;=15,1, Real_Sales[[#This Row],[Price_retail]]&lt;=30,2, Real_Sales[[#This Row],[Price_retail]]&lt;=50,3,Real_Sales[[#This Row],[Price_retail]]&gt;50,4)</f>
        <v>3</v>
      </c>
    </row>
    <row r="873" spans="1:26" x14ac:dyDescent="0.35">
      <c r="A873" s="2" t="s">
        <v>2686</v>
      </c>
      <c r="B873" s="2" t="s">
        <v>2687</v>
      </c>
      <c r="C873" s="2" t="s">
        <v>306</v>
      </c>
      <c r="D873" s="2" t="s">
        <v>358</v>
      </c>
      <c r="E873" s="2" t="s">
        <v>4</v>
      </c>
      <c r="F873" s="2" t="s">
        <v>5</v>
      </c>
      <c r="G873" s="2" t="s">
        <v>6</v>
      </c>
      <c r="H873" s="2" t="s">
        <v>333</v>
      </c>
      <c r="I873" s="2" t="s">
        <v>3390</v>
      </c>
      <c r="J873" s="3">
        <v>30.63</v>
      </c>
      <c r="K873" s="3">
        <v>18.05</v>
      </c>
      <c r="L873" s="2" t="s">
        <v>8</v>
      </c>
      <c r="M873" s="2" t="s">
        <v>9</v>
      </c>
      <c r="N873" s="3">
        <v>96</v>
      </c>
      <c r="O873" s="2" t="s">
        <v>664</v>
      </c>
      <c r="P873" s="2" t="s">
        <v>44</v>
      </c>
      <c r="Q873" s="3"/>
      <c r="R873" s="3"/>
      <c r="S873" s="2" t="s">
        <v>21</v>
      </c>
      <c r="T873" s="4">
        <v>44955</v>
      </c>
      <c r="U873" s="2" t="s">
        <v>2688</v>
      </c>
      <c r="V873" s="6">
        <f>(Real_Sales[[#This Row],[Price_retail]]-Real_Sales[[#This Row],[Price_current]])/Real_Sales[[#This Row],[Price_retail]]</f>
        <v>0.41070845576232445</v>
      </c>
      <c r="W873" s="3" t="str" cm="1">
        <f t="array" ref="W87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73" s="2" t="str">
        <f>IF(Real_Sales[[#This Row],[Price_retail]]&gt;$AC$3,"Premium","Average")</f>
        <v>Premium</v>
      </c>
      <c r="Y873" s="2" t="str">
        <f>IF(ISNUMBER(SEARCH("Basic",Real_Sales[[#This Row],[Product_name]])),"Yes","No")</f>
        <v>No</v>
      </c>
      <c r="Z873" s="2" cm="1">
        <f t="array" ref="Z873">_xlfn.IFS(Real_Sales[[#This Row],[Price_retail]]&lt;=15,1, Real_Sales[[#This Row],[Price_retail]]&lt;=30,2, Real_Sales[[#This Row],[Price_retail]]&lt;=50,3,Real_Sales[[#This Row],[Price_retail]]&gt;50,4)</f>
        <v>3</v>
      </c>
    </row>
    <row r="874" spans="1:26" x14ac:dyDescent="0.35">
      <c r="A874" s="2" t="s">
        <v>1226</v>
      </c>
      <c r="B874" s="2" t="s">
        <v>1227</v>
      </c>
      <c r="C874" s="2" t="s">
        <v>616</v>
      </c>
      <c r="D874" s="2" t="s">
        <v>342</v>
      </c>
      <c r="E874" s="2" t="s">
        <v>4</v>
      </c>
      <c r="F874" s="2" t="s">
        <v>17</v>
      </c>
      <c r="G874" s="2" t="s">
        <v>27</v>
      </c>
      <c r="H874" s="2" t="s">
        <v>237</v>
      </c>
      <c r="I874" s="2" t="s">
        <v>3390</v>
      </c>
      <c r="J874" s="3">
        <v>30.7</v>
      </c>
      <c r="K874" s="3">
        <v>30.7</v>
      </c>
      <c r="L874" s="2" t="s">
        <v>3391</v>
      </c>
      <c r="M874" s="2" t="s">
        <v>9</v>
      </c>
      <c r="N874" s="3">
        <v>776</v>
      </c>
      <c r="O874" s="2" t="s">
        <v>20</v>
      </c>
      <c r="P874" s="2" t="s">
        <v>76</v>
      </c>
      <c r="Q874" s="3"/>
      <c r="R874" s="3"/>
      <c r="S874" s="2" t="s">
        <v>21</v>
      </c>
      <c r="T874" s="4">
        <v>44955</v>
      </c>
      <c r="U874" s="2" t="s">
        <v>1228</v>
      </c>
      <c r="V874" s="6">
        <f>(Real_Sales[[#This Row],[Price_retail]]-Real_Sales[[#This Row],[Price_current]])/Real_Sales[[#This Row],[Price_retail]]</f>
        <v>0</v>
      </c>
      <c r="W874" s="3" t="str" cm="1">
        <f t="array" ref="W87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4" s="2" t="str">
        <f>IF(Real_Sales[[#This Row],[Price_retail]]&gt;$AC$3,"Premium","Average")</f>
        <v>Premium</v>
      </c>
      <c r="Y874" s="2" t="str">
        <f>IF(ISNUMBER(SEARCH("Basic",Real_Sales[[#This Row],[Product_name]])),"Yes","No")</f>
        <v>No</v>
      </c>
      <c r="Z874" s="2" cm="1">
        <f t="array" ref="Z874">_xlfn.IFS(Real_Sales[[#This Row],[Price_retail]]&lt;=15,1, Real_Sales[[#This Row],[Price_retail]]&lt;=30,2, Real_Sales[[#This Row],[Price_retail]]&lt;=50,3,Real_Sales[[#This Row],[Price_retail]]&gt;50,4)</f>
        <v>3</v>
      </c>
    </row>
    <row r="875" spans="1:26" x14ac:dyDescent="0.35">
      <c r="A875" s="2" t="s">
        <v>2407</v>
      </c>
      <c r="B875" s="2" t="s">
        <v>2408</v>
      </c>
      <c r="C875" s="2" t="s">
        <v>2409</v>
      </c>
      <c r="D875" s="2" t="s">
        <v>153</v>
      </c>
      <c r="E875" s="2" t="s">
        <v>4</v>
      </c>
      <c r="F875" s="2" t="s">
        <v>17</v>
      </c>
      <c r="G875" s="2" t="s">
        <v>27</v>
      </c>
      <c r="H875" s="2" t="s">
        <v>28</v>
      </c>
      <c r="I875" s="2" t="s">
        <v>3393</v>
      </c>
      <c r="J875" s="3">
        <v>30.73</v>
      </c>
      <c r="K875" s="3">
        <v>30.73</v>
      </c>
      <c r="L875" s="2" t="s">
        <v>3391</v>
      </c>
      <c r="M875" s="2" t="s">
        <v>9</v>
      </c>
      <c r="N875" s="3">
        <v>569</v>
      </c>
      <c r="O875" s="2" t="s">
        <v>191</v>
      </c>
      <c r="P875" s="2" t="s">
        <v>3392</v>
      </c>
      <c r="Q875" s="3"/>
      <c r="R875" s="3"/>
      <c r="S875" s="2" t="s">
        <v>21</v>
      </c>
      <c r="T875" s="4">
        <v>44955</v>
      </c>
      <c r="U875" s="2" t="s">
        <v>2410</v>
      </c>
      <c r="V875" s="6">
        <f>(Real_Sales[[#This Row],[Price_retail]]-Real_Sales[[#This Row],[Price_current]])/Real_Sales[[#This Row],[Price_retail]]</f>
        <v>0</v>
      </c>
      <c r="W875" s="3" t="str" cm="1">
        <f t="array" ref="W87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5" s="2" t="str">
        <f>IF(Real_Sales[[#This Row],[Price_retail]]&gt;$AC$3,"Premium","Average")</f>
        <v>Premium</v>
      </c>
      <c r="Y875" s="2" t="str">
        <f>IF(ISNUMBER(SEARCH("Basic",Real_Sales[[#This Row],[Product_name]])),"Yes","No")</f>
        <v>No</v>
      </c>
      <c r="Z875" s="2" cm="1">
        <f t="array" ref="Z875">_xlfn.IFS(Real_Sales[[#This Row],[Price_retail]]&lt;=15,1, Real_Sales[[#This Row],[Price_retail]]&lt;=30,2, Real_Sales[[#This Row],[Price_retail]]&lt;=50,3,Real_Sales[[#This Row],[Price_retail]]&gt;50,4)</f>
        <v>3</v>
      </c>
    </row>
    <row r="876" spans="1:26" x14ac:dyDescent="0.35">
      <c r="A876" s="2" t="s">
        <v>2874</v>
      </c>
      <c r="B876" s="2" t="s">
        <v>2875</v>
      </c>
      <c r="C876" s="2" t="s">
        <v>721</v>
      </c>
      <c r="D876" s="2" t="s">
        <v>1602</v>
      </c>
      <c r="E876" s="2" t="s">
        <v>4</v>
      </c>
      <c r="F876" s="2" t="s">
        <v>5</v>
      </c>
      <c r="G876" s="2" t="s">
        <v>82</v>
      </c>
      <c r="H876" s="2" t="s">
        <v>418</v>
      </c>
      <c r="I876" s="2" t="s">
        <v>3390</v>
      </c>
      <c r="J876" s="3">
        <v>30.75</v>
      </c>
      <c r="K876" s="3">
        <v>30.75</v>
      </c>
      <c r="L876" s="2" t="s">
        <v>3391</v>
      </c>
      <c r="M876" s="2" t="s">
        <v>9</v>
      </c>
      <c r="N876" s="3">
        <v>691</v>
      </c>
      <c r="O876" s="2" t="s">
        <v>69</v>
      </c>
      <c r="P876" s="2" t="s">
        <v>92</v>
      </c>
      <c r="Q876" s="3"/>
      <c r="R876" s="3"/>
      <c r="S876" s="2" t="s">
        <v>12</v>
      </c>
      <c r="T876" s="4">
        <v>44955</v>
      </c>
      <c r="U876" s="2" t="s">
        <v>2876</v>
      </c>
      <c r="V876" s="6">
        <f>(Real_Sales[[#This Row],[Price_retail]]-Real_Sales[[#This Row],[Price_current]])/Real_Sales[[#This Row],[Price_retail]]</f>
        <v>0</v>
      </c>
      <c r="W876" s="3" t="str" cm="1">
        <f t="array" ref="W87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6" s="2" t="str">
        <f>IF(Real_Sales[[#This Row],[Price_retail]]&gt;$AC$3,"Premium","Average")</f>
        <v>Premium</v>
      </c>
      <c r="Y876" s="2" t="str">
        <f>IF(ISNUMBER(SEARCH("Basic",Real_Sales[[#This Row],[Product_name]])),"Yes","No")</f>
        <v>No</v>
      </c>
      <c r="Z876" s="2" cm="1">
        <f t="array" ref="Z876">_xlfn.IFS(Real_Sales[[#This Row],[Price_retail]]&lt;=15,1, Real_Sales[[#This Row],[Price_retail]]&lt;=30,2, Real_Sales[[#This Row],[Price_retail]]&lt;=50,3,Real_Sales[[#This Row],[Price_retail]]&gt;50,4)</f>
        <v>3</v>
      </c>
    </row>
    <row r="877" spans="1:26" x14ac:dyDescent="0.35">
      <c r="A877" s="2" t="s">
        <v>448</v>
      </c>
      <c r="B877" s="2" t="s">
        <v>449</v>
      </c>
      <c r="C877" s="2" t="s">
        <v>65</v>
      </c>
      <c r="D877" s="2" t="s">
        <v>450</v>
      </c>
      <c r="E877" s="2" t="s">
        <v>4</v>
      </c>
      <c r="F877" s="2" t="s">
        <v>5</v>
      </c>
      <c r="G877" s="2" t="s">
        <v>6</v>
      </c>
      <c r="H877" s="2" t="s">
        <v>59</v>
      </c>
      <c r="I877" s="2" t="s">
        <v>3390</v>
      </c>
      <c r="J877" s="3">
        <v>30.77</v>
      </c>
      <c r="K877" s="3">
        <v>22.92</v>
      </c>
      <c r="L877" s="2" t="s">
        <v>8</v>
      </c>
      <c r="M877" s="2" t="s">
        <v>9</v>
      </c>
      <c r="N877" s="3">
        <v>987</v>
      </c>
      <c r="O877" s="2" t="s">
        <v>69</v>
      </c>
      <c r="P877" s="2" t="s">
        <v>128</v>
      </c>
      <c r="Q877" s="3"/>
      <c r="R877" s="3"/>
      <c r="S877" s="2" t="s">
        <v>21</v>
      </c>
      <c r="T877" s="4">
        <v>44955</v>
      </c>
      <c r="U877" s="2" t="s">
        <v>451</v>
      </c>
      <c r="V877" s="6">
        <f>(Real_Sales[[#This Row],[Price_retail]]-Real_Sales[[#This Row],[Price_current]])/Real_Sales[[#This Row],[Price_retail]]</f>
        <v>0.25511862203444907</v>
      </c>
      <c r="W877" s="3" t="str" cm="1">
        <f t="array" ref="W87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77" s="2" t="str">
        <f>IF(Real_Sales[[#This Row],[Price_retail]]&gt;$AC$3,"Premium","Average")</f>
        <v>Premium</v>
      </c>
      <c r="Y877" s="2" t="str">
        <f>IF(ISNUMBER(SEARCH("Basic",Real_Sales[[#This Row],[Product_name]])),"Yes","No")</f>
        <v>No</v>
      </c>
      <c r="Z877" s="2" cm="1">
        <f t="array" ref="Z877">_xlfn.IFS(Real_Sales[[#This Row],[Price_retail]]&lt;=15,1, Real_Sales[[#This Row],[Price_retail]]&lt;=30,2, Real_Sales[[#This Row],[Price_retail]]&lt;=50,3,Real_Sales[[#This Row],[Price_retail]]&gt;50,4)</f>
        <v>3</v>
      </c>
    </row>
    <row r="878" spans="1:26" x14ac:dyDescent="0.35">
      <c r="A878" s="2" t="s">
        <v>1322</v>
      </c>
      <c r="B878" s="2" t="s">
        <v>1323</v>
      </c>
      <c r="C878" s="2" t="s">
        <v>242</v>
      </c>
      <c r="D878" s="2" t="s">
        <v>1324</v>
      </c>
      <c r="E878" s="2" t="s">
        <v>4</v>
      </c>
      <c r="F878" s="2" t="s">
        <v>17</v>
      </c>
      <c r="G878" s="2" t="s">
        <v>27</v>
      </c>
      <c r="H878" s="2" t="s">
        <v>19</v>
      </c>
      <c r="I878" s="2" t="s">
        <v>3393</v>
      </c>
      <c r="J878" s="3">
        <v>30.83</v>
      </c>
      <c r="K878" s="3">
        <v>30.83</v>
      </c>
      <c r="L878" s="2" t="s">
        <v>3391</v>
      </c>
      <c r="M878" s="2" t="s">
        <v>9</v>
      </c>
      <c r="N878" s="3">
        <v>251</v>
      </c>
      <c r="O878" s="2" t="s">
        <v>3392</v>
      </c>
      <c r="P878" s="2" t="s">
        <v>192</v>
      </c>
      <c r="Q878" s="3"/>
      <c r="R878" s="3"/>
      <c r="S878" s="2" t="s">
        <v>21</v>
      </c>
      <c r="T878" s="4">
        <v>44955</v>
      </c>
      <c r="U878" s="2" t="s">
        <v>1325</v>
      </c>
      <c r="V878" s="6">
        <f>(Real_Sales[[#This Row],[Price_retail]]-Real_Sales[[#This Row],[Price_current]])/Real_Sales[[#This Row],[Price_retail]]</f>
        <v>0</v>
      </c>
      <c r="W878" s="3" t="str" cm="1">
        <f t="array" ref="W8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8" s="2" t="str">
        <f>IF(Real_Sales[[#This Row],[Price_retail]]&gt;$AC$3,"Premium","Average")</f>
        <v>Premium</v>
      </c>
      <c r="Y878" s="2" t="str">
        <f>IF(ISNUMBER(SEARCH("Basic",Real_Sales[[#This Row],[Product_name]])),"Yes","No")</f>
        <v>Yes</v>
      </c>
      <c r="Z878" s="2" cm="1">
        <f t="array" ref="Z878">_xlfn.IFS(Real_Sales[[#This Row],[Price_retail]]&lt;=15,1, Real_Sales[[#This Row],[Price_retail]]&lt;=30,2, Real_Sales[[#This Row],[Price_retail]]&lt;=50,3,Real_Sales[[#This Row],[Price_retail]]&gt;50,4)</f>
        <v>3</v>
      </c>
    </row>
    <row r="879" spans="1:26" x14ac:dyDescent="0.35">
      <c r="A879" s="2" t="s">
        <v>487</v>
      </c>
      <c r="B879" s="2" t="s">
        <v>488</v>
      </c>
      <c r="C879" s="2" t="s">
        <v>489</v>
      </c>
      <c r="D879" s="2" t="s">
        <v>490</v>
      </c>
      <c r="E879" s="2" t="s">
        <v>4</v>
      </c>
      <c r="F879" s="2" t="s">
        <v>17</v>
      </c>
      <c r="G879" s="2" t="s">
        <v>18</v>
      </c>
      <c r="H879" s="2" t="s">
        <v>185</v>
      </c>
      <c r="I879" s="2" t="s">
        <v>3390</v>
      </c>
      <c r="J879" s="3">
        <v>30.92</v>
      </c>
      <c r="K879" s="3">
        <v>30.92</v>
      </c>
      <c r="L879" s="2" t="s">
        <v>3391</v>
      </c>
      <c r="M879" s="2" t="s">
        <v>9</v>
      </c>
      <c r="N879" s="3">
        <v>867</v>
      </c>
      <c r="O879" s="2" t="s">
        <v>29</v>
      </c>
      <c r="P879" s="2" t="s">
        <v>44</v>
      </c>
      <c r="Q879" s="3"/>
      <c r="R879" s="3"/>
      <c r="S879" s="2" t="s">
        <v>21</v>
      </c>
      <c r="T879" s="4">
        <v>44955</v>
      </c>
      <c r="U879" s="2" t="s">
        <v>491</v>
      </c>
      <c r="V879" s="6">
        <f>(Real_Sales[[#This Row],[Price_retail]]-Real_Sales[[#This Row],[Price_current]])/Real_Sales[[#This Row],[Price_retail]]</f>
        <v>0</v>
      </c>
      <c r="W879" s="3" t="str" cm="1">
        <f t="array" ref="W8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79" s="2" t="str">
        <f>IF(Real_Sales[[#This Row],[Price_retail]]&gt;$AC$3,"Premium","Average")</f>
        <v>Premium</v>
      </c>
      <c r="Y879" s="2" t="str">
        <f>IF(ISNUMBER(SEARCH("Basic",Real_Sales[[#This Row],[Product_name]])),"Yes","No")</f>
        <v>No</v>
      </c>
      <c r="Z879" s="2" cm="1">
        <f t="array" ref="Z879">_xlfn.IFS(Real_Sales[[#This Row],[Price_retail]]&lt;=15,1, Real_Sales[[#This Row],[Price_retail]]&lt;=30,2, Real_Sales[[#This Row],[Price_retail]]&lt;=50,3,Real_Sales[[#This Row],[Price_retail]]&gt;50,4)</f>
        <v>3</v>
      </c>
    </row>
    <row r="880" spans="1:26" x14ac:dyDescent="0.35">
      <c r="A880" s="2" t="s">
        <v>2435</v>
      </c>
      <c r="B880" s="2" t="s">
        <v>2436</v>
      </c>
      <c r="C880" s="2" t="s">
        <v>3400</v>
      </c>
      <c r="D880" s="2" t="s">
        <v>581</v>
      </c>
      <c r="E880" s="2" t="s">
        <v>4</v>
      </c>
      <c r="F880" s="2" t="s">
        <v>17</v>
      </c>
      <c r="G880" s="2" t="s">
        <v>67</v>
      </c>
      <c r="H880" s="2" t="s">
        <v>7</v>
      </c>
      <c r="I880" s="2" t="s">
        <v>3390</v>
      </c>
      <c r="J880" s="3">
        <v>31.2</v>
      </c>
      <c r="K880" s="3">
        <v>31.2</v>
      </c>
      <c r="L880" s="2" t="s">
        <v>3391</v>
      </c>
      <c r="M880" s="2" t="s">
        <v>9</v>
      </c>
      <c r="N880" s="3">
        <v>12</v>
      </c>
      <c r="O880" s="2" t="s">
        <v>20</v>
      </c>
      <c r="P880" s="2" t="s">
        <v>192</v>
      </c>
      <c r="Q880" s="3"/>
      <c r="R880" s="3"/>
      <c r="S880" s="2" t="s">
        <v>12</v>
      </c>
      <c r="T880" s="4">
        <v>44955</v>
      </c>
      <c r="U880" s="2" t="s">
        <v>2437</v>
      </c>
      <c r="V880" s="6">
        <f>(Real_Sales[[#This Row],[Price_retail]]-Real_Sales[[#This Row],[Price_current]])/Real_Sales[[#This Row],[Price_retail]]</f>
        <v>0</v>
      </c>
      <c r="W880" s="3" t="str" cm="1">
        <f t="array" ref="W88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80" s="2" t="str">
        <f>IF(Real_Sales[[#This Row],[Price_retail]]&gt;$AC$3,"Premium","Average")</f>
        <v>Premium</v>
      </c>
      <c r="Y880" s="2" t="str">
        <f>IF(ISNUMBER(SEARCH("Basic",Real_Sales[[#This Row],[Product_name]])),"Yes","No")</f>
        <v>No</v>
      </c>
      <c r="Z880" s="2" cm="1">
        <f t="array" ref="Z880">_xlfn.IFS(Real_Sales[[#This Row],[Price_retail]]&lt;=15,1, Real_Sales[[#This Row],[Price_retail]]&lt;=30,2, Real_Sales[[#This Row],[Price_retail]]&lt;=50,3,Real_Sales[[#This Row],[Price_retail]]&gt;50,4)</f>
        <v>3</v>
      </c>
    </row>
    <row r="881" spans="1:26" x14ac:dyDescent="0.35">
      <c r="A881" s="2" t="s">
        <v>1682</v>
      </c>
      <c r="B881" s="2" t="s">
        <v>1683</v>
      </c>
      <c r="C881" s="2" t="s">
        <v>541</v>
      </c>
      <c r="D881" s="2" t="s">
        <v>1176</v>
      </c>
      <c r="E881" s="2" t="s">
        <v>4</v>
      </c>
      <c r="F881" s="2" t="s">
        <v>17</v>
      </c>
      <c r="G881" s="2" t="s">
        <v>27</v>
      </c>
      <c r="H881" s="2" t="s">
        <v>83</v>
      </c>
      <c r="I881" s="2" t="s">
        <v>3393</v>
      </c>
      <c r="J881" s="3">
        <v>31.31</v>
      </c>
      <c r="K881" s="3">
        <v>21.27</v>
      </c>
      <c r="L881" s="2" t="s">
        <v>8</v>
      </c>
      <c r="M881" s="2" t="s">
        <v>9</v>
      </c>
      <c r="N881" s="3">
        <v>801</v>
      </c>
      <c r="O881" s="2" t="s">
        <v>302</v>
      </c>
      <c r="P881" s="2" t="s">
        <v>53</v>
      </c>
      <c r="Q881" s="3"/>
      <c r="R881" s="3"/>
      <c r="S881" s="2" t="s">
        <v>12</v>
      </c>
      <c r="T881" s="4">
        <v>44955</v>
      </c>
      <c r="U881" s="2" t="s">
        <v>1684</v>
      </c>
      <c r="V881" s="6">
        <f>(Real_Sales[[#This Row],[Price_retail]]-Real_Sales[[#This Row],[Price_current]])/Real_Sales[[#This Row],[Price_retail]]</f>
        <v>0.3206643244969658</v>
      </c>
      <c r="W881" s="3" t="str" cm="1">
        <f t="array" ref="W88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81" s="2" t="str">
        <f>IF(Real_Sales[[#This Row],[Price_retail]]&gt;$AC$3,"Premium","Average")</f>
        <v>Premium</v>
      </c>
      <c r="Y881" s="2" t="str">
        <f>IF(ISNUMBER(SEARCH("Basic",Real_Sales[[#This Row],[Product_name]])),"Yes","No")</f>
        <v>No</v>
      </c>
      <c r="Z881" s="2" cm="1">
        <f t="array" ref="Z881">_xlfn.IFS(Real_Sales[[#This Row],[Price_retail]]&lt;=15,1, Real_Sales[[#This Row],[Price_retail]]&lt;=30,2, Real_Sales[[#This Row],[Price_retail]]&lt;=50,3,Real_Sales[[#This Row],[Price_retail]]&gt;50,4)</f>
        <v>3</v>
      </c>
    </row>
    <row r="882" spans="1:26" x14ac:dyDescent="0.35">
      <c r="A882" s="2" t="s">
        <v>638</v>
      </c>
      <c r="B882" s="2" t="s">
        <v>639</v>
      </c>
      <c r="C882" s="2" t="s">
        <v>1594</v>
      </c>
      <c r="D882" s="2" t="s">
        <v>640</v>
      </c>
      <c r="E882" s="2" t="s">
        <v>4</v>
      </c>
      <c r="F882" s="2" t="s">
        <v>17</v>
      </c>
      <c r="G882" s="2" t="s">
        <v>18</v>
      </c>
      <c r="H882" s="2" t="s">
        <v>139</v>
      </c>
      <c r="I882" s="2" t="s">
        <v>3390</v>
      </c>
      <c r="J882" s="3">
        <v>31.33</v>
      </c>
      <c r="K882" s="3">
        <v>31.33</v>
      </c>
      <c r="L882" s="2" t="s">
        <v>3391</v>
      </c>
      <c r="M882" s="2" t="s">
        <v>9</v>
      </c>
      <c r="N882" s="3">
        <v>257</v>
      </c>
      <c r="O882" s="2" t="s">
        <v>104</v>
      </c>
      <c r="P882" s="2" t="s">
        <v>192</v>
      </c>
      <c r="Q882" s="3"/>
      <c r="R882" s="3"/>
      <c r="S882" s="2" t="s">
        <v>21</v>
      </c>
      <c r="T882" s="4">
        <v>44955</v>
      </c>
      <c r="U882" s="2" t="s">
        <v>641</v>
      </c>
      <c r="V882" s="6">
        <f>(Real_Sales[[#This Row],[Price_retail]]-Real_Sales[[#This Row],[Price_current]])/Real_Sales[[#This Row],[Price_retail]]</f>
        <v>0</v>
      </c>
      <c r="W882" s="3" t="str" cm="1">
        <f t="array" ref="W88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82" s="2" t="str">
        <f>IF(Real_Sales[[#This Row],[Price_retail]]&gt;$AC$3,"Premium","Average")</f>
        <v>Premium</v>
      </c>
      <c r="Y882" s="2" t="str">
        <f>IF(ISNUMBER(SEARCH("Basic",Real_Sales[[#This Row],[Product_name]])),"Yes","No")</f>
        <v>No</v>
      </c>
      <c r="Z882" s="2" cm="1">
        <f t="array" ref="Z882">_xlfn.IFS(Real_Sales[[#This Row],[Price_retail]]&lt;=15,1, Real_Sales[[#This Row],[Price_retail]]&lt;=30,2, Real_Sales[[#This Row],[Price_retail]]&lt;=50,3,Real_Sales[[#This Row],[Price_retail]]&gt;50,4)</f>
        <v>3</v>
      </c>
    </row>
    <row r="883" spans="1:26" x14ac:dyDescent="0.35">
      <c r="A883" s="2" t="s">
        <v>1640</v>
      </c>
      <c r="B883" s="2" t="s">
        <v>1641</v>
      </c>
      <c r="C883" s="2" t="s">
        <v>703</v>
      </c>
      <c r="D883" s="2" t="s">
        <v>686</v>
      </c>
      <c r="E883" s="2" t="s">
        <v>4</v>
      </c>
      <c r="F883" s="2" t="s">
        <v>5</v>
      </c>
      <c r="G883" s="2" t="s">
        <v>6</v>
      </c>
      <c r="H883" s="2" t="s">
        <v>7</v>
      </c>
      <c r="I883" s="2" t="s">
        <v>3393</v>
      </c>
      <c r="J883" s="3">
        <v>31.44</v>
      </c>
      <c r="K883" s="3">
        <v>31.44</v>
      </c>
      <c r="L883" s="2" t="s">
        <v>3391</v>
      </c>
      <c r="M883" s="2" t="s">
        <v>9</v>
      </c>
      <c r="N883" s="3">
        <v>809</v>
      </c>
      <c r="O883" s="2" t="s">
        <v>191</v>
      </c>
      <c r="P883" s="2" t="s">
        <v>30</v>
      </c>
      <c r="Q883" s="3"/>
      <c r="R883" s="3"/>
      <c r="S883" s="2" t="s">
        <v>21</v>
      </c>
      <c r="T883" s="4">
        <v>44955</v>
      </c>
      <c r="U883" s="2" t="s">
        <v>1642</v>
      </c>
      <c r="V883" s="6">
        <f>(Real_Sales[[#This Row],[Price_retail]]-Real_Sales[[#This Row],[Price_current]])/Real_Sales[[#This Row],[Price_retail]]</f>
        <v>0</v>
      </c>
      <c r="W883" s="3" t="str" cm="1">
        <f t="array" ref="W88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83" s="2" t="str">
        <f>IF(Real_Sales[[#This Row],[Price_retail]]&gt;$AC$3,"Premium","Average")</f>
        <v>Premium</v>
      </c>
      <c r="Y883" s="2" t="str">
        <f>IF(ISNUMBER(SEARCH("Basic",Real_Sales[[#This Row],[Product_name]])),"Yes","No")</f>
        <v>No</v>
      </c>
      <c r="Z883" s="2" cm="1">
        <f t="array" ref="Z883">_xlfn.IFS(Real_Sales[[#This Row],[Price_retail]]&lt;=15,1, Real_Sales[[#This Row],[Price_retail]]&lt;=30,2, Real_Sales[[#This Row],[Price_retail]]&lt;=50,3,Real_Sales[[#This Row],[Price_retail]]&gt;50,4)</f>
        <v>3</v>
      </c>
    </row>
    <row r="884" spans="1:26" x14ac:dyDescent="0.35">
      <c r="A884" s="2" t="s">
        <v>1303</v>
      </c>
      <c r="B884" s="2" t="s">
        <v>1304</v>
      </c>
      <c r="C884" s="2" t="s">
        <v>3394</v>
      </c>
      <c r="D884" s="2" t="s">
        <v>729</v>
      </c>
      <c r="E884" s="2" t="s">
        <v>4</v>
      </c>
      <c r="F884" s="2" t="s">
        <v>17</v>
      </c>
      <c r="G884" s="2" t="s">
        <v>18</v>
      </c>
      <c r="H884" s="2" t="s">
        <v>168</v>
      </c>
      <c r="I884" s="2" t="s">
        <v>3390</v>
      </c>
      <c r="J884" s="3">
        <v>31.55</v>
      </c>
      <c r="K884" s="3">
        <v>31.55</v>
      </c>
      <c r="L884" s="2" t="s">
        <v>3391</v>
      </c>
      <c r="M884" s="2" t="s">
        <v>9</v>
      </c>
      <c r="N884" s="3">
        <v>144</v>
      </c>
      <c r="O884" s="2" t="s">
        <v>261</v>
      </c>
      <c r="P884" s="2" t="s">
        <v>3392</v>
      </c>
      <c r="Q884" s="3"/>
      <c r="R884" s="3"/>
      <c r="S884" s="2" t="s">
        <v>21</v>
      </c>
      <c r="T884" s="4">
        <v>44955</v>
      </c>
      <c r="U884" s="2" t="s">
        <v>1305</v>
      </c>
      <c r="V884" s="6">
        <f>(Real_Sales[[#This Row],[Price_retail]]-Real_Sales[[#This Row],[Price_current]])/Real_Sales[[#This Row],[Price_retail]]</f>
        <v>0</v>
      </c>
      <c r="W884" s="3" t="str" cm="1">
        <f t="array" ref="W8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84" s="2" t="str">
        <f>IF(Real_Sales[[#This Row],[Price_retail]]&gt;$AC$3,"Premium","Average")</f>
        <v>Premium</v>
      </c>
      <c r="Y884" s="2" t="str">
        <f>IF(ISNUMBER(SEARCH("Basic",Real_Sales[[#This Row],[Product_name]])),"Yes","No")</f>
        <v>No</v>
      </c>
      <c r="Z884" s="2" cm="1">
        <f t="array" ref="Z884">_xlfn.IFS(Real_Sales[[#This Row],[Price_retail]]&lt;=15,1, Real_Sales[[#This Row],[Price_retail]]&lt;=30,2, Real_Sales[[#This Row],[Price_retail]]&lt;=50,3,Real_Sales[[#This Row],[Price_retail]]&gt;50,4)</f>
        <v>3</v>
      </c>
    </row>
    <row r="885" spans="1:26" x14ac:dyDescent="0.35">
      <c r="A885" s="2" t="s">
        <v>312</v>
      </c>
      <c r="B885" s="2" t="s">
        <v>313</v>
      </c>
      <c r="C885" s="2" t="s">
        <v>25</v>
      </c>
      <c r="D885" s="2" t="s">
        <v>314</v>
      </c>
      <c r="E885" s="2" t="s">
        <v>4</v>
      </c>
      <c r="F885" s="2" t="s">
        <v>17</v>
      </c>
      <c r="G885" s="2" t="s">
        <v>67</v>
      </c>
      <c r="H885" s="2" t="s">
        <v>59</v>
      </c>
      <c r="I885" s="2" t="s">
        <v>3393</v>
      </c>
      <c r="J885" s="3">
        <v>31.71</v>
      </c>
      <c r="K885" s="3">
        <v>18.25</v>
      </c>
      <c r="L885" s="2" t="s">
        <v>8</v>
      </c>
      <c r="M885" s="2" t="s">
        <v>9</v>
      </c>
      <c r="N885" s="3">
        <v>643</v>
      </c>
      <c r="O885" s="2" t="s">
        <v>20</v>
      </c>
      <c r="P885" s="2" t="s">
        <v>177</v>
      </c>
      <c r="Q885" s="3"/>
      <c r="R885" s="3"/>
      <c r="S885" s="2" t="s">
        <v>21</v>
      </c>
      <c r="T885" s="4">
        <v>44955</v>
      </c>
      <c r="U885" s="2" t="s">
        <v>315</v>
      </c>
      <c r="V885" s="6">
        <f>(Real_Sales[[#This Row],[Price_retail]]-Real_Sales[[#This Row],[Price_current]])/Real_Sales[[#This Row],[Price_retail]]</f>
        <v>0.42447177546515297</v>
      </c>
      <c r="W885" s="3" t="str" cm="1">
        <f t="array" ref="W88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85" s="2" t="str">
        <f>IF(Real_Sales[[#This Row],[Price_retail]]&gt;$AC$3,"Premium","Average")</f>
        <v>Premium</v>
      </c>
      <c r="Y885" s="2" t="str">
        <f>IF(ISNUMBER(SEARCH("Basic",Real_Sales[[#This Row],[Product_name]])),"Yes","No")</f>
        <v>No</v>
      </c>
      <c r="Z885" s="2" cm="1">
        <f t="array" ref="Z885">_xlfn.IFS(Real_Sales[[#This Row],[Price_retail]]&lt;=15,1, Real_Sales[[#This Row],[Price_retail]]&lt;=30,2, Real_Sales[[#This Row],[Price_retail]]&lt;=50,3,Real_Sales[[#This Row],[Price_retail]]&gt;50,4)</f>
        <v>3</v>
      </c>
    </row>
    <row r="886" spans="1:26" x14ac:dyDescent="0.35">
      <c r="A886" s="2" t="s">
        <v>2295</v>
      </c>
      <c r="B886" s="2" t="s">
        <v>2296</v>
      </c>
      <c r="C886" s="2" t="s">
        <v>323</v>
      </c>
      <c r="D886" s="2" t="s">
        <v>1680</v>
      </c>
      <c r="E886" s="2" t="s">
        <v>4</v>
      </c>
      <c r="F886" s="2" t="s">
        <v>5</v>
      </c>
      <c r="G886" s="2" t="s">
        <v>121</v>
      </c>
      <c r="H886" s="2" t="s">
        <v>51</v>
      </c>
      <c r="I886" s="2" t="s">
        <v>3393</v>
      </c>
      <c r="J886" s="3">
        <v>31.72</v>
      </c>
      <c r="K886" s="3">
        <v>31.72</v>
      </c>
      <c r="L886" s="2" t="s">
        <v>3391</v>
      </c>
      <c r="M886" s="2" t="s">
        <v>9</v>
      </c>
      <c r="N886" s="3">
        <v>570</v>
      </c>
      <c r="O886" s="2" t="s">
        <v>10</v>
      </c>
      <c r="P886" s="2" t="s">
        <v>192</v>
      </c>
      <c r="Q886" s="3"/>
      <c r="R886" s="3"/>
      <c r="S886" s="2" t="s">
        <v>12</v>
      </c>
      <c r="T886" s="4">
        <v>44955</v>
      </c>
      <c r="U886" s="2" t="s">
        <v>2297</v>
      </c>
      <c r="V886" s="6">
        <f>(Real_Sales[[#This Row],[Price_retail]]-Real_Sales[[#This Row],[Price_current]])/Real_Sales[[#This Row],[Price_retail]]</f>
        <v>0</v>
      </c>
      <c r="W886" s="3" t="str" cm="1">
        <f t="array" ref="W88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86" s="2" t="str">
        <f>IF(Real_Sales[[#This Row],[Price_retail]]&gt;$AC$3,"Premium","Average")</f>
        <v>Premium</v>
      </c>
      <c r="Y886" s="2" t="str">
        <f>IF(ISNUMBER(SEARCH("Basic",Real_Sales[[#This Row],[Product_name]])),"Yes","No")</f>
        <v>No</v>
      </c>
      <c r="Z886" s="2" cm="1">
        <f t="array" ref="Z886">_xlfn.IFS(Real_Sales[[#This Row],[Price_retail]]&lt;=15,1, Real_Sales[[#This Row],[Price_retail]]&lt;=30,2, Real_Sales[[#This Row],[Price_retail]]&lt;=50,3,Real_Sales[[#This Row],[Price_retail]]&gt;50,4)</f>
        <v>3</v>
      </c>
    </row>
    <row r="887" spans="1:26" x14ac:dyDescent="0.35">
      <c r="A887" s="2" t="s">
        <v>402</v>
      </c>
      <c r="B887" s="2" t="s">
        <v>403</v>
      </c>
      <c r="C887" s="2" t="s">
        <v>265</v>
      </c>
      <c r="D887" s="2" t="s">
        <v>404</v>
      </c>
      <c r="E887" s="2" t="s">
        <v>4</v>
      </c>
      <c r="F887" s="2" t="s">
        <v>5</v>
      </c>
      <c r="G887" s="2" t="s">
        <v>6</v>
      </c>
      <c r="H887" s="2" t="s">
        <v>59</v>
      </c>
      <c r="I887" s="2" t="s">
        <v>3390</v>
      </c>
      <c r="J887" s="3">
        <v>31.93</v>
      </c>
      <c r="K887" s="3">
        <v>16.02</v>
      </c>
      <c r="L887" s="2" t="s">
        <v>8</v>
      </c>
      <c r="M887" s="2" t="s">
        <v>9</v>
      </c>
      <c r="N887" s="3">
        <v>971</v>
      </c>
      <c r="O887" s="2" t="s">
        <v>29</v>
      </c>
      <c r="P887" s="2" t="s">
        <v>3392</v>
      </c>
      <c r="Q887" s="3"/>
      <c r="R887" s="3"/>
      <c r="S887" s="2" t="s">
        <v>21</v>
      </c>
      <c r="T887" s="4">
        <v>44955</v>
      </c>
      <c r="U887" s="2" t="s">
        <v>405</v>
      </c>
      <c r="V887" s="6">
        <f>(Real_Sales[[#This Row],[Price_retail]]-Real_Sales[[#This Row],[Price_current]])/Real_Sales[[#This Row],[Price_retail]]</f>
        <v>0.49827748199185717</v>
      </c>
      <c r="W887" s="3" t="str" cm="1">
        <f t="array" ref="W88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87" s="2" t="str">
        <f>IF(Real_Sales[[#This Row],[Price_retail]]&gt;$AC$3,"Premium","Average")</f>
        <v>Premium</v>
      </c>
      <c r="Y887" s="2" t="str">
        <f>IF(ISNUMBER(SEARCH("Basic",Real_Sales[[#This Row],[Product_name]])),"Yes","No")</f>
        <v>No</v>
      </c>
      <c r="Z887" s="2" cm="1">
        <f t="array" ref="Z887">_xlfn.IFS(Real_Sales[[#This Row],[Price_retail]]&lt;=15,1, Real_Sales[[#This Row],[Price_retail]]&lt;=30,2, Real_Sales[[#This Row],[Price_retail]]&lt;=50,3,Real_Sales[[#This Row],[Price_retail]]&gt;50,4)</f>
        <v>3</v>
      </c>
    </row>
    <row r="888" spans="1:26" x14ac:dyDescent="0.35">
      <c r="A888" s="2" t="s">
        <v>3146</v>
      </c>
      <c r="B888" s="2" t="s">
        <v>3147</v>
      </c>
      <c r="C888" s="2" t="s">
        <v>88</v>
      </c>
      <c r="D888" s="2" t="s">
        <v>577</v>
      </c>
      <c r="E888" s="2" t="s">
        <v>4</v>
      </c>
      <c r="F888" s="2" t="s">
        <v>5</v>
      </c>
      <c r="G888" s="2" t="s">
        <v>121</v>
      </c>
      <c r="H888" s="2" t="s">
        <v>168</v>
      </c>
      <c r="I888" s="2" t="s">
        <v>3393</v>
      </c>
      <c r="J888" s="3">
        <v>31.94</v>
      </c>
      <c r="K888" s="3">
        <v>13.8</v>
      </c>
      <c r="L888" s="2" t="s">
        <v>8</v>
      </c>
      <c r="M888" s="2" t="s">
        <v>9</v>
      </c>
      <c r="N888" s="3">
        <v>901</v>
      </c>
      <c r="O888" s="2" t="s">
        <v>43</v>
      </c>
      <c r="P888" s="2" t="s">
        <v>30</v>
      </c>
      <c r="Q888" s="3"/>
      <c r="R888" s="3"/>
      <c r="S888" s="2" t="s">
        <v>21</v>
      </c>
      <c r="T888" s="4">
        <v>44955</v>
      </c>
      <c r="U888" s="2" t="s">
        <v>3148</v>
      </c>
      <c r="V888" s="6">
        <f>(Real_Sales[[#This Row],[Price_retail]]-Real_Sales[[#This Row],[Price_current]])/Real_Sales[[#This Row],[Price_retail]]</f>
        <v>0.56793988728866629</v>
      </c>
      <c r="W888" s="3" t="str" cm="1">
        <f t="array" ref="W888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88" s="2" t="str">
        <f>IF(Real_Sales[[#This Row],[Price_retail]]&gt;$AC$3,"Premium","Average")</f>
        <v>Premium</v>
      </c>
      <c r="Y888" s="2" t="str">
        <f>IF(ISNUMBER(SEARCH("Basic",Real_Sales[[#This Row],[Product_name]])),"Yes","No")</f>
        <v>No</v>
      </c>
      <c r="Z888" s="2" cm="1">
        <f t="array" ref="Z888">_xlfn.IFS(Real_Sales[[#This Row],[Price_retail]]&lt;=15,1, Real_Sales[[#This Row],[Price_retail]]&lt;=30,2, Real_Sales[[#This Row],[Price_retail]]&lt;=50,3,Real_Sales[[#This Row],[Price_retail]]&gt;50,4)</f>
        <v>3</v>
      </c>
    </row>
    <row r="889" spans="1:26" x14ac:dyDescent="0.35">
      <c r="A889" s="2" t="s">
        <v>430</v>
      </c>
      <c r="B889" s="2" t="s">
        <v>431</v>
      </c>
      <c r="C889" s="2" t="s">
        <v>3405</v>
      </c>
      <c r="D889" s="2" t="s">
        <v>432</v>
      </c>
      <c r="E889" s="2" t="s">
        <v>4</v>
      </c>
      <c r="F889" s="2" t="s">
        <v>5</v>
      </c>
      <c r="G889" s="2" t="s">
        <v>82</v>
      </c>
      <c r="H889" s="2" t="s">
        <v>35</v>
      </c>
      <c r="I889" s="2" t="s">
        <v>3393</v>
      </c>
      <c r="J889" s="3">
        <v>31.94</v>
      </c>
      <c r="K889" s="3">
        <v>24.83</v>
      </c>
      <c r="L889" s="2" t="s">
        <v>8</v>
      </c>
      <c r="M889" s="2" t="s">
        <v>9</v>
      </c>
      <c r="N889" s="3">
        <v>648</v>
      </c>
      <c r="O889" s="2" t="s">
        <v>3392</v>
      </c>
      <c r="P889" s="2" t="s">
        <v>169</v>
      </c>
      <c r="Q889" s="3"/>
      <c r="R889" s="3"/>
      <c r="S889" s="2" t="s">
        <v>21</v>
      </c>
      <c r="T889" s="4">
        <v>44955</v>
      </c>
      <c r="U889" s="2" t="s">
        <v>433</v>
      </c>
      <c r="V889" s="6">
        <f>(Real_Sales[[#This Row],[Price_retail]]-Real_Sales[[#This Row],[Price_current]])/Real_Sales[[#This Row],[Price_retail]]</f>
        <v>0.22260488415779595</v>
      </c>
      <c r="W889" s="3" t="str" cm="1">
        <f t="array" ref="W88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89" s="2" t="str">
        <f>IF(Real_Sales[[#This Row],[Price_retail]]&gt;$AC$3,"Premium","Average")</f>
        <v>Premium</v>
      </c>
      <c r="Y889" s="2" t="str">
        <f>IF(ISNUMBER(SEARCH("Basic",Real_Sales[[#This Row],[Product_name]])),"Yes","No")</f>
        <v>Yes</v>
      </c>
      <c r="Z889" s="2" cm="1">
        <f t="array" ref="Z889">_xlfn.IFS(Real_Sales[[#This Row],[Price_retail]]&lt;=15,1, Real_Sales[[#This Row],[Price_retail]]&lt;=30,2, Real_Sales[[#This Row],[Price_retail]]&lt;=50,3,Real_Sales[[#This Row],[Price_retail]]&gt;50,4)</f>
        <v>3</v>
      </c>
    </row>
    <row r="890" spans="1:26" x14ac:dyDescent="0.35">
      <c r="A890" s="2" t="s">
        <v>3341</v>
      </c>
      <c r="B890" s="2" t="s">
        <v>3342</v>
      </c>
      <c r="C890" s="2" t="s">
        <v>3394</v>
      </c>
      <c r="D890" s="2" t="s">
        <v>909</v>
      </c>
      <c r="E890" s="2" t="s">
        <v>4</v>
      </c>
      <c r="F890" s="2" t="s">
        <v>17</v>
      </c>
      <c r="G890" s="2" t="s">
        <v>18</v>
      </c>
      <c r="H890" s="2" t="s">
        <v>110</v>
      </c>
      <c r="I890" s="2" t="s">
        <v>3393</v>
      </c>
      <c r="J890" s="3">
        <v>32.11</v>
      </c>
      <c r="K890" s="3">
        <v>24.54</v>
      </c>
      <c r="L890" s="2" t="s">
        <v>8</v>
      </c>
      <c r="M890" s="2" t="s">
        <v>9</v>
      </c>
      <c r="N890" s="3">
        <v>170</v>
      </c>
      <c r="O890" s="2" t="s">
        <v>287</v>
      </c>
      <c r="P890" s="2" t="s">
        <v>3392</v>
      </c>
      <c r="Q890" s="3"/>
      <c r="R890" s="3"/>
      <c r="S890" s="2" t="s">
        <v>21</v>
      </c>
      <c r="T890" s="4">
        <v>44955</v>
      </c>
      <c r="U890" s="2" t="s">
        <v>3343</v>
      </c>
      <c r="V890" s="6">
        <f>(Real_Sales[[#This Row],[Price_retail]]-Real_Sales[[#This Row],[Price_current]])/Real_Sales[[#This Row],[Price_retail]]</f>
        <v>0.2357521021488633</v>
      </c>
      <c r="W890" s="3" t="str" cm="1">
        <f t="array" ref="W89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90" s="2" t="str">
        <f>IF(Real_Sales[[#This Row],[Price_retail]]&gt;$AC$3,"Premium","Average")</f>
        <v>Premium</v>
      </c>
      <c r="Y890" s="2" t="str">
        <f>IF(ISNUMBER(SEARCH("Basic",Real_Sales[[#This Row],[Product_name]])),"Yes","No")</f>
        <v>No</v>
      </c>
      <c r="Z890" s="2" cm="1">
        <f t="array" ref="Z890">_xlfn.IFS(Real_Sales[[#This Row],[Price_retail]]&lt;=15,1, Real_Sales[[#This Row],[Price_retail]]&lt;=30,2, Real_Sales[[#This Row],[Price_retail]]&lt;=50,3,Real_Sales[[#This Row],[Price_retail]]&gt;50,4)</f>
        <v>3</v>
      </c>
    </row>
    <row r="891" spans="1:26" x14ac:dyDescent="0.35">
      <c r="A891" s="2" t="s">
        <v>1130</v>
      </c>
      <c r="B891" s="2" t="s">
        <v>1131</v>
      </c>
      <c r="C891" s="2" t="s">
        <v>469</v>
      </c>
      <c r="D891" s="2" t="s">
        <v>674</v>
      </c>
      <c r="E891" s="2" t="s">
        <v>4</v>
      </c>
      <c r="F891" s="2" t="s">
        <v>5</v>
      </c>
      <c r="G891" s="2" t="s">
        <v>121</v>
      </c>
      <c r="H891" s="2" t="s">
        <v>333</v>
      </c>
      <c r="I891" s="2" t="s">
        <v>3395</v>
      </c>
      <c r="J891" s="3">
        <v>32.119999999999997</v>
      </c>
      <c r="K891" s="3">
        <v>32.119999999999997</v>
      </c>
      <c r="L891" s="2" t="s">
        <v>3391</v>
      </c>
      <c r="M891" s="2" t="s">
        <v>9</v>
      </c>
      <c r="N891" s="3">
        <v>107</v>
      </c>
      <c r="O891" s="2" t="s">
        <v>29</v>
      </c>
      <c r="P891" s="2" t="s">
        <v>238</v>
      </c>
      <c r="Q891" s="3"/>
      <c r="R891" s="3"/>
      <c r="S891" s="2" t="s">
        <v>21</v>
      </c>
      <c r="T891" s="4">
        <v>44955</v>
      </c>
      <c r="U891" s="2" t="s">
        <v>1132</v>
      </c>
      <c r="V891" s="6">
        <f>(Real_Sales[[#This Row],[Price_retail]]-Real_Sales[[#This Row],[Price_current]])/Real_Sales[[#This Row],[Price_retail]]</f>
        <v>0</v>
      </c>
      <c r="W891" s="3" t="str" cm="1">
        <f t="array" ref="W89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91" s="2" t="str">
        <f>IF(Real_Sales[[#This Row],[Price_retail]]&gt;$AC$3,"Premium","Average")</f>
        <v>Premium</v>
      </c>
      <c r="Y891" s="2" t="str">
        <f>IF(ISNUMBER(SEARCH("Basic",Real_Sales[[#This Row],[Product_name]])),"Yes","No")</f>
        <v>No</v>
      </c>
      <c r="Z891" s="2" cm="1">
        <f t="array" ref="Z891">_xlfn.IFS(Real_Sales[[#This Row],[Price_retail]]&lt;=15,1, Real_Sales[[#This Row],[Price_retail]]&lt;=30,2, Real_Sales[[#This Row],[Price_retail]]&lt;=50,3,Real_Sales[[#This Row],[Price_retail]]&gt;50,4)</f>
        <v>3</v>
      </c>
    </row>
    <row r="892" spans="1:26" x14ac:dyDescent="0.35">
      <c r="A892" s="2" t="s">
        <v>1267</v>
      </c>
      <c r="B892" s="2" t="s">
        <v>1268</v>
      </c>
      <c r="C892" s="2" t="s">
        <v>3394</v>
      </c>
      <c r="D892" s="2" t="s">
        <v>686</v>
      </c>
      <c r="E892" s="2" t="s">
        <v>4</v>
      </c>
      <c r="F892" s="2" t="s">
        <v>5</v>
      </c>
      <c r="G892" s="2" t="s">
        <v>121</v>
      </c>
      <c r="H892" s="2" t="s">
        <v>7</v>
      </c>
      <c r="I892" s="2" t="s">
        <v>3393</v>
      </c>
      <c r="J892" s="3">
        <v>32.28</v>
      </c>
      <c r="K892" s="3">
        <v>32.28</v>
      </c>
      <c r="L892" s="2" t="s">
        <v>3391</v>
      </c>
      <c r="M892" s="2" t="s">
        <v>9</v>
      </c>
      <c r="N892" s="3">
        <v>233</v>
      </c>
      <c r="O892" s="2" t="s">
        <v>267</v>
      </c>
      <c r="P892" s="2" t="s">
        <v>177</v>
      </c>
      <c r="Q892" s="3"/>
      <c r="R892" s="3"/>
      <c r="S892" s="2" t="s">
        <v>21</v>
      </c>
      <c r="T892" s="4">
        <v>44955</v>
      </c>
      <c r="U892" s="2" t="s">
        <v>1269</v>
      </c>
      <c r="V892" s="6">
        <f>(Real_Sales[[#This Row],[Price_retail]]-Real_Sales[[#This Row],[Price_current]])/Real_Sales[[#This Row],[Price_retail]]</f>
        <v>0</v>
      </c>
      <c r="W892" s="3" t="str" cm="1">
        <f t="array" ref="W89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92" s="2" t="str">
        <f>IF(Real_Sales[[#This Row],[Price_retail]]&gt;$AC$3,"Premium","Average")</f>
        <v>Premium</v>
      </c>
      <c r="Y892" s="2" t="str">
        <f>IF(ISNUMBER(SEARCH("Basic",Real_Sales[[#This Row],[Product_name]])),"Yes","No")</f>
        <v>No</v>
      </c>
      <c r="Z892" s="2" cm="1">
        <f t="array" ref="Z892">_xlfn.IFS(Real_Sales[[#This Row],[Price_retail]]&lt;=15,1, Real_Sales[[#This Row],[Price_retail]]&lt;=30,2, Real_Sales[[#This Row],[Price_retail]]&lt;=50,3,Real_Sales[[#This Row],[Price_retail]]&gt;50,4)</f>
        <v>3</v>
      </c>
    </row>
    <row r="893" spans="1:26" x14ac:dyDescent="0.35">
      <c r="A893" s="2" t="s">
        <v>2365</v>
      </c>
      <c r="B893" s="2" t="s">
        <v>2366</v>
      </c>
      <c r="C893" s="2" t="s">
        <v>219</v>
      </c>
      <c r="D893" s="2" t="s">
        <v>640</v>
      </c>
      <c r="E893" s="2" t="s">
        <v>4</v>
      </c>
      <c r="F893" s="2" t="s">
        <v>17</v>
      </c>
      <c r="G893" s="2" t="s">
        <v>27</v>
      </c>
      <c r="H893" s="2" t="s">
        <v>139</v>
      </c>
      <c r="I893" s="2" t="s">
        <v>3393</v>
      </c>
      <c r="J893" s="3">
        <v>32.36</v>
      </c>
      <c r="K893" s="3">
        <v>32.36</v>
      </c>
      <c r="L893" s="2" t="s">
        <v>3391</v>
      </c>
      <c r="M893" s="2" t="s">
        <v>9</v>
      </c>
      <c r="N893" s="3">
        <v>289</v>
      </c>
      <c r="O893" s="2" t="s">
        <v>91</v>
      </c>
      <c r="P893" s="2" t="s">
        <v>553</v>
      </c>
      <c r="Q893" s="3"/>
      <c r="R893" s="3"/>
      <c r="S893" s="2" t="s">
        <v>12</v>
      </c>
      <c r="T893" s="4">
        <v>44955</v>
      </c>
      <c r="U893" s="2" t="s">
        <v>2367</v>
      </c>
      <c r="V893" s="6">
        <f>(Real_Sales[[#This Row],[Price_retail]]-Real_Sales[[#This Row],[Price_current]])/Real_Sales[[#This Row],[Price_retail]]</f>
        <v>0</v>
      </c>
      <c r="W893" s="3" t="str" cm="1">
        <f t="array" ref="W89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93" s="2" t="str">
        <f>IF(Real_Sales[[#This Row],[Price_retail]]&gt;$AC$3,"Premium","Average")</f>
        <v>Premium</v>
      </c>
      <c r="Y893" s="2" t="str">
        <f>IF(ISNUMBER(SEARCH("Basic",Real_Sales[[#This Row],[Product_name]])),"Yes","No")</f>
        <v>No</v>
      </c>
      <c r="Z893" s="2" cm="1">
        <f t="array" ref="Z893">_xlfn.IFS(Real_Sales[[#This Row],[Price_retail]]&lt;=15,1, Real_Sales[[#This Row],[Price_retail]]&lt;=30,2, Real_Sales[[#This Row],[Price_retail]]&lt;=50,3,Real_Sales[[#This Row],[Price_retail]]&gt;50,4)</f>
        <v>3</v>
      </c>
    </row>
    <row r="894" spans="1:26" x14ac:dyDescent="0.35">
      <c r="A894" s="2" t="s">
        <v>1782</v>
      </c>
      <c r="B894" s="2" t="s">
        <v>1783</v>
      </c>
      <c r="C894" s="2" t="s">
        <v>1784</v>
      </c>
      <c r="D894" s="2" t="s">
        <v>144</v>
      </c>
      <c r="E894" s="2" t="s">
        <v>4</v>
      </c>
      <c r="F894" s="2" t="s">
        <v>17</v>
      </c>
      <c r="G894" s="2" t="s">
        <v>50</v>
      </c>
      <c r="H894" s="2" t="s">
        <v>145</v>
      </c>
      <c r="I894" s="2" t="s">
        <v>3390</v>
      </c>
      <c r="J894" s="3">
        <v>32.42</v>
      </c>
      <c r="K894" s="3">
        <v>22.14</v>
      </c>
      <c r="L894" s="2" t="s">
        <v>8</v>
      </c>
      <c r="M894" s="2" t="s">
        <v>9</v>
      </c>
      <c r="N894" s="3">
        <v>348</v>
      </c>
      <c r="O894" s="2" t="s">
        <v>3392</v>
      </c>
      <c r="P894" s="2" t="s">
        <v>238</v>
      </c>
      <c r="Q894" s="3"/>
      <c r="R894" s="3"/>
      <c r="S894" s="2" t="s">
        <v>21</v>
      </c>
      <c r="T894" s="4">
        <v>44955</v>
      </c>
      <c r="U894" s="2" t="s">
        <v>1785</v>
      </c>
      <c r="V894" s="6">
        <f>(Real_Sales[[#This Row],[Price_retail]]-Real_Sales[[#This Row],[Price_current]])/Real_Sales[[#This Row],[Price_retail]]</f>
        <v>0.31708821714990748</v>
      </c>
      <c r="W894" s="3" t="str" cm="1">
        <f t="array" ref="W89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94" s="2" t="str">
        <f>IF(Real_Sales[[#This Row],[Price_retail]]&gt;$AC$3,"Premium","Average")</f>
        <v>Premium</v>
      </c>
      <c r="Y894" s="2" t="str">
        <f>IF(ISNUMBER(SEARCH("Basic",Real_Sales[[#This Row],[Product_name]])),"Yes","No")</f>
        <v>No</v>
      </c>
      <c r="Z894" s="2" cm="1">
        <f t="array" ref="Z894">_xlfn.IFS(Real_Sales[[#This Row],[Price_retail]]&lt;=15,1, Real_Sales[[#This Row],[Price_retail]]&lt;=30,2, Real_Sales[[#This Row],[Price_retail]]&lt;=50,3,Real_Sales[[#This Row],[Price_retail]]&gt;50,4)</f>
        <v>3</v>
      </c>
    </row>
    <row r="895" spans="1:26" x14ac:dyDescent="0.35">
      <c r="A895" s="2" t="s">
        <v>2617</v>
      </c>
      <c r="B895" s="2" t="s">
        <v>2618</v>
      </c>
      <c r="C895" s="2" t="s">
        <v>2915</v>
      </c>
      <c r="D895" s="2" t="s">
        <v>694</v>
      </c>
      <c r="E895" s="2" t="s">
        <v>4</v>
      </c>
      <c r="F895" s="2" t="s">
        <v>5</v>
      </c>
      <c r="G895" s="2" t="s">
        <v>82</v>
      </c>
      <c r="H895" s="2" t="s">
        <v>139</v>
      </c>
      <c r="I895" s="2" t="s">
        <v>3393</v>
      </c>
      <c r="J895" s="3">
        <v>32.450000000000003</v>
      </c>
      <c r="K895" s="3">
        <v>32.450000000000003</v>
      </c>
      <c r="L895" s="2" t="s">
        <v>3391</v>
      </c>
      <c r="M895" s="2" t="s">
        <v>9</v>
      </c>
      <c r="N895" s="3">
        <v>575</v>
      </c>
      <c r="O895" s="2" t="s">
        <v>3392</v>
      </c>
      <c r="P895" s="2" t="s">
        <v>3392</v>
      </c>
      <c r="Q895" s="3"/>
      <c r="R895" s="3"/>
      <c r="S895" s="2" t="s">
        <v>21</v>
      </c>
      <c r="T895" s="4">
        <v>44955</v>
      </c>
      <c r="U895" s="2" t="s">
        <v>2619</v>
      </c>
      <c r="V895" s="6">
        <f>(Real_Sales[[#This Row],[Price_retail]]-Real_Sales[[#This Row],[Price_current]])/Real_Sales[[#This Row],[Price_retail]]</f>
        <v>0</v>
      </c>
      <c r="W895" s="3" t="str" cm="1">
        <f t="array" ref="W89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95" s="2" t="str">
        <f>IF(Real_Sales[[#This Row],[Price_retail]]&gt;$AC$3,"Premium","Average")</f>
        <v>Premium</v>
      </c>
      <c r="Y895" s="2" t="str">
        <f>IF(ISNUMBER(SEARCH("Basic",Real_Sales[[#This Row],[Product_name]])),"Yes","No")</f>
        <v>No</v>
      </c>
      <c r="Z895" s="2" cm="1">
        <f t="array" ref="Z895">_xlfn.IFS(Real_Sales[[#This Row],[Price_retail]]&lt;=15,1, Real_Sales[[#This Row],[Price_retail]]&lt;=30,2, Real_Sales[[#This Row],[Price_retail]]&lt;=50,3,Real_Sales[[#This Row],[Price_retail]]&gt;50,4)</f>
        <v>3</v>
      </c>
    </row>
    <row r="896" spans="1:26" x14ac:dyDescent="0.35">
      <c r="A896" s="2" t="s">
        <v>39</v>
      </c>
      <c r="B896" s="2" t="s">
        <v>40</v>
      </c>
      <c r="C896" s="2" t="s">
        <v>41</v>
      </c>
      <c r="D896" s="2" t="s">
        <v>42</v>
      </c>
      <c r="E896" s="2" t="s">
        <v>4</v>
      </c>
      <c r="F896" s="2" t="s">
        <v>5</v>
      </c>
      <c r="G896" s="2" t="s">
        <v>6</v>
      </c>
      <c r="H896" s="2" t="s">
        <v>19</v>
      </c>
      <c r="I896" s="2" t="s">
        <v>3393</v>
      </c>
      <c r="J896" s="3">
        <v>32.81</v>
      </c>
      <c r="K896" s="3">
        <v>13.19</v>
      </c>
      <c r="L896" s="2" t="s">
        <v>8</v>
      </c>
      <c r="M896" s="2" t="s">
        <v>9</v>
      </c>
      <c r="N896" s="3">
        <v>535</v>
      </c>
      <c r="O896" s="2" t="s">
        <v>43</v>
      </c>
      <c r="P896" s="2" t="s">
        <v>44</v>
      </c>
      <c r="Q896" s="3"/>
      <c r="R896" s="3"/>
      <c r="S896" s="2" t="s">
        <v>21</v>
      </c>
      <c r="T896" s="4">
        <v>44955</v>
      </c>
      <c r="U896" s="2" t="s">
        <v>45</v>
      </c>
      <c r="V896" s="6">
        <f>(Real_Sales[[#This Row],[Price_retail]]-Real_Sales[[#This Row],[Price_current]])/Real_Sales[[#This Row],[Price_retail]]</f>
        <v>0.59798841816519366</v>
      </c>
      <c r="W896" s="3" t="str" cm="1">
        <f t="array" ref="W896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896" s="2" t="str">
        <f>IF(Real_Sales[[#This Row],[Price_retail]]&gt;$AC$3,"Premium","Average")</f>
        <v>Premium</v>
      </c>
      <c r="Y896" s="2" t="str">
        <f>IF(ISNUMBER(SEARCH("Basic",Real_Sales[[#This Row],[Product_name]])),"Yes","No")</f>
        <v>No</v>
      </c>
      <c r="Z896" s="2" cm="1">
        <f t="array" ref="Z896">_xlfn.IFS(Real_Sales[[#This Row],[Price_retail]]&lt;=15,1, Real_Sales[[#This Row],[Price_retail]]&lt;=30,2, Real_Sales[[#This Row],[Price_retail]]&lt;=50,3,Real_Sales[[#This Row],[Price_retail]]&gt;50,4)</f>
        <v>3</v>
      </c>
    </row>
    <row r="897" spans="1:26" x14ac:dyDescent="0.35">
      <c r="A897" s="2" t="s">
        <v>397</v>
      </c>
      <c r="B897" s="2" t="s">
        <v>398</v>
      </c>
      <c r="C897" s="2" t="s">
        <v>399</v>
      </c>
      <c r="D897" s="2" t="s">
        <v>400</v>
      </c>
      <c r="E897" s="2" t="s">
        <v>4</v>
      </c>
      <c r="F897" s="2" t="s">
        <v>5</v>
      </c>
      <c r="G897" s="2" t="s">
        <v>121</v>
      </c>
      <c r="H897" s="2" t="s">
        <v>185</v>
      </c>
      <c r="I897" s="2" t="s">
        <v>3395</v>
      </c>
      <c r="J897" s="3">
        <v>32.83</v>
      </c>
      <c r="K897" s="3">
        <v>23.07</v>
      </c>
      <c r="L897" s="2" t="s">
        <v>8</v>
      </c>
      <c r="M897" s="2" t="s">
        <v>9</v>
      </c>
      <c r="N897" s="3">
        <v>487</v>
      </c>
      <c r="O897" s="2" t="s">
        <v>261</v>
      </c>
      <c r="P897" s="2" t="s">
        <v>76</v>
      </c>
      <c r="Q897" s="3"/>
      <c r="R897" s="3"/>
      <c r="S897" s="2" t="s">
        <v>21</v>
      </c>
      <c r="T897" s="4">
        <v>44955</v>
      </c>
      <c r="U897" s="2" t="s">
        <v>401</v>
      </c>
      <c r="V897" s="6">
        <f>(Real_Sales[[#This Row],[Price_retail]]-Real_Sales[[#This Row],[Price_current]])/Real_Sales[[#This Row],[Price_retail]]</f>
        <v>0.29728906487968315</v>
      </c>
      <c r="W897" s="3" t="str" cm="1">
        <f t="array" ref="W89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97" s="2" t="str">
        <f>IF(Real_Sales[[#This Row],[Price_retail]]&gt;$AC$3,"Premium","Average")</f>
        <v>Premium</v>
      </c>
      <c r="Y897" s="2" t="str">
        <f>IF(ISNUMBER(SEARCH("Basic",Real_Sales[[#This Row],[Product_name]])),"Yes","No")</f>
        <v>No</v>
      </c>
      <c r="Z897" s="2" cm="1">
        <f t="array" ref="Z897">_xlfn.IFS(Real_Sales[[#This Row],[Price_retail]]&lt;=15,1, Real_Sales[[#This Row],[Price_retail]]&lt;=30,2, Real_Sales[[#This Row],[Price_retail]]&lt;=50,3,Real_Sales[[#This Row],[Price_retail]]&gt;50,4)</f>
        <v>3</v>
      </c>
    </row>
    <row r="898" spans="1:26" x14ac:dyDescent="0.35">
      <c r="A898" s="2" t="s">
        <v>2228</v>
      </c>
      <c r="B898" s="2" t="s">
        <v>2229</v>
      </c>
      <c r="C898" s="2" t="s">
        <v>423</v>
      </c>
      <c r="D898" s="2" t="s">
        <v>190</v>
      </c>
      <c r="E898" s="2" t="s">
        <v>4</v>
      </c>
      <c r="F898" s="2" t="s">
        <v>5</v>
      </c>
      <c r="G898" s="2" t="s">
        <v>82</v>
      </c>
      <c r="H898" s="2" t="s">
        <v>134</v>
      </c>
      <c r="I898" s="2" t="s">
        <v>3393</v>
      </c>
      <c r="J898" s="3">
        <v>32.840000000000003</v>
      </c>
      <c r="K898" s="3">
        <v>19.7</v>
      </c>
      <c r="L898" s="2" t="s">
        <v>8</v>
      </c>
      <c r="M898" s="2" t="s">
        <v>9</v>
      </c>
      <c r="N898" s="3">
        <v>495</v>
      </c>
      <c r="O898" s="2" t="s">
        <v>359</v>
      </c>
      <c r="P898" s="2" t="s">
        <v>30</v>
      </c>
      <c r="Q898" s="3"/>
      <c r="R898" s="3"/>
      <c r="S898" s="2" t="s">
        <v>21</v>
      </c>
      <c r="T898" s="4">
        <v>44955</v>
      </c>
      <c r="U898" s="2" t="s">
        <v>2230</v>
      </c>
      <c r="V898" s="6">
        <f>(Real_Sales[[#This Row],[Price_retail]]-Real_Sales[[#This Row],[Price_current]])/Real_Sales[[#This Row],[Price_retail]]</f>
        <v>0.40012180267965902</v>
      </c>
      <c r="W898" s="3" t="str" cm="1">
        <f t="array" ref="W89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898" s="2" t="str">
        <f>IF(Real_Sales[[#This Row],[Price_retail]]&gt;$AC$3,"Premium","Average")</f>
        <v>Premium</v>
      </c>
      <c r="Y898" s="2" t="str">
        <f>IF(ISNUMBER(SEARCH("Basic",Real_Sales[[#This Row],[Product_name]])),"Yes","No")</f>
        <v>Yes</v>
      </c>
      <c r="Z898" s="2" cm="1">
        <f t="array" ref="Z898">_xlfn.IFS(Real_Sales[[#This Row],[Price_retail]]&lt;=15,1, Real_Sales[[#This Row],[Price_retail]]&lt;=30,2, Real_Sales[[#This Row],[Price_retail]]&lt;=50,3,Real_Sales[[#This Row],[Price_retail]]&gt;50,4)</f>
        <v>3</v>
      </c>
    </row>
    <row r="899" spans="1:26" x14ac:dyDescent="0.35">
      <c r="A899" s="2" t="s">
        <v>330</v>
      </c>
      <c r="B899" s="2" t="s">
        <v>331</v>
      </c>
      <c r="C899" s="2" t="s">
        <v>2179</v>
      </c>
      <c r="D899" s="2" t="s">
        <v>332</v>
      </c>
      <c r="E899" s="2" t="s">
        <v>4</v>
      </c>
      <c r="F899" s="2" t="s">
        <v>5</v>
      </c>
      <c r="G899" s="2" t="s">
        <v>82</v>
      </c>
      <c r="H899" s="2" t="s">
        <v>333</v>
      </c>
      <c r="I899" s="2" t="s">
        <v>3395</v>
      </c>
      <c r="J899" s="3">
        <v>32.96</v>
      </c>
      <c r="K899" s="3">
        <v>32.96</v>
      </c>
      <c r="L899" s="2" t="s">
        <v>3391</v>
      </c>
      <c r="M899" s="2" t="s">
        <v>9</v>
      </c>
      <c r="N899" s="3">
        <v>678</v>
      </c>
      <c r="O899" s="2" t="s">
        <v>3392</v>
      </c>
      <c r="P899" s="2" t="s">
        <v>334</v>
      </c>
      <c r="Q899" s="3"/>
      <c r="R899" s="3"/>
      <c r="S899" s="2" t="s">
        <v>21</v>
      </c>
      <c r="T899" s="4">
        <v>44955</v>
      </c>
      <c r="U899" s="2" t="s">
        <v>335</v>
      </c>
      <c r="V899" s="6">
        <f>(Real_Sales[[#This Row],[Price_retail]]-Real_Sales[[#This Row],[Price_current]])/Real_Sales[[#This Row],[Price_retail]]</f>
        <v>0</v>
      </c>
      <c r="W899" s="3" t="str" cm="1">
        <f t="array" ref="W89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899" s="2" t="str">
        <f>IF(Real_Sales[[#This Row],[Price_retail]]&gt;$AC$3,"Premium","Average")</f>
        <v>Premium</v>
      </c>
      <c r="Y899" s="2" t="str">
        <f>IF(ISNUMBER(SEARCH("Basic",Real_Sales[[#This Row],[Product_name]])),"Yes","No")</f>
        <v>No</v>
      </c>
      <c r="Z899" s="2" cm="1">
        <f t="array" ref="Z899">_xlfn.IFS(Real_Sales[[#This Row],[Price_retail]]&lt;=15,1, Real_Sales[[#This Row],[Price_retail]]&lt;=30,2, Real_Sales[[#This Row],[Price_retail]]&lt;=50,3,Real_Sales[[#This Row],[Price_retail]]&gt;50,4)</f>
        <v>3</v>
      </c>
    </row>
    <row r="900" spans="1:26" x14ac:dyDescent="0.35">
      <c r="A900" s="2" t="s">
        <v>390</v>
      </c>
      <c r="B900" s="2" t="s">
        <v>391</v>
      </c>
      <c r="C900" s="2" t="s">
        <v>65</v>
      </c>
      <c r="D900" s="2" t="s">
        <v>392</v>
      </c>
      <c r="E900" s="2" t="s">
        <v>4</v>
      </c>
      <c r="F900" s="2" t="s">
        <v>17</v>
      </c>
      <c r="G900" s="2" t="s">
        <v>50</v>
      </c>
      <c r="H900" s="2" t="s">
        <v>19</v>
      </c>
      <c r="I900" s="2" t="s">
        <v>3395</v>
      </c>
      <c r="J900" s="3">
        <v>32.99</v>
      </c>
      <c r="K900" s="3">
        <v>16.43</v>
      </c>
      <c r="L900" s="2" t="s">
        <v>8</v>
      </c>
      <c r="M900" s="2" t="s">
        <v>9</v>
      </c>
      <c r="N900" s="3">
        <v>598</v>
      </c>
      <c r="O900" s="2" t="s">
        <v>3392</v>
      </c>
      <c r="P900" s="2" t="s">
        <v>44</v>
      </c>
      <c r="Q900" s="3"/>
      <c r="R900" s="3"/>
      <c r="S900" s="2" t="s">
        <v>21</v>
      </c>
      <c r="T900" s="4">
        <v>44955</v>
      </c>
      <c r="U900" s="2" t="s">
        <v>393</v>
      </c>
      <c r="V900" s="6">
        <f>(Real_Sales[[#This Row],[Price_retail]]-Real_Sales[[#This Row],[Price_current]])/Real_Sales[[#This Row],[Price_retail]]</f>
        <v>0.50197029402849347</v>
      </c>
      <c r="W900" s="3" t="str" cm="1">
        <f t="array" ref="W900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900" s="2" t="str">
        <f>IF(Real_Sales[[#This Row],[Price_retail]]&gt;$AC$3,"Premium","Average")</f>
        <v>Premium</v>
      </c>
      <c r="Y900" s="2" t="str">
        <f>IF(ISNUMBER(SEARCH("Basic",Real_Sales[[#This Row],[Product_name]])),"Yes","No")</f>
        <v>No</v>
      </c>
      <c r="Z900" s="2" cm="1">
        <f t="array" ref="Z900">_xlfn.IFS(Real_Sales[[#This Row],[Price_retail]]&lt;=15,1, Real_Sales[[#This Row],[Price_retail]]&lt;=30,2, Real_Sales[[#This Row],[Price_retail]]&lt;=50,3,Real_Sales[[#This Row],[Price_retail]]&gt;50,4)</f>
        <v>3</v>
      </c>
    </row>
    <row r="901" spans="1:26" x14ac:dyDescent="0.35">
      <c r="A901" s="2" t="s">
        <v>381</v>
      </c>
      <c r="B901" s="2" t="s">
        <v>382</v>
      </c>
      <c r="C901" s="2" t="s">
        <v>383</v>
      </c>
      <c r="D901" s="2" t="s">
        <v>162</v>
      </c>
      <c r="E901" s="2" t="s">
        <v>4</v>
      </c>
      <c r="F901" s="2" t="s">
        <v>17</v>
      </c>
      <c r="G901" s="2" t="s">
        <v>50</v>
      </c>
      <c r="H901" s="2" t="s">
        <v>35</v>
      </c>
      <c r="I901" s="2" t="s">
        <v>3389</v>
      </c>
      <c r="J901" s="3">
        <v>32.99</v>
      </c>
      <c r="K901" s="3">
        <v>26.01</v>
      </c>
      <c r="L901" s="2" t="s">
        <v>8</v>
      </c>
      <c r="M901" s="2" t="s">
        <v>9</v>
      </c>
      <c r="N901" s="3">
        <v>259</v>
      </c>
      <c r="O901" s="2" t="s">
        <v>43</v>
      </c>
      <c r="P901" s="2" t="s">
        <v>238</v>
      </c>
      <c r="Q901" s="3"/>
      <c r="R901" s="3"/>
      <c r="S901" s="2" t="s">
        <v>12</v>
      </c>
      <c r="T901" s="4">
        <v>44955</v>
      </c>
      <c r="U901" s="2" t="s">
        <v>384</v>
      </c>
      <c r="V901" s="6">
        <f>(Real_Sales[[#This Row],[Price_retail]]-Real_Sales[[#This Row],[Price_current]])/Real_Sales[[#This Row],[Price_retail]]</f>
        <v>0.21157926644437708</v>
      </c>
      <c r="W901" s="3" t="str" cm="1">
        <f t="array" ref="W90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01" s="2" t="str">
        <f>IF(Real_Sales[[#This Row],[Price_retail]]&gt;$AC$3,"Premium","Average")</f>
        <v>Premium</v>
      </c>
      <c r="Y901" s="2" t="str">
        <f>IF(ISNUMBER(SEARCH("Basic",Real_Sales[[#This Row],[Product_name]])),"Yes","No")</f>
        <v>No</v>
      </c>
      <c r="Z901" s="2" cm="1">
        <f t="array" ref="Z901">_xlfn.IFS(Real_Sales[[#This Row],[Price_retail]]&lt;=15,1, Real_Sales[[#This Row],[Price_retail]]&lt;=30,2, Real_Sales[[#This Row],[Price_retail]]&lt;=50,3,Real_Sales[[#This Row],[Price_retail]]&gt;50,4)</f>
        <v>3</v>
      </c>
    </row>
    <row r="902" spans="1:26" x14ac:dyDescent="0.35">
      <c r="A902" s="2" t="s">
        <v>325</v>
      </c>
      <c r="B902" s="2" t="s">
        <v>326</v>
      </c>
      <c r="C902" s="2" t="s">
        <v>3394</v>
      </c>
      <c r="D902" s="2" t="s">
        <v>327</v>
      </c>
      <c r="E902" s="2" t="s">
        <v>4</v>
      </c>
      <c r="F902" s="2" t="s">
        <v>5</v>
      </c>
      <c r="G902" s="2" t="s">
        <v>121</v>
      </c>
      <c r="H902" s="2" t="s">
        <v>110</v>
      </c>
      <c r="I902" s="2" t="s">
        <v>3393</v>
      </c>
      <c r="J902" s="3">
        <v>33.19</v>
      </c>
      <c r="K902" s="3">
        <v>33.19</v>
      </c>
      <c r="L902" s="2" t="s">
        <v>3391</v>
      </c>
      <c r="M902" s="2" t="s">
        <v>9</v>
      </c>
      <c r="N902" s="3">
        <v>782</v>
      </c>
      <c r="O902" s="2" t="s">
        <v>3392</v>
      </c>
      <c r="P902" s="2" t="s">
        <v>328</v>
      </c>
      <c r="Q902" s="3"/>
      <c r="R902" s="3"/>
      <c r="S902" s="2" t="s">
        <v>21</v>
      </c>
      <c r="T902" s="4">
        <v>44955</v>
      </c>
      <c r="U902" s="2" t="s">
        <v>329</v>
      </c>
      <c r="V902" s="6">
        <f>(Real_Sales[[#This Row],[Price_retail]]-Real_Sales[[#This Row],[Price_current]])/Real_Sales[[#This Row],[Price_retail]]</f>
        <v>0</v>
      </c>
      <c r="W902" s="3" t="str" cm="1">
        <f t="array" ref="W90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02" s="2" t="str">
        <f>IF(Real_Sales[[#This Row],[Price_retail]]&gt;$AC$3,"Premium","Average")</f>
        <v>Premium</v>
      </c>
      <c r="Y902" s="2" t="str">
        <f>IF(ISNUMBER(SEARCH("Basic",Real_Sales[[#This Row],[Product_name]])),"Yes","No")</f>
        <v>No</v>
      </c>
      <c r="Z902" s="2" cm="1">
        <f t="array" ref="Z902">_xlfn.IFS(Real_Sales[[#This Row],[Price_retail]]&lt;=15,1, Real_Sales[[#This Row],[Price_retail]]&lt;=30,2, Real_Sales[[#This Row],[Price_retail]]&lt;=50,3,Real_Sales[[#This Row],[Price_retail]]&gt;50,4)</f>
        <v>3</v>
      </c>
    </row>
    <row r="903" spans="1:26" x14ac:dyDescent="0.35">
      <c r="A903" s="2" t="s">
        <v>2286</v>
      </c>
      <c r="B903" s="2" t="s">
        <v>2287</v>
      </c>
      <c r="C903" s="2" t="s">
        <v>3394</v>
      </c>
      <c r="D903" s="2" t="s">
        <v>533</v>
      </c>
      <c r="E903" s="2" t="s">
        <v>4</v>
      </c>
      <c r="F903" s="2" t="s">
        <v>17</v>
      </c>
      <c r="G903" s="2" t="s">
        <v>18</v>
      </c>
      <c r="H903" s="2" t="s">
        <v>59</v>
      </c>
      <c r="I903" s="2" t="s">
        <v>3395</v>
      </c>
      <c r="J903" s="3">
        <v>33.22</v>
      </c>
      <c r="K903" s="3">
        <v>33.22</v>
      </c>
      <c r="L903" s="2" t="s">
        <v>3391</v>
      </c>
      <c r="M903" s="2" t="s">
        <v>9</v>
      </c>
      <c r="N903" s="3">
        <v>677</v>
      </c>
      <c r="O903" s="2" t="s">
        <v>267</v>
      </c>
      <c r="P903" s="2" t="s">
        <v>37</v>
      </c>
      <c r="Q903" s="3"/>
      <c r="R903" s="3"/>
      <c r="S903" s="2" t="s">
        <v>21</v>
      </c>
      <c r="T903" s="4">
        <v>44955</v>
      </c>
      <c r="U903" s="2" t="s">
        <v>2288</v>
      </c>
      <c r="V903" s="6">
        <f>(Real_Sales[[#This Row],[Price_retail]]-Real_Sales[[#This Row],[Price_current]])/Real_Sales[[#This Row],[Price_retail]]</f>
        <v>0</v>
      </c>
      <c r="W903" s="3" t="str" cm="1">
        <f t="array" ref="W90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03" s="2" t="str">
        <f>IF(Real_Sales[[#This Row],[Price_retail]]&gt;$AC$3,"Premium","Average")</f>
        <v>Premium</v>
      </c>
      <c r="Y903" s="2" t="str">
        <f>IF(ISNUMBER(SEARCH("Basic",Real_Sales[[#This Row],[Product_name]])),"Yes","No")</f>
        <v>No</v>
      </c>
      <c r="Z903" s="2" cm="1">
        <f t="array" ref="Z903">_xlfn.IFS(Real_Sales[[#This Row],[Price_retail]]&lt;=15,1, Real_Sales[[#This Row],[Price_retail]]&lt;=30,2, Real_Sales[[#This Row],[Price_retail]]&lt;=50,3,Real_Sales[[#This Row],[Price_retail]]&gt;50,4)</f>
        <v>3</v>
      </c>
    </row>
    <row r="904" spans="1:26" x14ac:dyDescent="0.35">
      <c r="A904" s="2" t="s">
        <v>2202</v>
      </c>
      <c r="B904" s="2" t="s">
        <v>2203</v>
      </c>
      <c r="C904" s="2" t="s">
        <v>1355</v>
      </c>
      <c r="D904" s="2" t="s">
        <v>3</v>
      </c>
      <c r="E904" s="2" t="s">
        <v>4</v>
      </c>
      <c r="F904" s="2" t="s">
        <v>5</v>
      </c>
      <c r="G904" s="2" t="s">
        <v>121</v>
      </c>
      <c r="H904" s="2" t="s">
        <v>7</v>
      </c>
      <c r="I904" s="2" t="s">
        <v>3389</v>
      </c>
      <c r="J904" s="3">
        <v>33.31</v>
      </c>
      <c r="K904" s="3">
        <v>33.31</v>
      </c>
      <c r="L904" s="2" t="s">
        <v>248</v>
      </c>
      <c r="M904" s="2" t="s">
        <v>9</v>
      </c>
      <c r="N904" s="3">
        <v>719</v>
      </c>
      <c r="O904" s="2" t="s">
        <v>3392</v>
      </c>
      <c r="P904" s="2" t="s">
        <v>128</v>
      </c>
      <c r="Q904" s="3"/>
      <c r="R904" s="3"/>
      <c r="S904" s="2" t="s">
        <v>12</v>
      </c>
      <c r="T904" s="4">
        <v>44955</v>
      </c>
      <c r="U904" s="2" t="s">
        <v>2204</v>
      </c>
      <c r="V904" s="6">
        <f>(Real_Sales[[#This Row],[Price_retail]]-Real_Sales[[#This Row],[Price_current]])/Real_Sales[[#This Row],[Price_retail]]</f>
        <v>0</v>
      </c>
      <c r="W904" s="3" t="str" cm="1">
        <f t="array" ref="W90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04" s="2" t="str">
        <f>IF(Real_Sales[[#This Row],[Price_retail]]&gt;$AC$3,"Premium","Average")</f>
        <v>Premium</v>
      </c>
      <c r="Y904" s="2" t="str">
        <f>IF(ISNUMBER(SEARCH("Basic",Real_Sales[[#This Row],[Product_name]])),"Yes","No")</f>
        <v>No</v>
      </c>
      <c r="Z904" s="2" cm="1">
        <f t="array" ref="Z904">_xlfn.IFS(Real_Sales[[#This Row],[Price_retail]]&lt;=15,1, Real_Sales[[#This Row],[Price_retail]]&lt;=30,2, Real_Sales[[#This Row],[Price_retail]]&lt;=50,3,Real_Sales[[#This Row],[Price_retail]]&gt;50,4)</f>
        <v>3</v>
      </c>
    </row>
    <row r="905" spans="1:26" x14ac:dyDescent="0.35">
      <c r="A905" s="2" t="s">
        <v>651</v>
      </c>
      <c r="B905" s="2" t="s">
        <v>652</v>
      </c>
      <c r="C905" s="2" t="s">
        <v>3394</v>
      </c>
      <c r="D905" s="2" t="s">
        <v>653</v>
      </c>
      <c r="E905" s="2" t="s">
        <v>4</v>
      </c>
      <c r="F905" s="2" t="s">
        <v>17</v>
      </c>
      <c r="G905" s="2" t="s">
        <v>27</v>
      </c>
      <c r="H905" s="2" t="s">
        <v>110</v>
      </c>
      <c r="I905" s="2" t="s">
        <v>3393</v>
      </c>
      <c r="J905" s="3">
        <v>33.380000000000003</v>
      </c>
      <c r="K905" s="3">
        <v>18.940000000000001</v>
      </c>
      <c r="L905" s="2" t="s">
        <v>8</v>
      </c>
      <c r="M905" s="2" t="s">
        <v>9</v>
      </c>
      <c r="N905" s="3">
        <v>307</v>
      </c>
      <c r="O905" s="2" t="s">
        <v>20</v>
      </c>
      <c r="P905" s="2" t="s">
        <v>3392</v>
      </c>
      <c r="Q905" s="3"/>
      <c r="R905" s="3"/>
      <c r="S905" s="2" t="s">
        <v>12</v>
      </c>
      <c r="T905" s="4">
        <v>44955</v>
      </c>
      <c r="U905" s="2" t="s">
        <v>654</v>
      </c>
      <c r="V905" s="6">
        <f>(Real_Sales[[#This Row],[Price_retail]]-Real_Sales[[#This Row],[Price_current]])/Real_Sales[[#This Row],[Price_retail]]</f>
        <v>0.43259436788496108</v>
      </c>
      <c r="W905" s="3" t="str" cm="1">
        <f t="array" ref="W90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05" s="2" t="str">
        <f>IF(Real_Sales[[#This Row],[Price_retail]]&gt;$AC$3,"Premium","Average")</f>
        <v>Premium</v>
      </c>
      <c r="Y905" s="2" t="str">
        <f>IF(ISNUMBER(SEARCH("Basic",Real_Sales[[#This Row],[Product_name]])),"Yes","No")</f>
        <v>No</v>
      </c>
      <c r="Z905" s="2" cm="1">
        <f t="array" ref="Z905">_xlfn.IFS(Real_Sales[[#This Row],[Price_retail]]&lt;=15,1, Real_Sales[[#This Row],[Price_retail]]&lt;=30,2, Real_Sales[[#This Row],[Price_retail]]&lt;=50,3,Real_Sales[[#This Row],[Price_retail]]&gt;50,4)</f>
        <v>3</v>
      </c>
    </row>
    <row r="906" spans="1:26" x14ac:dyDescent="0.35">
      <c r="A906" s="2" t="s">
        <v>878</v>
      </c>
      <c r="B906" s="2" t="s">
        <v>879</v>
      </c>
      <c r="C906" s="2" t="s">
        <v>65</v>
      </c>
      <c r="D906" s="2" t="s">
        <v>734</v>
      </c>
      <c r="E906" s="2" t="s">
        <v>4</v>
      </c>
      <c r="F906" s="2" t="s">
        <v>5</v>
      </c>
      <c r="G906" s="2" t="s">
        <v>82</v>
      </c>
      <c r="H906" s="2" t="s">
        <v>19</v>
      </c>
      <c r="I906" s="2" t="s">
        <v>3393</v>
      </c>
      <c r="J906" s="3">
        <v>33.47</v>
      </c>
      <c r="K906" s="3">
        <v>25.71</v>
      </c>
      <c r="L906" s="2" t="s">
        <v>8</v>
      </c>
      <c r="M906" s="2" t="s">
        <v>9</v>
      </c>
      <c r="N906" s="3">
        <v>573</v>
      </c>
      <c r="O906" s="2" t="s">
        <v>98</v>
      </c>
      <c r="P906" s="2" t="s">
        <v>3392</v>
      </c>
      <c r="Q906" s="3"/>
      <c r="R906" s="3"/>
      <c r="S906" s="2" t="s">
        <v>21</v>
      </c>
      <c r="T906" s="4">
        <v>44955</v>
      </c>
      <c r="U906" s="2" t="s">
        <v>880</v>
      </c>
      <c r="V906" s="6">
        <f>(Real_Sales[[#This Row],[Price_retail]]-Real_Sales[[#This Row],[Price_current]])/Real_Sales[[#This Row],[Price_retail]]</f>
        <v>0.23184941738870626</v>
      </c>
      <c r="W906" s="3" t="str" cm="1">
        <f t="array" ref="W90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06" s="2" t="str">
        <f>IF(Real_Sales[[#This Row],[Price_retail]]&gt;$AC$3,"Premium","Average")</f>
        <v>Premium</v>
      </c>
      <c r="Y906" s="2" t="str">
        <f>IF(ISNUMBER(SEARCH("Basic",Real_Sales[[#This Row],[Product_name]])),"Yes","No")</f>
        <v>No</v>
      </c>
      <c r="Z906" s="2" cm="1">
        <f t="array" ref="Z906">_xlfn.IFS(Real_Sales[[#This Row],[Price_retail]]&lt;=15,1, Real_Sales[[#This Row],[Price_retail]]&lt;=30,2, Real_Sales[[#This Row],[Price_retail]]&lt;=50,3,Real_Sales[[#This Row],[Price_retail]]&gt;50,4)</f>
        <v>3</v>
      </c>
    </row>
    <row r="907" spans="1:26" x14ac:dyDescent="0.35">
      <c r="A907" s="2" t="s">
        <v>1232</v>
      </c>
      <c r="B907" s="2" t="s">
        <v>1233</v>
      </c>
      <c r="C907" s="2" t="s">
        <v>3401</v>
      </c>
      <c r="D907" s="2" t="s">
        <v>115</v>
      </c>
      <c r="E907" s="2" t="s">
        <v>4</v>
      </c>
      <c r="F907" s="2" t="s">
        <v>17</v>
      </c>
      <c r="G907" s="2" t="s">
        <v>27</v>
      </c>
      <c r="H907" s="2" t="s">
        <v>90</v>
      </c>
      <c r="I907" s="2" t="s">
        <v>3393</v>
      </c>
      <c r="J907" s="3">
        <v>33.5</v>
      </c>
      <c r="K907" s="3">
        <v>25.24</v>
      </c>
      <c r="L907" s="2" t="s">
        <v>8</v>
      </c>
      <c r="M907" s="2" t="s">
        <v>9</v>
      </c>
      <c r="N907" s="3">
        <v>146</v>
      </c>
      <c r="O907" s="2" t="s">
        <v>140</v>
      </c>
      <c r="P907" s="2" t="s">
        <v>122</v>
      </c>
      <c r="Q907" s="3"/>
      <c r="R907" s="3"/>
      <c r="S907" s="2" t="s">
        <v>21</v>
      </c>
      <c r="T907" s="4">
        <v>44955</v>
      </c>
      <c r="U907" s="2" t="s">
        <v>1234</v>
      </c>
      <c r="V907" s="6">
        <f>(Real_Sales[[#This Row],[Price_retail]]-Real_Sales[[#This Row],[Price_current]])/Real_Sales[[#This Row],[Price_retail]]</f>
        <v>0.24656716417910451</v>
      </c>
      <c r="W907" s="3" t="str" cm="1">
        <f t="array" ref="W907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07" s="2" t="str">
        <f>IF(Real_Sales[[#This Row],[Price_retail]]&gt;$AC$3,"Premium","Average")</f>
        <v>Premium</v>
      </c>
      <c r="Y907" s="2" t="str">
        <f>IF(ISNUMBER(SEARCH("Basic",Real_Sales[[#This Row],[Product_name]])),"Yes","No")</f>
        <v>No</v>
      </c>
      <c r="Z907" s="2" cm="1">
        <f t="array" ref="Z907">_xlfn.IFS(Real_Sales[[#This Row],[Price_retail]]&lt;=15,1, Real_Sales[[#This Row],[Price_retail]]&lt;=30,2, Real_Sales[[#This Row],[Price_retail]]&lt;=50,3,Real_Sales[[#This Row],[Price_retail]]&gt;50,4)</f>
        <v>3</v>
      </c>
    </row>
    <row r="908" spans="1:26" x14ac:dyDescent="0.35">
      <c r="A908" s="2" t="s">
        <v>444</v>
      </c>
      <c r="B908" s="2" t="s">
        <v>445</v>
      </c>
      <c r="C908" s="2" t="s">
        <v>3406</v>
      </c>
      <c r="D908" s="2" t="s">
        <v>446</v>
      </c>
      <c r="E908" s="2" t="s">
        <v>4</v>
      </c>
      <c r="F908" s="2" t="s">
        <v>17</v>
      </c>
      <c r="G908" s="2" t="s">
        <v>67</v>
      </c>
      <c r="H908" s="2" t="s">
        <v>145</v>
      </c>
      <c r="I908" s="2" t="s">
        <v>3390</v>
      </c>
      <c r="J908" s="3">
        <v>33.57</v>
      </c>
      <c r="K908" s="3">
        <v>22.57</v>
      </c>
      <c r="L908" s="2" t="s">
        <v>8</v>
      </c>
      <c r="M908" s="2" t="s">
        <v>9</v>
      </c>
      <c r="N908" s="3">
        <v>621</v>
      </c>
      <c r="O908" s="2" t="s">
        <v>163</v>
      </c>
      <c r="P908" s="2" t="s">
        <v>186</v>
      </c>
      <c r="Q908" s="3"/>
      <c r="R908" s="3"/>
      <c r="S908" s="2" t="s">
        <v>21</v>
      </c>
      <c r="T908" s="4">
        <v>44955</v>
      </c>
      <c r="U908" s="2" t="s">
        <v>447</v>
      </c>
      <c r="V908" s="6">
        <f>(Real_Sales[[#This Row],[Price_retail]]-Real_Sales[[#This Row],[Price_current]])/Real_Sales[[#This Row],[Price_retail]]</f>
        <v>0.32767351802204348</v>
      </c>
      <c r="W908" s="3" t="str" cm="1">
        <f t="array" ref="W90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08" s="2" t="str">
        <f>IF(Real_Sales[[#This Row],[Price_retail]]&gt;$AC$3,"Premium","Average")</f>
        <v>Premium</v>
      </c>
      <c r="Y908" s="2" t="str">
        <f>IF(ISNUMBER(SEARCH("Basic",Real_Sales[[#This Row],[Product_name]])),"Yes","No")</f>
        <v>Yes</v>
      </c>
      <c r="Z908" s="2" cm="1">
        <f t="array" ref="Z908">_xlfn.IFS(Real_Sales[[#This Row],[Price_retail]]&lt;=15,1, Real_Sales[[#This Row],[Price_retail]]&lt;=30,2, Real_Sales[[#This Row],[Price_retail]]&lt;=50,3,Real_Sales[[#This Row],[Price_retail]]&gt;50,4)</f>
        <v>3</v>
      </c>
    </row>
    <row r="909" spans="1:26" x14ac:dyDescent="0.35">
      <c r="A909" s="2" t="s">
        <v>1296</v>
      </c>
      <c r="B909" s="2" t="s">
        <v>1297</v>
      </c>
      <c r="C909" s="2" t="s">
        <v>3394</v>
      </c>
      <c r="D909" s="2" t="s">
        <v>450</v>
      </c>
      <c r="E909" s="2" t="s">
        <v>4</v>
      </c>
      <c r="F909" s="2" t="s">
        <v>5</v>
      </c>
      <c r="G909" s="2" t="s">
        <v>121</v>
      </c>
      <c r="H909" s="2" t="s">
        <v>59</v>
      </c>
      <c r="I909" s="2" t="s">
        <v>3390</v>
      </c>
      <c r="J909" s="3">
        <v>33.57</v>
      </c>
      <c r="K909" s="3">
        <v>33.57</v>
      </c>
      <c r="L909" s="2" t="s">
        <v>3391</v>
      </c>
      <c r="M909" s="2" t="s">
        <v>9</v>
      </c>
      <c r="N909" s="3">
        <v>498</v>
      </c>
      <c r="O909" s="2" t="s">
        <v>98</v>
      </c>
      <c r="P909" s="2" t="s">
        <v>221</v>
      </c>
      <c r="Q909" s="3"/>
      <c r="R909" s="3"/>
      <c r="S909" s="2" t="s">
        <v>21</v>
      </c>
      <c r="T909" s="4">
        <v>44955</v>
      </c>
      <c r="U909" s="2" t="s">
        <v>1298</v>
      </c>
      <c r="V909" s="6">
        <f>(Real_Sales[[#This Row],[Price_retail]]-Real_Sales[[#This Row],[Price_current]])/Real_Sales[[#This Row],[Price_retail]]</f>
        <v>0</v>
      </c>
      <c r="W909" s="3" t="str" cm="1">
        <f t="array" ref="W90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09" s="2" t="str">
        <f>IF(Real_Sales[[#This Row],[Price_retail]]&gt;$AC$3,"Premium","Average")</f>
        <v>Premium</v>
      </c>
      <c r="Y909" s="2" t="str">
        <f>IF(ISNUMBER(SEARCH("Basic",Real_Sales[[#This Row],[Product_name]])),"Yes","No")</f>
        <v>No</v>
      </c>
      <c r="Z909" s="2" cm="1">
        <f t="array" ref="Z909">_xlfn.IFS(Real_Sales[[#This Row],[Price_retail]]&lt;=15,1, Real_Sales[[#This Row],[Price_retail]]&lt;=30,2, Real_Sales[[#This Row],[Price_retail]]&lt;=50,3,Real_Sales[[#This Row],[Price_retail]]&gt;50,4)</f>
        <v>3</v>
      </c>
    </row>
    <row r="910" spans="1:26" x14ac:dyDescent="0.35">
      <c r="A910" s="2" t="s">
        <v>1404</v>
      </c>
      <c r="B910" s="2" t="s">
        <v>1405</v>
      </c>
      <c r="C910" s="2" t="s">
        <v>65</v>
      </c>
      <c r="D910" s="2" t="s">
        <v>205</v>
      </c>
      <c r="E910" s="2" t="s">
        <v>4</v>
      </c>
      <c r="F910" s="2" t="s">
        <v>17</v>
      </c>
      <c r="G910" s="2" t="s">
        <v>18</v>
      </c>
      <c r="H910" s="2" t="s">
        <v>145</v>
      </c>
      <c r="I910" s="2" t="s">
        <v>3390</v>
      </c>
      <c r="J910" s="3">
        <v>33.869999999999997</v>
      </c>
      <c r="K910" s="3">
        <v>33.869999999999997</v>
      </c>
      <c r="L910" s="2" t="s">
        <v>248</v>
      </c>
      <c r="M910" s="2" t="s">
        <v>9</v>
      </c>
      <c r="N910" s="3">
        <v>48</v>
      </c>
      <c r="O910" s="2" t="s">
        <v>347</v>
      </c>
      <c r="P910" s="2" t="s">
        <v>221</v>
      </c>
      <c r="Q910" s="3"/>
      <c r="R910" s="3"/>
      <c r="S910" s="2" t="s">
        <v>21</v>
      </c>
      <c r="T910" s="4">
        <v>44955</v>
      </c>
      <c r="U910" s="2" t="s">
        <v>1406</v>
      </c>
      <c r="V910" s="6">
        <f>(Real_Sales[[#This Row],[Price_retail]]-Real_Sales[[#This Row],[Price_current]])/Real_Sales[[#This Row],[Price_retail]]</f>
        <v>0</v>
      </c>
      <c r="W910" s="3" t="str" cm="1">
        <f t="array" ref="W91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0" s="2" t="str">
        <f>IF(Real_Sales[[#This Row],[Price_retail]]&gt;$AC$3,"Premium","Average")</f>
        <v>Premium</v>
      </c>
      <c r="Y910" s="2" t="str">
        <f>IF(ISNUMBER(SEARCH("Basic",Real_Sales[[#This Row],[Product_name]])),"Yes","No")</f>
        <v>No</v>
      </c>
      <c r="Z910" s="2" cm="1">
        <f t="array" ref="Z910">_xlfn.IFS(Real_Sales[[#This Row],[Price_retail]]&lt;=15,1, Real_Sales[[#This Row],[Price_retail]]&lt;=30,2, Real_Sales[[#This Row],[Price_retail]]&lt;=50,3,Real_Sales[[#This Row],[Price_retail]]&gt;50,4)</f>
        <v>3</v>
      </c>
    </row>
    <row r="911" spans="1:26" x14ac:dyDescent="0.35">
      <c r="A911" s="2" t="s">
        <v>2856</v>
      </c>
      <c r="B911" s="2" t="s">
        <v>2857</v>
      </c>
      <c r="C911" s="2" t="s">
        <v>65</v>
      </c>
      <c r="D911" s="2" t="s">
        <v>314</v>
      </c>
      <c r="E911" s="2" t="s">
        <v>4</v>
      </c>
      <c r="F911" s="2" t="s">
        <v>17</v>
      </c>
      <c r="G911" s="2" t="s">
        <v>50</v>
      </c>
      <c r="H911" s="2" t="s">
        <v>59</v>
      </c>
      <c r="I911" s="2" t="s">
        <v>3393</v>
      </c>
      <c r="J911" s="3">
        <v>34.31</v>
      </c>
      <c r="K911" s="3">
        <v>34.31</v>
      </c>
      <c r="L911" s="2" t="s">
        <v>3391</v>
      </c>
      <c r="M911" s="2" t="s">
        <v>9</v>
      </c>
      <c r="N911" s="3">
        <v>751</v>
      </c>
      <c r="O911" s="2" t="s">
        <v>36</v>
      </c>
      <c r="P911" s="2" t="s">
        <v>215</v>
      </c>
      <c r="Q911" s="3"/>
      <c r="R911" s="3"/>
      <c r="S911" s="2" t="s">
        <v>21</v>
      </c>
      <c r="T911" s="4">
        <v>44955</v>
      </c>
      <c r="U911" s="2" t="s">
        <v>2858</v>
      </c>
      <c r="V911" s="6">
        <f>(Real_Sales[[#This Row],[Price_retail]]-Real_Sales[[#This Row],[Price_current]])/Real_Sales[[#This Row],[Price_retail]]</f>
        <v>0</v>
      </c>
      <c r="W911" s="3" t="str" cm="1">
        <f t="array" ref="W91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1" s="2" t="str">
        <f>IF(Real_Sales[[#This Row],[Price_retail]]&gt;$AC$3,"Premium","Average")</f>
        <v>Premium</v>
      </c>
      <c r="Y911" s="2" t="str">
        <f>IF(ISNUMBER(SEARCH("Basic",Real_Sales[[#This Row],[Product_name]])),"Yes","No")</f>
        <v>No</v>
      </c>
      <c r="Z911" s="2" cm="1">
        <f t="array" ref="Z911">_xlfn.IFS(Real_Sales[[#This Row],[Price_retail]]&lt;=15,1, Real_Sales[[#This Row],[Price_retail]]&lt;=30,2, Real_Sales[[#This Row],[Price_retail]]&lt;=50,3,Real_Sales[[#This Row],[Price_retail]]&gt;50,4)</f>
        <v>3</v>
      </c>
    </row>
    <row r="912" spans="1:26" x14ac:dyDescent="0.35">
      <c r="A912" s="2" t="s">
        <v>2993</v>
      </c>
      <c r="B912" s="2" t="s">
        <v>2994</v>
      </c>
      <c r="C912" s="2" t="s">
        <v>3413</v>
      </c>
      <c r="D912" s="2" t="s">
        <v>301</v>
      </c>
      <c r="E912" s="2" t="s">
        <v>4</v>
      </c>
      <c r="F912" s="2" t="s">
        <v>17</v>
      </c>
      <c r="G912" s="2" t="s">
        <v>18</v>
      </c>
      <c r="H912" s="2" t="s">
        <v>145</v>
      </c>
      <c r="I912" s="2" t="s">
        <v>3393</v>
      </c>
      <c r="J912" s="3">
        <v>34.51</v>
      </c>
      <c r="K912" s="3">
        <v>34.51</v>
      </c>
      <c r="L912" s="2" t="s">
        <v>3391</v>
      </c>
      <c r="M912" s="2" t="s">
        <v>9</v>
      </c>
      <c r="N912" s="3">
        <v>367</v>
      </c>
      <c r="O912" s="2" t="s">
        <v>52</v>
      </c>
      <c r="P912" s="2" t="s">
        <v>37</v>
      </c>
      <c r="Q912" s="3"/>
      <c r="R912" s="3"/>
      <c r="S912" s="2" t="s">
        <v>12</v>
      </c>
      <c r="T912" s="4">
        <v>44955</v>
      </c>
      <c r="U912" s="2" t="s">
        <v>2995</v>
      </c>
      <c r="V912" s="6">
        <f>(Real_Sales[[#This Row],[Price_retail]]-Real_Sales[[#This Row],[Price_current]])/Real_Sales[[#This Row],[Price_retail]]</f>
        <v>0</v>
      </c>
      <c r="W912" s="3" t="str" cm="1">
        <f t="array" ref="W91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2" s="2" t="str">
        <f>IF(Real_Sales[[#This Row],[Price_retail]]&gt;$AC$3,"Premium","Average")</f>
        <v>Premium</v>
      </c>
      <c r="Y912" s="2" t="str">
        <f>IF(ISNUMBER(SEARCH("Basic",Real_Sales[[#This Row],[Product_name]])),"Yes","No")</f>
        <v>No</v>
      </c>
      <c r="Z912" s="2" cm="1">
        <f t="array" ref="Z912">_xlfn.IFS(Real_Sales[[#This Row],[Price_retail]]&lt;=15,1, Real_Sales[[#This Row],[Price_retail]]&lt;=30,2, Real_Sales[[#This Row],[Price_retail]]&lt;=50,3,Real_Sales[[#This Row],[Price_retail]]&gt;50,4)</f>
        <v>3</v>
      </c>
    </row>
    <row r="913" spans="1:26" x14ac:dyDescent="0.35">
      <c r="A913" s="2" t="s">
        <v>434</v>
      </c>
      <c r="B913" s="2" t="s">
        <v>435</v>
      </c>
      <c r="C913" s="2" t="s">
        <v>721</v>
      </c>
      <c r="D913" s="2" t="s">
        <v>149</v>
      </c>
      <c r="E913" s="2" t="s">
        <v>4</v>
      </c>
      <c r="F913" s="2" t="s">
        <v>5</v>
      </c>
      <c r="G913" s="2" t="s">
        <v>6</v>
      </c>
      <c r="H913" s="2" t="s">
        <v>28</v>
      </c>
      <c r="I913" s="2" t="s">
        <v>3390</v>
      </c>
      <c r="J913" s="3">
        <v>34.619999999999997</v>
      </c>
      <c r="K913" s="3">
        <v>27.06</v>
      </c>
      <c r="L913" s="2" t="s">
        <v>8</v>
      </c>
      <c r="M913" s="2" t="s">
        <v>9</v>
      </c>
      <c r="N913" s="3">
        <v>294</v>
      </c>
      <c r="O913" s="2" t="s">
        <v>267</v>
      </c>
      <c r="P913" s="2" t="s">
        <v>92</v>
      </c>
      <c r="Q913" s="3"/>
      <c r="R913" s="3"/>
      <c r="S913" s="2" t="s">
        <v>12</v>
      </c>
      <c r="T913" s="4">
        <v>44955</v>
      </c>
      <c r="U913" s="2" t="s">
        <v>436</v>
      </c>
      <c r="V913" s="6">
        <f>(Real_Sales[[#This Row],[Price_retail]]-Real_Sales[[#This Row],[Price_current]])/Real_Sales[[#This Row],[Price_retail]]</f>
        <v>0.21837088388214904</v>
      </c>
      <c r="W913" s="3" t="str" cm="1">
        <f t="array" ref="W91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13" s="2" t="str">
        <f>IF(Real_Sales[[#This Row],[Price_retail]]&gt;$AC$3,"Premium","Average")</f>
        <v>Premium</v>
      </c>
      <c r="Y913" s="2" t="str">
        <f>IF(ISNUMBER(SEARCH("Basic",Real_Sales[[#This Row],[Product_name]])),"Yes","No")</f>
        <v>Yes</v>
      </c>
      <c r="Z913" s="2" cm="1">
        <f t="array" ref="Z913">_xlfn.IFS(Real_Sales[[#This Row],[Price_retail]]&lt;=15,1, Real_Sales[[#This Row],[Price_retail]]&lt;=30,2, Real_Sales[[#This Row],[Price_retail]]&lt;=50,3,Real_Sales[[#This Row],[Price_retail]]&gt;50,4)</f>
        <v>3</v>
      </c>
    </row>
    <row r="914" spans="1:26" x14ac:dyDescent="0.35">
      <c r="A914" s="2" t="s">
        <v>160</v>
      </c>
      <c r="B914" s="2" t="s">
        <v>161</v>
      </c>
      <c r="C914" s="2" t="s">
        <v>65</v>
      </c>
      <c r="D914" s="2" t="s">
        <v>162</v>
      </c>
      <c r="E914" s="2" t="s">
        <v>4</v>
      </c>
      <c r="F914" s="2" t="s">
        <v>17</v>
      </c>
      <c r="G914" s="2" t="s">
        <v>27</v>
      </c>
      <c r="H914" s="2" t="s">
        <v>35</v>
      </c>
      <c r="I914" s="2" t="s">
        <v>3393</v>
      </c>
      <c r="J914" s="3">
        <v>34.82</v>
      </c>
      <c r="K914" s="3">
        <v>34.82</v>
      </c>
      <c r="L914" s="2" t="s">
        <v>3391</v>
      </c>
      <c r="M914" s="2" t="s">
        <v>9</v>
      </c>
      <c r="N914" s="3">
        <v>466</v>
      </c>
      <c r="O914" s="2" t="s">
        <v>3392</v>
      </c>
      <c r="P914" s="2" t="s">
        <v>163</v>
      </c>
      <c r="Q914" s="3"/>
      <c r="R914" s="3"/>
      <c r="S914" s="2" t="s">
        <v>21</v>
      </c>
      <c r="T914" s="4">
        <v>44955</v>
      </c>
      <c r="U914" s="2" t="s">
        <v>164</v>
      </c>
      <c r="V914" s="6">
        <f>(Real_Sales[[#This Row],[Price_retail]]-Real_Sales[[#This Row],[Price_current]])/Real_Sales[[#This Row],[Price_retail]]</f>
        <v>0</v>
      </c>
      <c r="W914" s="3" t="str" cm="1">
        <f t="array" ref="W91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4" s="2" t="str">
        <f>IF(Real_Sales[[#This Row],[Price_retail]]&gt;$AC$3,"Premium","Average")</f>
        <v>Premium</v>
      </c>
      <c r="Y914" s="2" t="str">
        <f>IF(ISNUMBER(SEARCH("Basic",Real_Sales[[#This Row],[Product_name]])),"Yes","No")</f>
        <v>No</v>
      </c>
      <c r="Z914" s="2" cm="1">
        <f t="array" ref="Z914">_xlfn.IFS(Real_Sales[[#This Row],[Price_retail]]&lt;=15,1, Real_Sales[[#This Row],[Price_retail]]&lt;=30,2, Real_Sales[[#This Row],[Price_retail]]&lt;=50,3,Real_Sales[[#This Row],[Price_retail]]&gt;50,4)</f>
        <v>3</v>
      </c>
    </row>
    <row r="915" spans="1:26" x14ac:dyDescent="0.35">
      <c r="A915" s="2" t="s">
        <v>3305</v>
      </c>
      <c r="B915" s="2" t="s">
        <v>3306</v>
      </c>
      <c r="C915" s="2" t="s">
        <v>1359</v>
      </c>
      <c r="D915" s="2" t="s">
        <v>1060</v>
      </c>
      <c r="E915" s="2" t="s">
        <v>4</v>
      </c>
      <c r="F915" s="2" t="s">
        <v>17</v>
      </c>
      <c r="G915" s="2" t="s">
        <v>27</v>
      </c>
      <c r="H915" s="2" t="s">
        <v>418</v>
      </c>
      <c r="I915" s="2" t="s">
        <v>3389</v>
      </c>
      <c r="J915" s="3">
        <v>34.880000000000003</v>
      </c>
      <c r="K915" s="3">
        <v>22.54</v>
      </c>
      <c r="L915" s="2" t="s">
        <v>8</v>
      </c>
      <c r="M915" s="2" t="s">
        <v>9</v>
      </c>
      <c r="N915" s="3">
        <v>349</v>
      </c>
      <c r="O915" s="2" t="s">
        <v>29</v>
      </c>
      <c r="P915" s="2" t="s">
        <v>177</v>
      </c>
      <c r="Q915" s="3"/>
      <c r="R915" s="3"/>
      <c r="S915" s="2" t="s">
        <v>21</v>
      </c>
      <c r="T915" s="4">
        <v>44955</v>
      </c>
      <c r="U915" s="2" t="s">
        <v>3307</v>
      </c>
      <c r="V915" s="6">
        <f>(Real_Sales[[#This Row],[Price_retail]]-Real_Sales[[#This Row],[Price_current]])/Real_Sales[[#This Row],[Price_retail]]</f>
        <v>0.35378440366972486</v>
      </c>
      <c r="W915" s="3" t="str" cm="1">
        <f t="array" ref="W91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15" s="2" t="str">
        <f>IF(Real_Sales[[#This Row],[Price_retail]]&gt;$AC$3,"Premium","Average")</f>
        <v>Premium</v>
      </c>
      <c r="Y915" s="2" t="str">
        <f>IF(ISNUMBER(SEARCH("Basic",Real_Sales[[#This Row],[Product_name]])),"Yes","No")</f>
        <v>No</v>
      </c>
      <c r="Z915" s="2" cm="1">
        <f t="array" ref="Z915">_xlfn.IFS(Real_Sales[[#This Row],[Price_retail]]&lt;=15,1, Real_Sales[[#This Row],[Price_retail]]&lt;=30,2, Real_Sales[[#This Row],[Price_retail]]&lt;=50,3,Real_Sales[[#This Row],[Price_retail]]&gt;50,4)</f>
        <v>3</v>
      </c>
    </row>
    <row r="916" spans="1:26" x14ac:dyDescent="0.35">
      <c r="A916" s="2" t="s">
        <v>1107</v>
      </c>
      <c r="B916" s="2" t="s">
        <v>1108</v>
      </c>
      <c r="C916" s="2" t="s">
        <v>546</v>
      </c>
      <c r="D916" s="2" t="s">
        <v>542</v>
      </c>
      <c r="E916" s="2" t="s">
        <v>4</v>
      </c>
      <c r="F916" s="2" t="s">
        <v>17</v>
      </c>
      <c r="G916" s="2" t="s">
        <v>67</v>
      </c>
      <c r="H916" s="2" t="s">
        <v>333</v>
      </c>
      <c r="I916" s="2" t="s">
        <v>3390</v>
      </c>
      <c r="J916" s="3">
        <v>35.22</v>
      </c>
      <c r="K916" s="3">
        <v>35.22</v>
      </c>
      <c r="L916" s="2" t="s">
        <v>3391</v>
      </c>
      <c r="M916" s="2" t="s">
        <v>9</v>
      </c>
      <c r="N916" s="3">
        <v>943</v>
      </c>
      <c r="O916" s="2" t="s">
        <v>3392</v>
      </c>
      <c r="P916" s="2" t="s">
        <v>192</v>
      </c>
      <c r="Q916" s="3"/>
      <c r="R916" s="3"/>
      <c r="S916" s="2" t="s">
        <v>12</v>
      </c>
      <c r="T916" s="4">
        <v>44955</v>
      </c>
      <c r="U916" s="2" t="s">
        <v>1109</v>
      </c>
      <c r="V916" s="6">
        <f>(Real_Sales[[#This Row],[Price_retail]]-Real_Sales[[#This Row],[Price_current]])/Real_Sales[[#This Row],[Price_retail]]</f>
        <v>0</v>
      </c>
      <c r="W916" s="3" t="str" cm="1">
        <f t="array" ref="W91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6" s="2" t="str">
        <f>IF(Real_Sales[[#This Row],[Price_retail]]&gt;$AC$3,"Premium","Average")</f>
        <v>Premium</v>
      </c>
      <c r="Y916" s="2" t="str">
        <f>IF(ISNUMBER(SEARCH("Basic",Real_Sales[[#This Row],[Product_name]])),"Yes","No")</f>
        <v>No</v>
      </c>
      <c r="Z916" s="2" cm="1">
        <f t="array" ref="Z916">_xlfn.IFS(Real_Sales[[#This Row],[Price_retail]]&lt;=15,1, Real_Sales[[#This Row],[Price_retail]]&lt;=30,2, Real_Sales[[#This Row],[Price_retail]]&lt;=50,3,Real_Sales[[#This Row],[Price_retail]]&gt;50,4)</f>
        <v>3</v>
      </c>
    </row>
    <row r="917" spans="1:26" x14ac:dyDescent="0.35">
      <c r="A917" s="2" t="s">
        <v>2090</v>
      </c>
      <c r="B917" s="2" t="s">
        <v>2091</v>
      </c>
      <c r="C917" s="2" t="s">
        <v>461</v>
      </c>
      <c r="D917" s="2" t="s">
        <v>332</v>
      </c>
      <c r="E917" s="2" t="s">
        <v>4</v>
      </c>
      <c r="F917" s="2" t="s">
        <v>5</v>
      </c>
      <c r="G917" s="2" t="s">
        <v>6</v>
      </c>
      <c r="H917" s="2" t="s">
        <v>333</v>
      </c>
      <c r="I917" s="2" t="s">
        <v>3393</v>
      </c>
      <c r="J917" s="3">
        <v>35.229999999999997</v>
      </c>
      <c r="K917" s="3">
        <v>35.229999999999997</v>
      </c>
      <c r="L917" s="2" t="s">
        <v>3391</v>
      </c>
      <c r="M917" s="2" t="s">
        <v>9</v>
      </c>
      <c r="N917" s="3">
        <v>610</v>
      </c>
      <c r="O917" s="2" t="s">
        <v>3392</v>
      </c>
      <c r="P917" s="2" t="s">
        <v>44</v>
      </c>
      <c r="Q917" s="3"/>
      <c r="R917" s="3"/>
      <c r="S917" s="2" t="s">
        <v>21</v>
      </c>
      <c r="T917" s="4">
        <v>44955</v>
      </c>
      <c r="U917" s="2" t="s">
        <v>2092</v>
      </c>
      <c r="V917" s="6">
        <f>(Real_Sales[[#This Row],[Price_retail]]-Real_Sales[[#This Row],[Price_current]])/Real_Sales[[#This Row],[Price_retail]]</f>
        <v>0</v>
      </c>
      <c r="W917" s="3" t="str" cm="1">
        <f t="array" ref="W91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7" s="2" t="str">
        <f>IF(Real_Sales[[#This Row],[Price_retail]]&gt;$AC$3,"Premium","Average")</f>
        <v>Premium</v>
      </c>
      <c r="Y917" s="2" t="str">
        <f>IF(ISNUMBER(SEARCH("Basic",Real_Sales[[#This Row],[Product_name]])),"Yes","No")</f>
        <v>No</v>
      </c>
      <c r="Z917" s="2" cm="1">
        <f t="array" ref="Z917">_xlfn.IFS(Real_Sales[[#This Row],[Price_retail]]&lt;=15,1, Real_Sales[[#This Row],[Price_retail]]&lt;=30,2, Real_Sales[[#This Row],[Price_retail]]&lt;=50,3,Real_Sales[[#This Row],[Price_retail]]&gt;50,4)</f>
        <v>3</v>
      </c>
    </row>
    <row r="918" spans="1:26" x14ac:dyDescent="0.35">
      <c r="A918" s="2" t="s">
        <v>2656</v>
      </c>
      <c r="B918" s="2" t="s">
        <v>2657</v>
      </c>
      <c r="C918" s="2" t="s">
        <v>65</v>
      </c>
      <c r="D918" s="2" t="s">
        <v>49</v>
      </c>
      <c r="E918" s="2" t="s">
        <v>4</v>
      </c>
      <c r="F918" s="2" t="s">
        <v>17</v>
      </c>
      <c r="G918" s="2" t="s">
        <v>18</v>
      </c>
      <c r="H918" s="2" t="s">
        <v>51</v>
      </c>
      <c r="I918" s="2" t="s">
        <v>3395</v>
      </c>
      <c r="J918" s="3">
        <v>35.44</v>
      </c>
      <c r="K918" s="3">
        <v>21.07</v>
      </c>
      <c r="L918" s="2" t="s">
        <v>8</v>
      </c>
      <c r="M918" s="2" t="s">
        <v>9</v>
      </c>
      <c r="N918" s="3">
        <v>593</v>
      </c>
      <c r="O918" s="2" t="s">
        <v>10</v>
      </c>
      <c r="P918" s="2" t="s">
        <v>44</v>
      </c>
      <c r="Q918" s="3"/>
      <c r="R918" s="3"/>
      <c r="S918" s="2" t="s">
        <v>12</v>
      </c>
      <c r="T918" s="4">
        <v>44955</v>
      </c>
      <c r="U918" s="2" t="s">
        <v>2658</v>
      </c>
      <c r="V918" s="6">
        <f>(Real_Sales[[#This Row],[Price_retail]]-Real_Sales[[#This Row],[Price_current]])/Real_Sales[[#This Row],[Price_retail]]</f>
        <v>0.40547404063205411</v>
      </c>
      <c r="W918" s="3" t="str" cm="1">
        <f t="array" ref="W91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18" s="2" t="str">
        <f>IF(Real_Sales[[#This Row],[Price_retail]]&gt;$AC$3,"Premium","Average")</f>
        <v>Premium</v>
      </c>
      <c r="Y918" s="2" t="str">
        <f>IF(ISNUMBER(SEARCH("Basic",Real_Sales[[#This Row],[Product_name]])),"Yes","No")</f>
        <v>Yes</v>
      </c>
      <c r="Z918" s="2" cm="1">
        <f t="array" ref="Z918">_xlfn.IFS(Real_Sales[[#This Row],[Price_retail]]&lt;=15,1, Real_Sales[[#This Row],[Price_retail]]&lt;=30,2, Real_Sales[[#This Row],[Price_retail]]&lt;=50,3,Real_Sales[[#This Row],[Price_retail]]&gt;50,4)</f>
        <v>3</v>
      </c>
    </row>
    <row r="919" spans="1:26" x14ac:dyDescent="0.35">
      <c r="A919" s="2" t="s">
        <v>1152</v>
      </c>
      <c r="B919" s="2" t="s">
        <v>1153</v>
      </c>
      <c r="C919" s="2" t="s">
        <v>1154</v>
      </c>
      <c r="D919" s="2" t="s">
        <v>3416</v>
      </c>
      <c r="E919" s="2" t="s">
        <v>4</v>
      </c>
      <c r="F919" s="2" t="s">
        <v>5</v>
      </c>
      <c r="G919" s="2" t="s">
        <v>6</v>
      </c>
      <c r="H919" s="2" t="s">
        <v>19</v>
      </c>
      <c r="I919" s="2" t="s">
        <v>3390</v>
      </c>
      <c r="J919" s="3">
        <v>35.67</v>
      </c>
      <c r="K919" s="3">
        <v>35.67</v>
      </c>
      <c r="L919" s="2" t="s">
        <v>3391</v>
      </c>
      <c r="M919" s="2" t="s">
        <v>9</v>
      </c>
      <c r="N919" s="3">
        <v>989</v>
      </c>
      <c r="O919" s="2" t="s">
        <v>3392</v>
      </c>
      <c r="P919" s="2" t="s">
        <v>215</v>
      </c>
      <c r="Q919" s="3"/>
      <c r="R919" s="3"/>
      <c r="S919" s="2"/>
      <c r="T919" s="4">
        <v>44955</v>
      </c>
      <c r="U919" s="2" t="s">
        <v>1155</v>
      </c>
      <c r="V919" s="6">
        <f>(Real_Sales[[#This Row],[Price_retail]]-Real_Sales[[#This Row],[Price_current]])/Real_Sales[[#This Row],[Price_retail]]</f>
        <v>0</v>
      </c>
      <c r="W919" s="3" t="str" cm="1">
        <f t="array" ref="W91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19" s="2" t="str">
        <f>IF(Real_Sales[[#This Row],[Price_retail]]&gt;$AC$3,"Premium","Average")</f>
        <v>Premium</v>
      </c>
      <c r="Y919" s="2" t="str">
        <f>IF(ISNUMBER(SEARCH("Basic",Real_Sales[[#This Row],[Product_name]])),"Yes","No")</f>
        <v>No</v>
      </c>
      <c r="Z919" s="2" cm="1">
        <f t="array" ref="Z919">_xlfn.IFS(Real_Sales[[#This Row],[Price_retail]]&lt;=15,1, Real_Sales[[#This Row],[Price_retail]]&lt;=30,2, Real_Sales[[#This Row],[Price_retail]]&lt;=50,3,Real_Sales[[#This Row],[Price_retail]]&gt;50,4)</f>
        <v>3</v>
      </c>
    </row>
    <row r="920" spans="1:26" x14ac:dyDescent="0.35">
      <c r="A920" s="2" t="s">
        <v>1805</v>
      </c>
      <c r="B920" s="2" t="s">
        <v>1806</v>
      </c>
      <c r="C920" s="2" t="s">
        <v>750</v>
      </c>
      <c r="D920" s="2" t="s">
        <v>358</v>
      </c>
      <c r="E920" s="2" t="s">
        <v>4</v>
      </c>
      <c r="F920" s="2" t="s">
        <v>5</v>
      </c>
      <c r="G920" s="2" t="s">
        <v>121</v>
      </c>
      <c r="H920" s="2" t="s">
        <v>333</v>
      </c>
      <c r="I920" s="2" t="s">
        <v>3389</v>
      </c>
      <c r="J920" s="3">
        <v>35.880000000000003</v>
      </c>
      <c r="K920" s="3">
        <v>35.880000000000003</v>
      </c>
      <c r="L920" s="2" t="s">
        <v>3391</v>
      </c>
      <c r="M920" s="2" t="s">
        <v>9</v>
      </c>
      <c r="N920" s="3">
        <v>385</v>
      </c>
      <c r="O920" s="2" t="s">
        <v>36</v>
      </c>
      <c r="P920" s="2" t="s">
        <v>215</v>
      </c>
      <c r="Q920" s="3"/>
      <c r="R920" s="3"/>
      <c r="S920" s="2" t="s">
        <v>21</v>
      </c>
      <c r="T920" s="4">
        <v>44955</v>
      </c>
      <c r="U920" s="2" t="s">
        <v>1807</v>
      </c>
      <c r="V920" s="6">
        <f>(Real_Sales[[#This Row],[Price_retail]]-Real_Sales[[#This Row],[Price_current]])/Real_Sales[[#This Row],[Price_retail]]</f>
        <v>0</v>
      </c>
      <c r="W920" s="3" t="str" cm="1">
        <f t="array" ref="W92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0" s="2" t="str">
        <f>IF(Real_Sales[[#This Row],[Price_retail]]&gt;$AC$3,"Premium","Average")</f>
        <v>Premium</v>
      </c>
      <c r="Y920" s="2" t="str">
        <f>IF(ISNUMBER(SEARCH("Basic",Real_Sales[[#This Row],[Product_name]])),"Yes","No")</f>
        <v>No</v>
      </c>
      <c r="Z920" s="2" cm="1">
        <f t="array" ref="Z920">_xlfn.IFS(Real_Sales[[#This Row],[Price_retail]]&lt;=15,1, Real_Sales[[#This Row],[Price_retail]]&lt;=30,2, Real_Sales[[#This Row],[Price_retail]]&lt;=50,3,Real_Sales[[#This Row],[Price_retail]]&gt;50,4)</f>
        <v>3</v>
      </c>
    </row>
    <row r="921" spans="1:26" x14ac:dyDescent="0.35">
      <c r="A921" s="2" t="s">
        <v>2225</v>
      </c>
      <c r="B921" s="2" t="s">
        <v>2226</v>
      </c>
      <c r="C921" s="2" t="s">
        <v>25</v>
      </c>
      <c r="D921" s="2" t="s">
        <v>372</v>
      </c>
      <c r="E921" s="2" t="s">
        <v>4</v>
      </c>
      <c r="F921" s="2" t="s">
        <v>5</v>
      </c>
      <c r="G921" s="2" t="s">
        <v>82</v>
      </c>
      <c r="H921" s="2" t="s">
        <v>134</v>
      </c>
      <c r="I921" s="2" t="s">
        <v>3390</v>
      </c>
      <c r="J921" s="3">
        <v>36.11</v>
      </c>
      <c r="K921" s="3">
        <v>36.11</v>
      </c>
      <c r="L921" s="2" t="s">
        <v>3391</v>
      </c>
      <c r="M921" s="2" t="s">
        <v>9</v>
      </c>
      <c r="N921" s="3">
        <v>230</v>
      </c>
      <c r="O921" s="2" t="s">
        <v>69</v>
      </c>
      <c r="P921" s="2" t="s">
        <v>53</v>
      </c>
      <c r="Q921" s="3"/>
      <c r="R921" s="3"/>
      <c r="S921" s="2" t="s">
        <v>21</v>
      </c>
      <c r="T921" s="4">
        <v>44955</v>
      </c>
      <c r="U921" s="2" t="s">
        <v>2227</v>
      </c>
      <c r="V921" s="6">
        <f>(Real_Sales[[#This Row],[Price_retail]]-Real_Sales[[#This Row],[Price_current]])/Real_Sales[[#This Row],[Price_retail]]</f>
        <v>0</v>
      </c>
      <c r="W921" s="3" t="str" cm="1">
        <f t="array" ref="W92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1" s="2" t="str">
        <f>IF(Real_Sales[[#This Row],[Price_retail]]&gt;$AC$3,"Premium","Average")</f>
        <v>Premium</v>
      </c>
      <c r="Y921" s="2" t="str">
        <f>IF(ISNUMBER(SEARCH("Basic",Real_Sales[[#This Row],[Product_name]])),"Yes","No")</f>
        <v>No</v>
      </c>
      <c r="Z921" s="2" cm="1">
        <f t="array" ref="Z921">_xlfn.IFS(Real_Sales[[#This Row],[Price_retail]]&lt;=15,1, Real_Sales[[#This Row],[Price_retail]]&lt;=30,2, Real_Sales[[#This Row],[Price_retail]]&lt;=50,3,Real_Sales[[#This Row],[Price_retail]]&gt;50,4)</f>
        <v>3</v>
      </c>
    </row>
    <row r="922" spans="1:26" x14ac:dyDescent="0.35">
      <c r="A922" s="2" t="s">
        <v>1110</v>
      </c>
      <c r="B922" s="2" t="s">
        <v>1111</v>
      </c>
      <c r="C922" s="2" t="s">
        <v>2915</v>
      </c>
      <c r="D922" s="2" t="s">
        <v>196</v>
      </c>
      <c r="E922" s="2" t="s">
        <v>4</v>
      </c>
      <c r="F922" s="2" t="s">
        <v>17</v>
      </c>
      <c r="G922" s="2" t="s">
        <v>67</v>
      </c>
      <c r="H922" s="2" t="s">
        <v>7</v>
      </c>
      <c r="I922" s="2" t="s">
        <v>3395</v>
      </c>
      <c r="J922" s="3">
        <v>36.159999999999997</v>
      </c>
      <c r="K922" s="3">
        <v>36.159999999999997</v>
      </c>
      <c r="L922" s="2" t="s">
        <v>3391</v>
      </c>
      <c r="M922" s="2" t="s">
        <v>9</v>
      </c>
      <c r="N922" s="3">
        <v>159</v>
      </c>
      <c r="O922" s="2" t="s">
        <v>163</v>
      </c>
      <c r="P922" s="2" t="s">
        <v>76</v>
      </c>
      <c r="Q922" s="3"/>
      <c r="R922" s="3"/>
      <c r="S922" s="2" t="s">
        <v>21</v>
      </c>
      <c r="T922" s="4">
        <v>44955</v>
      </c>
      <c r="U922" s="2" t="s">
        <v>1112</v>
      </c>
      <c r="V922" s="6">
        <f>(Real_Sales[[#This Row],[Price_retail]]-Real_Sales[[#This Row],[Price_current]])/Real_Sales[[#This Row],[Price_retail]]</f>
        <v>0</v>
      </c>
      <c r="W922" s="3" t="str" cm="1">
        <f t="array" ref="W92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2" s="2" t="str">
        <f>IF(Real_Sales[[#This Row],[Price_retail]]&gt;$AC$3,"Premium","Average")</f>
        <v>Premium</v>
      </c>
      <c r="Y922" s="2" t="str">
        <f>IF(ISNUMBER(SEARCH("Basic",Real_Sales[[#This Row],[Product_name]])),"Yes","No")</f>
        <v>No</v>
      </c>
      <c r="Z922" s="2" cm="1">
        <f t="array" ref="Z922">_xlfn.IFS(Real_Sales[[#This Row],[Price_retail]]&lt;=15,1, Real_Sales[[#This Row],[Price_retail]]&lt;=30,2, Real_Sales[[#This Row],[Price_retail]]&lt;=50,3,Real_Sales[[#This Row],[Price_retail]]&gt;50,4)</f>
        <v>3</v>
      </c>
    </row>
    <row r="923" spans="1:26" x14ac:dyDescent="0.35">
      <c r="A923" s="2" t="s">
        <v>1353</v>
      </c>
      <c r="B923" s="2" t="s">
        <v>1354</v>
      </c>
      <c r="C923" s="2" t="s">
        <v>1355</v>
      </c>
      <c r="D923" s="2" t="s">
        <v>1139</v>
      </c>
      <c r="E923" s="2" t="s">
        <v>4</v>
      </c>
      <c r="F923" s="2" t="s">
        <v>17</v>
      </c>
      <c r="G923" s="2" t="s">
        <v>18</v>
      </c>
      <c r="H923" s="2" t="s">
        <v>418</v>
      </c>
      <c r="I923" s="2" t="s">
        <v>3393</v>
      </c>
      <c r="J923" s="3">
        <v>36.44</v>
      </c>
      <c r="K923" s="3">
        <v>36.44</v>
      </c>
      <c r="L923" s="2" t="s">
        <v>3391</v>
      </c>
      <c r="M923" s="2" t="s">
        <v>9</v>
      </c>
      <c r="N923" s="3">
        <v>440</v>
      </c>
      <c r="O923" s="2" t="s">
        <v>261</v>
      </c>
      <c r="P923" s="2" t="s">
        <v>288</v>
      </c>
      <c r="Q923" s="3"/>
      <c r="R923" s="3"/>
      <c r="S923" s="2" t="s">
        <v>21</v>
      </c>
      <c r="T923" s="4">
        <v>44955</v>
      </c>
      <c r="U923" s="2" t="s">
        <v>1356</v>
      </c>
      <c r="V923" s="6">
        <f>(Real_Sales[[#This Row],[Price_retail]]-Real_Sales[[#This Row],[Price_current]])/Real_Sales[[#This Row],[Price_retail]]</f>
        <v>0</v>
      </c>
      <c r="W923" s="3" t="str" cm="1">
        <f t="array" ref="W92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3" s="2" t="str">
        <f>IF(Real_Sales[[#This Row],[Price_retail]]&gt;$AC$3,"Premium","Average")</f>
        <v>Premium</v>
      </c>
      <c r="Y923" s="2" t="str">
        <f>IF(ISNUMBER(SEARCH("Basic",Real_Sales[[#This Row],[Product_name]])),"Yes","No")</f>
        <v>No</v>
      </c>
      <c r="Z923" s="2" cm="1">
        <f t="array" ref="Z923">_xlfn.IFS(Real_Sales[[#This Row],[Price_retail]]&lt;=15,1, Real_Sales[[#This Row],[Price_retail]]&lt;=30,2, Real_Sales[[#This Row],[Price_retail]]&lt;=50,3,Real_Sales[[#This Row],[Price_retail]]&gt;50,4)</f>
        <v>3</v>
      </c>
    </row>
    <row r="924" spans="1:26" x14ac:dyDescent="0.35">
      <c r="A924" s="2" t="s">
        <v>1732</v>
      </c>
      <c r="B924" s="2" t="s">
        <v>1733</v>
      </c>
      <c r="C924" s="2" t="s">
        <v>561</v>
      </c>
      <c r="D924" s="2" t="s">
        <v>3422</v>
      </c>
      <c r="E924" s="2" t="s">
        <v>4</v>
      </c>
      <c r="F924" s="2" t="s">
        <v>5</v>
      </c>
      <c r="G924" s="2" t="s">
        <v>82</v>
      </c>
      <c r="H924" s="2" t="s">
        <v>145</v>
      </c>
      <c r="I924" s="2" t="s">
        <v>3395</v>
      </c>
      <c r="J924" s="3">
        <v>36.869999999999997</v>
      </c>
      <c r="K924" s="3">
        <v>36.869999999999997</v>
      </c>
      <c r="L924" s="2" t="s">
        <v>3391</v>
      </c>
      <c r="M924" s="2" t="s">
        <v>9</v>
      </c>
      <c r="N924" s="3">
        <v>444</v>
      </c>
      <c r="O924" s="2" t="s">
        <v>267</v>
      </c>
      <c r="P924" s="2" t="s">
        <v>76</v>
      </c>
      <c r="Q924" s="3"/>
      <c r="R924" s="3"/>
      <c r="S924" s="2"/>
      <c r="T924" s="4">
        <v>44955</v>
      </c>
      <c r="U924" s="2" t="s">
        <v>1734</v>
      </c>
      <c r="V924" s="6">
        <f>(Real_Sales[[#This Row],[Price_retail]]-Real_Sales[[#This Row],[Price_current]])/Real_Sales[[#This Row],[Price_retail]]</f>
        <v>0</v>
      </c>
      <c r="W924" s="3" t="str" cm="1">
        <f t="array" ref="W92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4" s="2" t="str">
        <f>IF(Real_Sales[[#This Row],[Price_retail]]&gt;$AC$3,"Premium","Average")</f>
        <v>Premium</v>
      </c>
      <c r="Y924" s="2" t="str">
        <f>IF(ISNUMBER(SEARCH("Basic",Real_Sales[[#This Row],[Product_name]])),"Yes","No")</f>
        <v>No</v>
      </c>
      <c r="Z924" s="2" cm="1">
        <f t="array" ref="Z924">_xlfn.IFS(Real_Sales[[#This Row],[Price_retail]]&lt;=15,1, Real_Sales[[#This Row],[Price_retail]]&lt;=30,2, Real_Sales[[#This Row],[Price_retail]]&lt;=50,3,Real_Sales[[#This Row],[Price_retail]]&gt;50,4)</f>
        <v>3</v>
      </c>
    </row>
    <row r="925" spans="1:26" x14ac:dyDescent="0.35">
      <c r="A925" s="2" t="s">
        <v>795</v>
      </c>
      <c r="B925" s="2" t="s">
        <v>796</v>
      </c>
      <c r="C925" s="2" t="s">
        <v>797</v>
      </c>
      <c r="D925" s="2" t="s">
        <v>660</v>
      </c>
      <c r="E925" s="2" t="s">
        <v>4</v>
      </c>
      <c r="F925" s="2" t="s">
        <v>5</v>
      </c>
      <c r="G925" s="2" t="s">
        <v>82</v>
      </c>
      <c r="H925" s="2" t="s">
        <v>237</v>
      </c>
      <c r="I925" s="2" t="s">
        <v>3390</v>
      </c>
      <c r="J925" s="3">
        <v>37.04</v>
      </c>
      <c r="K925" s="3">
        <v>37.04</v>
      </c>
      <c r="L925" s="2" t="s">
        <v>3391</v>
      </c>
      <c r="M925" s="2" t="s">
        <v>9</v>
      </c>
      <c r="N925" s="3">
        <v>529</v>
      </c>
      <c r="O925" s="2" t="s">
        <v>43</v>
      </c>
      <c r="P925" s="2" t="s">
        <v>3392</v>
      </c>
      <c r="Q925" s="3"/>
      <c r="R925" s="3"/>
      <c r="S925" s="2" t="s">
        <v>12</v>
      </c>
      <c r="T925" s="4">
        <v>44955</v>
      </c>
      <c r="U925" s="2" t="s">
        <v>798</v>
      </c>
      <c r="V925" s="6">
        <f>(Real_Sales[[#This Row],[Price_retail]]-Real_Sales[[#This Row],[Price_current]])/Real_Sales[[#This Row],[Price_retail]]</f>
        <v>0</v>
      </c>
      <c r="W925" s="3" t="str" cm="1">
        <f t="array" ref="W92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5" s="2" t="str">
        <f>IF(Real_Sales[[#This Row],[Price_retail]]&gt;$AC$3,"Premium","Average")</f>
        <v>Premium</v>
      </c>
      <c r="Y925" s="2" t="str">
        <f>IF(ISNUMBER(SEARCH("Basic",Real_Sales[[#This Row],[Product_name]])),"Yes","No")</f>
        <v>No</v>
      </c>
      <c r="Z925" s="2" cm="1">
        <f t="array" ref="Z925">_xlfn.IFS(Real_Sales[[#This Row],[Price_retail]]&lt;=15,1, Real_Sales[[#This Row],[Price_retail]]&lt;=30,2, Real_Sales[[#This Row],[Price_retail]]&lt;=50,3,Real_Sales[[#This Row],[Price_retail]]&gt;50,4)</f>
        <v>3</v>
      </c>
    </row>
    <row r="926" spans="1:26" x14ac:dyDescent="0.35">
      <c r="A926" s="2" t="s">
        <v>1261</v>
      </c>
      <c r="B926" s="2" t="s">
        <v>1262</v>
      </c>
      <c r="C926" s="2" t="s">
        <v>387</v>
      </c>
      <c r="D926" s="2" t="s">
        <v>699</v>
      </c>
      <c r="E926" s="2" t="s">
        <v>4</v>
      </c>
      <c r="F926" s="2" t="s">
        <v>5</v>
      </c>
      <c r="G926" s="2" t="s">
        <v>121</v>
      </c>
      <c r="H926" s="2" t="s">
        <v>68</v>
      </c>
      <c r="I926" s="2" t="s">
        <v>3390</v>
      </c>
      <c r="J926" s="3">
        <v>37.07</v>
      </c>
      <c r="K926" s="3">
        <v>31.29</v>
      </c>
      <c r="L926" s="2" t="s">
        <v>8</v>
      </c>
      <c r="M926" s="2" t="s">
        <v>9</v>
      </c>
      <c r="N926" s="3">
        <v>486</v>
      </c>
      <c r="O926" s="2" t="s">
        <v>36</v>
      </c>
      <c r="P926" s="2" t="s">
        <v>186</v>
      </c>
      <c r="Q926" s="3"/>
      <c r="R926" s="3"/>
      <c r="S926" s="2" t="s">
        <v>21</v>
      </c>
      <c r="T926" s="4">
        <v>44955</v>
      </c>
      <c r="U926" s="2" t="s">
        <v>1263</v>
      </c>
      <c r="V926" s="6">
        <f>(Real_Sales[[#This Row],[Price_retail]]-Real_Sales[[#This Row],[Price_current]])/Real_Sales[[#This Row],[Price_retail]]</f>
        <v>0.15592123010520639</v>
      </c>
      <c r="W926" s="3" t="str" cm="1">
        <f t="array" ref="W926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926" s="2" t="str">
        <f>IF(Real_Sales[[#This Row],[Price_retail]]&gt;$AC$3,"Premium","Average")</f>
        <v>Premium</v>
      </c>
      <c r="Y926" s="2" t="str">
        <f>IF(ISNUMBER(SEARCH("Basic",Real_Sales[[#This Row],[Product_name]])),"Yes","No")</f>
        <v>No</v>
      </c>
      <c r="Z926" s="2" cm="1">
        <f t="array" ref="Z926">_xlfn.IFS(Real_Sales[[#This Row],[Price_retail]]&lt;=15,1, Real_Sales[[#This Row],[Price_retail]]&lt;=30,2, Real_Sales[[#This Row],[Price_retail]]&lt;=50,3,Real_Sales[[#This Row],[Price_retail]]&gt;50,4)</f>
        <v>3</v>
      </c>
    </row>
    <row r="927" spans="1:26" x14ac:dyDescent="0.35">
      <c r="A927" s="2" t="s">
        <v>1245</v>
      </c>
      <c r="B927" s="2" t="s">
        <v>1246</v>
      </c>
      <c r="C927" s="2" t="s">
        <v>25</v>
      </c>
      <c r="D927" s="2" t="s">
        <v>1247</v>
      </c>
      <c r="E927" s="2" t="s">
        <v>4</v>
      </c>
      <c r="F927" s="2" t="s">
        <v>5</v>
      </c>
      <c r="G927" s="2" t="s">
        <v>82</v>
      </c>
      <c r="H927" s="2" t="s">
        <v>237</v>
      </c>
      <c r="I927" s="2" t="s">
        <v>3390</v>
      </c>
      <c r="J927" s="3">
        <v>37.31</v>
      </c>
      <c r="K927" s="3">
        <v>37.31</v>
      </c>
      <c r="L927" s="2" t="s">
        <v>3391</v>
      </c>
      <c r="M927" s="2" t="s">
        <v>9</v>
      </c>
      <c r="N927" s="3">
        <v>30</v>
      </c>
      <c r="O927" s="2" t="s">
        <v>20</v>
      </c>
      <c r="P927" s="2" t="s">
        <v>61</v>
      </c>
      <c r="Q927" s="3"/>
      <c r="R927" s="3"/>
      <c r="S927" s="2" t="s">
        <v>21</v>
      </c>
      <c r="T927" s="4">
        <v>44955</v>
      </c>
      <c r="U927" s="2" t="s">
        <v>1248</v>
      </c>
      <c r="V927" s="6">
        <f>(Real_Sales[[#This Row],[Price_retail]]-Real_Sales[[#This Row],[Price_current]])/Real_Sales[[#This Row],[Price_retail]]</f>
        <v>0</v>
      </c>
      <c r="W927" s="3" t="str" cm="1">
        <f t="array" ref="W92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7" s="2" t="str">
        <f>IF(Real_Sales[[#This Row],[Price_retail]]&gt;$AC$3,"Premium","Average")</f>
        <v>Premium</v>
      </c>
      <c r="Y927" s="2" t="str">
        <f>IF(ISNUMBER(SEARCH("Basic",Real_Sales[[#This Row],[Product_name]])),"Yes","No")</f>
        <v>No</v>
      </c>
      <c r="Z927" s="2" cm="1">
        <f t="array" ref="Z927">_xlfn.IFS(Real_Sales[[#This Row],[Price_retail]]&lt;=15,1, Real_Sales[[#This Row],[Price_retail]]&lt;=30,2, Real_Sales[[#This Row],[Price_retail]]&lt;=50,3,Real_Sales[[#This Row],[Price_retail]]&gt;50,4)</f>
        <v>3</v>
      </c>
    </row>
    <row r="928" spans="1:26" x14ac:dyDescent="0.35">
      <c r="A928" s="2" t="s">
        <v>1923</v>
      </c>
      <c r="B928" s="2" t="s">
        <v>1924</v>
      </c>
      <c r="C928" s="2" t="s">
        <v>985</v>
      </c>
      <c r="D928" s="2" t="s">
        <v>442</v>
      </c>
      <c r="E928" s="2" t="s">
        <v>4</v>
      </c>
      <c r="F928" s="2" t="s">
        <v>5</v>
      </c>
      <c r="G928" s="2" t="s">
        <v>121</v>
      </c>
      <c r="H928" s="2" t="s">
        <v>59</v>
      </c>
      <c r="I928" s="2" t="s">
        <v>3390</v>
      </c>
      <c r="J928" s="3">
        <v>37.32</v>
      </c>
      <c r="K928" s="3">
        <v>37.32</v>
      </c>
      <c r="L928" s="2" t="s">
        <v>3391</v>
      </c>
      <c r="M928" s="2" t="s">
        <v>9</v>
      </c>
      <c r="N928" s="3">
        <v>722</v>
      </c>
      <c r="O928" s="2" t="s">
        <v>287</v>
      </c>
      <c r="P928" s="2" t="s">
        <v>283</v>
      </c>
      <c r="Q928" s="3"/>
      <c r="R928" s="3"/>
      <c r="S928" s="2" t="s">
        <v>21</v>
      </c>
      <c r="T928" s="4">
        <v>44955</v>
      </c>
      <c r="U928" s="2" t="s">
        <v>1925</v>
      </c>
      <c r="V928" s="6">
        <f>(Real_Sales[[#This Row],[Price_retail]]-Real_Sales[[#This Row],[Price_current]])/Real_Sales[[#This Row],[Price_retail]]</f>
        <v>0</v>
      </c>
      <c r="W928" s="3" t="str" cm="1">
        <f t="array" ref="W92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8" s="2" t="str">
        <f>IF(Real_Sales[[#This Row],[Price_retail]]&gt;$AC$3,"Premium","Average")</f>
        <v>Premium</v>
      </c>
      <c r="Y928" s="2" t="str">
        <f>IF(ISNUMBER(SEARCH("Basic",Real_Sales[[#This Row],[Product_name]])),"Yes","No")</f>
        <v>Yes</v>
      </c>
      <c r="Z928" s="2" cm="1">
        <f t="array" ref="Z928">_xlfn.IFS(Real_Sales[[#This Row],[Price_retail]]&lt;=15,1, Real_Sales[[#This Row],[Price_retail]]&lt;=30,2, Real_Sales[[#This Row],[Price_retail]]&lt;=50,3,Real_Sales[[#This Row],[Price_retail]]&gt;50,4)</f>
        <v>3</v>
      </c>
    </row>
    <row r="929" spans="1:26" x14ac:dyDescent="0.35">
      <c r="A929" s="2" t="s">
        <v>3065</v>
      </c>
      <c r="B929" s="2" t="s">
        <v>3066</v>
      </c>
      <c r="C929" s="2" t="s">
        <v>2374</v>
      </c>
      <c r="D929" s="2" t="s">
        <v>857</v>
      </c>
      <c r="E929" s="2" t="s">
        <v>4</v>
      </c>
      <c r="F929" s="2" t="s">
        <v>5</v>
      </c>
      <c r="G929" s="2" t="s">
        <v>6</v>
      </c>
      <c r="H929" s="2" t="s">
        <v>51</v>
      </c>
      <c r="I929" s="2" t="s">
        <v>3390</v>
      </c>
      <c r="J929" s="3">
        <v>37.35</v>
      </c>
      <c r="K929" s="3">
        <v>37.35</v>
      </c>
      <c r="L929" s="2" t="s">
        <v>3391</v>
      </c>
      <c r="M929" s="2" t="s">
        <v>9</v>
      </c>
      <c r="N929" s="3">
        <v>405</v>
      </c>
      <c r="O929" s="2" t="s">
        <v>36</v>
      </c>
      <c r="P929" s="2" t="s">
        <v>215</v>
      </c>
      <c r="Q929" s="3"/>
      <c r="R929" s="3"/>
      <c r="S929" s="2" t="s">
        <v>21</v>
      </c>
      <c r="T929" s="4">
        <v>44955</v>
      </c>
      <c r="U929" s="2" t="s">
        <v>3067</v>
      </c>
      <c r="V929" s="6">
        <f>(Real_Sales[[#This Row],[Price_retail]]-Real_Sales[[#This Row],[Price_current]])/Real_Sales[[#This Row],[Price_retail]]</f>
        <v>0</v>
      </c>
      <c r="W929" s="3" t="str" cm="1">
        <f t="array" ref="W92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29" s="2" t="str">
        <f>IF(Real_Sales[[#This Row],[Price_retail]]&gt;$AC$3,"Premium","Average")</f>
        <v>Premium</v>
      </c>
      <c r="Y929" s="2" t="str">
        <f>IF(ISNUMBER(SEARCH("Basic",Real_Sales[[#This Row],[Product_name]])),"Yes","No")</f>
        <v>No</v>
      </c>
      <c r="Z929" s="2" cm="1">
        <f t="array" ref="Z929">_xlfn.IFS(Real_Sales[[#This Row],[Price_retail]]&lt;=15,1, Real_Sales[[#This Row],[Price_retail]]&lt;=30,2, Real_Sales[[#This Row],[Price_retail]]&lt;=50,3,Real_Sales[[#This Row],[Price_retail]]&gt;50,4)</f>
        <v>3</v>
      </c>
    </row>
    <row r="930" spans="1:26" x14ac:dyDescent="0.35">
      <c r="A930" s="2" t="s">
        <v>3269</v>
      </c>
      <c r="B930" s="2" t="s">
        <v>3270</v>
      </c>
      <c r="C930" s="2" t="s">
        <v>242</v>
      </c>
      <c r="D930" s="2" t="s">
        <v>1106</v>
      </c>
      <c r="E930" s="2" t="s">
        <v>4</v>
      </c>
      <c r="F930" s="2" t="s">
        <v>5</v>
      </c>
      <c r="G930" s="2" t="s">
        <v>6</v>
      </c>
      <c r="H930" s="2" t="s">
        <v>19</v>
      </c>
      <c r="I930" s="2" t="s">
        <v>3393</v>
      </c>
      <c r="J930" s="3">
        <v>37.35</v>
      </c>
      <c r="K930" s="3">
        <v>37.35</v>
      </c>
      <c r="L930" s="2" t="s">
        <v>3391</v>
      </c>
      <c r="M930" s="2" t="s">
        <v>9</v>
      </c>
      <c r="N930" s="3">
        <v>546</v>
      </c>
      <c r="O930" s="2" t="s">
        <v>347</v>
      </c>
      <c r="P930" s="2" t="s">
        <v>92</v>
      </c>
      <c r="Q930" s="3"/>
      <c r="R930" s="3"/>
      <c r="S930" s="2" t="s">
        <v>21</v>
      </c>
      <c r="T930" s="4">
        <v>44955</v>
      </c>
      <c r="U930" s="2" t="s">
        <v>3271</v>
      </c>
      <c r="V930" s="6">
        <f>(Real_Sales[[#This Row],[Price_retail]]-Real_Sales[[#This Row],[Price_current]])/Real_Sales[[#This Row],[Price_retail]]</f>
        <v>0</v>
      </c>
      <c r="W930" s="3" t="str" cm="1">
        <f t="array" ref="W93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0" s="2" t="str">
        <f>IF(Real_Sales[[#This Row],[Price_retail]]&gt;$AC$3,"Premium","Average")</f>
        <v>Premium</v>
      </c>
      <c r="Y930" s="2" t="str">
        <f>IF(ISNUMBER(SEARCH("Basic",Real_Sales[[#This Row],[Product_name]])),"Yes","No")</f>
        <v>No</v>
      </c>
      <c r="Z930" s="2" cm="1">
        <f t="array" ref="Z930">_xlfn.IFS(Real_Sales[[#This Row],[Price_retail]]&lt;=15,1, Real_Sales[[#This Row],[Price_retail]]&lt;=30,2, Real_Sales[[#This Row],[Price_retail]]&lt;=50,3,Real_Sales[[#This Row],[Price_retail]]&gt;50,4)</f>
        <v>3</v>
      </c>
    </row>
    <row r="931" spans="1:26" x14ac:dyDescent="0.35">
      <c r="A931" s="2" t="s">
        <v>1430</v>
      </c>
      <c r="B931" s="2" t="s">
        <v>1431</v>
      </c>
      <c r="C931" s="2" t="s">
        <v>484</v>
      </c>
      <c r="D931" s="2" t="s">
        <v>236</v>
      </c>
      <c r="E931" s="2" t="s">
        <v>4</v>
      </c>
      <c r="F931" s="2" t="s">
        <v>17</v>
      </c>
      <c r="G931" s="2" t="s">
        <v>27</v>
      </c>
      <c r="H931" s="2" t="s">
        <v>237</v>
      </c>
      <c r="I931" s="2" t="s">
        <v>3390</v>
      </c>
      <c r="J931" s="3">
        <v>37.380000000000003</v>
      </c>
      <c r="K931" s="3">
        <v>37.380000000000003</v>
      </c>
      <c r="L931" s="2" t="s">
        <v>248</v>
      </c>
      <c r="M931" s="2" t="s">
        <v>9</v>
      </c>
      <c r="N931" s="3">
        <v>330</v>
      </c>
      <c r="O931" s="2" t="s">
        <v>3392</v>
      </c>
      <c r="P931" s="2" t="s">
        <v>3392</v>
      </c>
      <c r="Q931" s="3"/>
      <c r="R931" s="3"/>
      <c r="S931" s="2" t="s">
        <v>21</v>
      </c>
      <c r="T931" s="4">
        <v>44955</v>
      </c>
      <c r="U931" s="2" t="s">
        <v>1432</v>
      </c>
      <c r="V931" s="6">
        <f>(Real_Sales[[#This Row],[Price_retail]]-Real_Sales[[#This Row],[Price_current]])/Real_Sales[[#This Row],[Price_retail]]</f>
        <v>0</v>
      </c>
      <c r="W931" s="3" t="str" cm="1">
        <f t="array" ref="W93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1" s="2" t="str">
        <f>IF(Real_Sales[[#This Row],[Price_retail]]&gt;$AC$3,"Premium","Average")</f>
        <v>Premium</v>
      </c>
      <c r="Y931" s="2" t="str">
        <f>IF(ISNUMBER(SEARCH("Basic",Real_Sales[[#This Row],[Product_name]])),"Yes","No")</f>
        <v>No</v>
      </c>
      <c r="Z931" s="2" cm="1">
        <f t="array" ref="Z931">_xlfn.IFS(Real_Sales[[#This Row],[Price_retail]]&lt;=15,1, Real_Sales[[#This Row],[Price_retail]]&lt;=30,2, Real_Sales[[#This Row],[Price_retail]]&lt;=50,3,Real_Sales[[#This Row],[Price_retail]]&gt;50,4)</f>
        <v>3</v>
      </c>
    </row>
    <row r="932" spans="1:26" x14ac:dyDescent="0.35">
      <c r="A932" s="2" t="s">
        <v>274</v>
      </c>
      <c r="B932" s="2" t="s">
        <v>275</v>
      </c>
      <c r="C932" s="2" t="s">
        <v>1615</v>
      </c>
      <c r="D932" s="2" t="s">
        <v>3</v>
      </c>
      <c r="E932" s="2" t="s">
        <v>4</v>
      </c>
      <c r="F932" s="2" t="s">
        <v>5</v>
      </c>
      <c r="G932" s="2" t="s">
        <v>121</v>
      </c>
      <c r="H932" s="2" t="s">
        <v>7</v>
      </c>
      <c r="I932" s="2" t="s">
        <v>3395</v>
      </c>
      <c r="J932" s="3">
        <v>37.74</v>
      </c>
      <c r="K932" s="3">
        <v>27.53</v>
      </c>
      <c r="L932" s="2" t="s">
        <v>8</v>
      </c>
      <c r="M932" s="2" t="s">
        <v>9</v>
      </c>
      <c r="N932" s="3">
        <v>26</v>
      </c>
      <c r="O932" s="2" t="s">
        <v>140</v>
      </c>
      <c r="P932" s="2" t="s">
        <v>215</v>
      </c>
      <c r="Q932" s="3"/>
      <c r="R932" s="3"/>
      <c r="S932" s="2" t="s">
        <v>21</v>
      </c>
      <c r="T932" s="4">
        <v>44955</v>
      </c>
      <c r="U932" s="2" t="s">
        <v>276</v>
      </c>
      <c r="V932" s="6">
        <f>(Real_Sales[[#This Row],[Price_retail]]-Real_Sales[[#This Row],[Price_current]])/Real_Sales[[#This Row],[Price_retail]]</f>
        <v>0.27053524112347643</v>
      </c>
      <c r="W932" s="3" t="str" cm="1">
        <f t="array" ref="W93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32" s="2" t="str">
        <f>IF(Real_Sales[[#This Row],[Price_retail]]&gt;$AC$3,"Premium","Average")</f>
        <v>Premium</v>
      </c>
      <c r="Y932" s="2" t="str">
        <f>IF(ISNUMBER(SEARCH("Basic",Real_Sales[[#This Row],[Product_name]])),"Yes","No")</f>
        <v>No</v>
      </c>
      <c r="Z932" s="2" cm="1">
        <f t="array" ref="Z932">_xlfn.IFS(Real_Sales[[#This Row],[Price_retail]]&lt;=15,1, Real_Sales[[#This Row],[Price_retail]]&lt;=30,2, Real_Sales[[#This Row],[Price_retail]]&lt;=50,3,Real_Sales[[#This Row],[Price_retail]]&gt;50,4)</f>
        <v>3</v>
      </c>
    </row>
    <row r="933" spans="1:26" x14ac:dyDescent="0.35">
      <c r="A933" s="2" t="s">
        <v>1326</v>
      </c>
      <c r="B933" s="2" t="s">
        <v>1327</v>
      </c>
      <c r="C933" s="2" t="s">
        <v>65</v>
      </c>
      <c r="D933" s="2" t="s">
        <v>196</v>
      </c>
      <c r="E933" s="2" t="s">
        <v>4</v>
      </c>
      <c r="F933" s="2" t="s">
        <v>17</v>
      </c>
      <c r="G933" s="2" t="s">
        <v>67</v>
      </c>
      <c r="H933" s="2" t="s">
        <v>7</v>
      </c>
      <c r="I933" s="2" t="s">
        <v>3395</v>
      </c>
      <c r="J933" s="3">
        <v>37.92</v>
      </c>
      <c r="K933" s="3">
        <v>37.92</v>
      </c>
      <c r="L933" s="2" t="s">
        <v>3391</v>
      </c>
      <c r="M933" s="2" t="s">
        <v>9</v>
      </c>
      <c r="N933" s="3">
        <v>589</v>
      </c>
      <c r="O933" s="2" t="s">
        <v>3392</v>
      </c>
      <c r="P933" s="2" t="s">
        <v>186</v>
      </c>
      <c r="Q933" s="3"/>
      <c r="R933" s="3"/>
      <c r="S933" s="2" t="s">
        <v>21</v>
      </c>
      <c r="T933" s="4">
        <v>44955</v>
      </c>
      <c r="U933" s="2" t="s">
        <v>1328</v>
      </c>
      <c r="V933" s="6">
        <f>(Real_Sales[[#This Row],[Price_retail]]-Real_Sales[[#This Row],[Price_current]])/Real_Sales[[#This Row],[Price_retail]]</f>
        <v>0</v>
      </c>
      <c r="W933" s="3" t="str" cm="1">
        <f t="array" ref="W93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3" s="2" t="str">
        <f>IF(Real_Sales[[#This Row],[Price_retail]]&gt;$AC$3,"Premium","Average")</f>
        <v>Premium</v>
      </c>
      <c r="Y933" s="2" t="str">
        <f>IF(ISNUMBER(SEARCH("Basic",Real_Sales[[#This Row],[Product_name]])),"Yes","No")</f>
        <v>No</v>
      </c>
      <c r="Z933" s="2" cm="1">
        <f t="array" ref="Z933">_xlfn.IFS(Real_Sales[[#This Row],[Price_retail]]&lt;=15,1, Real_Sales[[#This Row],[Price_retail]]&lt;=30,2, Real_Sales[[#This Row],[Price_retail]]&lt;=50,3,Real_Sales[[#This Row],[Price_retail]]&gt;50,4)</f>
        <v>3</v>
      </c>
    </row>
    <row r="934" spans="1:26" x14ac:dyDescent="0.35">
      <c r="A934" s="2" t="s">
        <v>1039</v>
      </c>
      <c r="B934" s="2" t="s">
        <v>1040</v>
      </c>
      <c r="C934" s="2" t="s">
        <v>2915</v>
      </c>
      <c r="D934" s="2" t="s">
        <v>621</v>
      </c>
      <c r="E934" s="2" t="s">
        <v>4</v>
      </c>
      <c r="F934" s="2" t="s">
        <v>17</v>
      </c>
      <c r="G934" s="2" t="s">
        <v>50</v>
      </c>
      <c r="H934" s="2" t="s">
        <v>68</v>
      </c>
      <c r="I934" s="2" t="s">
        <v>3393</v>
      </c>
      <c r="J934" s="3">
        <v>38.1</v>
      </c>
      <c r="K934" s="3">
        <v>38.1</v>
      </c>
      <c r="L934" s="2" t="s">
        <v>3391</v>
      </c>
      <c r="M934" s="2" t="s">
        <v>9</v>
      </c>
      <c r="N934" s="3">
        <v>223</v>
      </c>
      <c r="O934" s="2" t="s">
        <v>3392</v>
      </c>
      <c r="P934" s="2" t="s">
        <v>215</v>
      </c>
      <c r="Q934" s="3"/>
      <c r="R934" s="3"/>
      <c r="S934" s="2" t="s">
        <v>21</v>
      </c>
      <c r="T934" s="4">
        <v>44955</v>
      </c>
      <c r="U934" s="2" t="s">
        <v>1041</v>
      </c>
      <c r="V934" s="6">
        <f>(Real_Sales[[#This Row],[Price_retail]]-Real_Sales[[#This Row],[Price_current]])/Real_Sales[[#This Row],[Price_retail]]</f>
        <v>0</v>
      </c>
      <c r="W934" s="3" t="str" cm="1">
        <f t="array" ref="W93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4" s="2" t="str">
        <f>IF(Real_Sales[[#This Row],[Price_retail]]&gt;$AC$3,"Premium","Average")</f>
        <v>Premium</v>
      </c>
      <c r="Y934" s="2" t="str">
        <f>IF(ISNUMBER(SEARCH("Basic",Real_Sales[[#This Row],[Product_name]])),"Yes","No")</f>
        <v>No</v>
      </c>
      <c r="Z934" s="2" cm="1">
        <f t="array" ref="Z934">_xlfn.IFS(Real_Sales[[#This Row],[Price_retail]]&lt;=15,1, Real_Sales[[#This Row],[Price_retail]]&lt;=30,2, Real_Sales[[#This Row],[Price_retail]]&lt;=50,3,Real_Sales[[#This Row],[Price_retail]]&gt;50,4)</f>
        <v>3</v>
      </c>
    </row>
    <row r="935" spans="1:26" x14ac:dyDescent="0.35">
      <c r="A935" s="2" t="s">
        <v>1665</v>
      </c>
      <c r="B935" s="2" t="s">
        <v>1666</v>
      </c>
      <c r="C935" s="2" t="s">
        <v>213</v>
      </c>
      <c r="D935" s="2" t="s">
        <v>537</v>
      </c>
      <c r="E935" s="2" t="s">
        <v>4</v>
      </c>
      <c r="F935" s="2" t="s">
        <v>5</v>
      </c>
      <c r="G935" s="2" t="s">
        <v>6</v>
      </c>
      <c r="H935" s="2" t="s">
        <v>145</v>
      </c>
      <c r="I935" s="2" t="s">
        <v>3390</v>
      </c>
      <c r="J935" s="3">
        <v>38.22</v>
      </c>
      <c r="K935" s="3">
        <v>22.61</v>
      </c>
      <c r="L935" s="2" t="s">
        <v>8</v>
      </c>
      <c r="M935" s="2" t="s">
        <v>9</v>
      </c>
      <c r="N935" s="3">
        <v>110</v>
      </c>
      <c r="O935" s="2" t="s">
        <v>69</v>
      </c>
      <c r="P935" s="2" t="s">
        <v>76</v>
      </c>
      <c r="Q935" s="3"/>
      <c r="R935" s="3"/>
      <c r="S935" s="2" t="s">
        <v>21</v>
      </c>
      <c r="T935" s="4">
        <v>44955</v>
      </c>
      <c r="U935" s="2" t="s">
        <v>1667</v>
      </c>
      <c r="V935" s="6">
        <f>(Real_Sales[[#This Row],[Price_retail]]-Real_Sales[[#This Row],[Price_current]])/Real_Sales[[#This Row],[Price_retail]]</f>
        <v>0.40842490842490842</v>
      </c>
      <c r="W935" s="3" t="str" cm="1">
        <f t="array" ref="W93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35" s="2" t="str">
        <f>IF(Real_Sales[[#This Row],[Price_retail]]&gt;$AC$3,"Premium","Average")</f>
        <v>Premium</v>
      </c>
      <c r="Y935" s="2" t="str">
        <f>IF(ISNUMBER(SEARCH("Basic",Real_Sales[[#This Row],[Product_name]])),"Yes","No")</f>
        <v>No</v>
      </c>
      <c r="Z935" s="2" cm="1">
        <f t="array" ref="Z935">_xlfn.IFS(Real_Sales[[#This Row],[Price_retail]]&lt;=15,1, Real_Sales[[#This Row],[Price_retail]]&lt;=30,2, Real_Sales[[#This Row],[Price_retail]]&lt;=50,3,Real_Sales[[#This Row],[Price_retail]]&gt;50,4)</f>
        <v>3</v>
      </c>
    </row>
    <row r="936" spans="1:26" x14ac:dyDescent="0.35">
      <c r="A936" s="2" t="s">
        <v>2971</v>
      </c>
      <c r="B936" s="2" t="s">
        <v>2972</v>
      </c>
      <c r="C936" s="2" t="s">
        <v>25</v>
      </c>
      <c r="D936" s="2" t="s">
        <v>16</v>
      </c>
      <c r="E936" s="2" t="s">
        <v>4</v>
      </c>
      <c r="F936" s="2" t="s">
        <v>17</v>
      </c>
      <c r="G936" s="2" t="s">
        <v>18</v>
      </c>
      <c r="H936" s="2" t="s">
        <v>19</v>
      </c>
      <c r="I936" s="2" t="s">
        <v>3393</v>
      </c>
      <c r="J936" s="3">
        <v>38.33</v>
      </c>
      <c r="K936" s="3">
        <v>38.33</v>
      </c>
      <c r="L936" s="2" t="s">
        <v>3391</v>
      </c>
      <c r="M936" s="2" t="s">
        <v>9</v>
      </c>
      <c r="N936" s="3">
        <v>869</v>
      </c>
      <c r="O936" s="2" t="s">
        <v>287</v>
      </c>
      <c r="P936" s="2" t="s">
        <v>122</v>
      </c>
      <c r="Q936" s="3"/>
      <c r="R936" s="3"/>
      <c r="S936" s="2" t="s">
        <v>12</v>
      </c>
      <c r="T936" s="4">
        <v>44955</v>
      </c>
      <c r="U936" s="2" t="s">
        <v>2973</v>
      </c>
      <c r="V936" s="6">
        <f>(Real_Sales[[#This Row],[Price_retail]]-Real_Sales[[#This Row],[Price_current]])/Real_Sales[[#This Row],[Price_retail]]</f>
        <v>0</v>
      </c>
      <c r="W936" s="3" t="str" cm="1">
        <f t="array" ref="W93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6" s="2" t="str">
        <f>IF(Real_Sales[[#This Row],[Price_retail]]&gt;$AC$3,"Premium","Average")</f>
        <v>Premium</v>
      </c>
      <c r="Y936" s="2" t="str">
        <f>IF(ISNUMBER(SEARCH("Basic",Real_Sales[[#This Row],[Product_name]])),"Yes","No")</f>
        <v>No</v>
      </c>
      <c r="Z936" s="2" cm="1">
        <f t="array" ref="Z936">_xlfn.IFS(Real_Sales[[#This Row],[Price_retail]]&lt;=15,1, Real_Sales[[#This Row],[Price_retail]]&lt;=30,2, Real_Sales[[#This Row],[Price_retail]]&lt;=50,3,Real_Sales[[#This Row],[Price_retail]]&gt;50,4)</f>
        <v>3</v>
      </c>
    </row>
    <row r="937" spans="1:26" x14ac:dyDescent="0.35">
      <c r="A937" s="2" t="s">
        <v>2659</v>
      </c>
      <c r="B937" s="2" t="s">
        <v>2660</v>
      </c>
      <c r="C937" s="2" t="s">
        <v>367</v>
      </c>
      <c r="D937" s="2" t="s">
        <v>138</v>
      </c>
      <c r="E937" s="2" t="s">
        <v>4</v>
      </c>
      <c r="F937" s="2" t="s">
        <v>5</v>
      </c>
      <c r="G937" s="2" t="s">
        <v>6</v>
      </c>
      <c r="H937" s="2" t="s">
        <v>139</v>
      </c>
      <c r="I937" s="2" t="s">
        <v>3395</v>
      </c>
      <c r="J937" s="3">
        <v>38.53</v>
      </c>
      <c r="K937" s="3">
        <v>38.53</v>
      </c>
      <c r="L937" s="2" t="s">
        <v>3391</v>
      </c>
      <c r="M937" s="2" t="s">
        <v>9</v>
      </c>
      <c r="N937" s="3">
        <v>313</v>
      </c>
      <c r="O937" s="2" t="s">
        <v>36</v>
      </c>
      <c r="P937" s="2" t="s">
        <v>76</v>
      </c>
      <c r="Q937" s="3"/>
      <c r="R937" s="3"/>
      <c r="S937" s="2" t="s">
        <v>21</v>
      </c>
      <c r="T937" s="4">
        <v>44955</v>
      </c>
      <c r="U937" s="2" t="s">
        <v>2661</v>
      </c>
      <c r="V937" s="6">
        <f>(Real_Sales[[#This Row],[Price_retail]]-Real_Sales[[#This Row],[Price_current]])/Real_Sales[[#This Row],[Price_retail]]</f>
        <v>0</v>
      </c>
      <c r="W937" s="3" t="str" cm="1">
        <f t="array" ref="W93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7" s="2" t="str">
        <f>IF(Real_Sales[[#This Row],[Price_retail]]&gt;$AC$3,"Premium","Average")</f>
        <v>Premium</v>
      </c>
      <c r="Y937" s="2" t="str">
        <f>IF(ISNUMBER(SEARCH("Basic",Real_Sales[[#This Row],[Product_name]])),"Yes","No")</f>
        <v>Yes</v>
      </c>
      <c r="Z937" s="2" cm="1">
        <f t="array" ref="Z937">_xlfn.IFS(Real_Sales[[#This Row],[Price_retail]]&lt;=15,1, Real_Sales[[#This Row],[Price_retail]]&lt;=30,2, Real_Sales[[#This Row],[Price_retail]]&lt;=50,3,Real_Sales[[#This Row],[Price_retail]]&gt;50,4)</f>
        <v>3</v>
      </c>
    </row>
    <row r="938" spans="1:26" x14ac:dyDescent="0.35">
      <c r="A938" s="2" t="s">
        <v>1299</v>
      </c>
      <c r="B938" s="2" t="s">
        <v>1300</v>
      </c>
      <c r="C938" s="2" t="s">
        <v>1743</v>
      </c>
      <c r="D938" s="2" t="s">
        <v>1301</v>
      </c>
      <c r="E938" s="2" t="s">
        <v>4</v>
      </c>
      <c r="F938" s="2" t="s">
        <v>17</v>
      </c>
      <c r="G938" s="2" t="s">
        <v>50</v>
      </c>
      <c r="H938" s="2" t="s">
        <v>237</v>
      </c>
      <c r="I938" s="2" t="s">
        <v>3393</v>
      </c>
      <c r="J938" s="3">
        <v>38.979999999999997</v>
      </c>
      <c r="K938" s="3">
        <v>38.979999999999997</v>
      </c>
      <c r="L938" s="2" t="s">
        <v>3391</v>
      </c>
      <c r="M938" s="2" t="s">
        <v>9</v>
      </c>
      <c r="N938" s="3">
        <v>752</v>
      </c>
      <c r="O938" s="2" t="s">
        <v>3392</v>
      </c>
      <c r="P938" s="2" t="s">
        <v>3392</v>
      </c>
      <c r="Q938" s="3"/>
      <c r="R938" s="3"/>
      <c r="S938" s="2" t="s">
        <v>21</v>
      </c>
      <c r="T938" s="4">
        <v>44955</v>
      </c>
      <c r="U938" s="2" t="s">
        <v>1302</v>
      </c>
      <c r="V938" s="6">
        <f>(Real_Sales[[#This Row],[Price_retail]]-Real_Sales[[#This Row],[Price_current]])/Real_Sales[[#This Row],[Price_retail]]</f>
        <v>0</v>
      </c>
      <c r="W938" s="3" t="str" cm="1">
        <f t="array" ref="W93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38" s="2" t="str">
        <f>IF(Real_Sales[[#This Row],[Price_retail]]&gt;$AC$3,"Premium","Average")</f>
        <v>Premium</v>
      </c>
      <c r="Y938" s="2" t="str">
        <f>IF(ISNUMBER(SEARCH("Basic",Real_Sales[[#This Row],[Product_name]])),"Yes","No")</f>
        <v>Yes</v>
      </c>
      <c r="Z938" s="2" cm="1">
        <f t="array" ref="Z938">_xlfn.IFS(Real_Sales[[#This Row],[Price_retail]]&lt;=15,1, Real_Sales[[#This Row],[Price_retail]]&lt;=30,2, Real_Sales[[#This Row],[Price_retail]]&lt;=50,3,Real_Sales[[#This Row],[Price_retail]]&gt;50,4)</f>
        <v>3</v>
      </c>
    </row>
    <row r="939" spans="1:26" x14ac:dyDescent="0.35">
      <c r="A939" s="2" t="s">
        <v>1883</v>
      </c>
      <c r="B939" s="2" t="s">
        <v>1884</v>
      </c>
      <c r="C939" s="2" t="s">
        <v>3394</v>
      </c>
      <c r="D939" s="2" t="s">
        <v>617</v>
      </c>
      <c r="E939" s="2" t="s">
        <v>4</v>
      </c>
      <c r="F939" s="2" t="s">
        <v>5</v>
      </c>
      <c r="G939" s="2" t="s">
        <v>6</v>
      </c>
      <c r="H939" s="2" t="s">
        <v>83</v>
      </c>
      <c r="I939" s="2" t="s">
        <v>3393</v>
      </c>
      <c r="J939" s="3">
        <v>39.24</v>
      </c>
      <c r="K939" s="3">
        <v>22.12</v>
      </c>
      <c r="L939" s="2" t="s">
        <v>8</v>
      </c>
      <c r="M939" s="2" t="s">
        <v>9</v>
      </c>
      <c r="N939" s="3">
        <v>921</v>
      </c>
      <c r="O939" s="2" t="s">
        <v>287</v>
      </c>
      <c r="P939" s="2" t="s">
        <v>177</v>
      </c>
      <c r="Q939" s="3"/>
      <c r="R939" s="3"/>
      <c r="S939" s="2" t="s">
        <v>21</v>
      </c>
      <c r="T939" s="4">
        <v>44955</v>
      </c>
      <c r="U939" s="2" t="s">
        <v>1885</v>
      </c>
      <c r="V939" s="6">
        <f>(Real_Sales[[#This Row],[Price_retail]]-Real_Sales[[#This Row],[Price_current]])/Real_Sales[[#This Row],[Price_retail]]</f>
        <v>0.43628950050968401</v>
      </c>
      <c r="W939" s="3" t="str" cm="1">
        <f t="array" ref="W93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39" s="2" t="str">
        <f>IF(Real_Sales[[#This Row],[Price_retail]]&gt;$AC$3,"Premium","Average")</f>
        <v>Premium</v>
      </c>
      <c r="Y939" s="2" t="str">
        <f>IF(ISNUMBER(SEARCH("Basic",Real_Sales[[#This Row],[Product_name]])),"Yes","No")</f>
        <v>No</v>
      </c>
      <c r="Z939" s="2" cm="1">
        <f t="array" ref="Z939">_xlfn.IFS(Real_Sales[[#This Row],[Price_retail]]&lt;=15,1, Real_Sales[[#This Row],[Price_retail]]&lt;=30,2, Real_Sales[[#This Row],[Price_retail]]&lt;=50,3,Real_Sales[[#This Row],[Price_retail]]&gt;50,4)</f>
        <v>3</v>
      </c>
    </row>
    <row r="940" spans="1:26" x14ac:dyDescent="0.35">
      <c r="A940" s="2" t="s">
        <v>2826</v>
      </c>
      <c r="B940" s="2" t="s">
        <v>2827</v>
      </c>
      <c r="C940" s="2" t="s">
        <v>412</v>
      </c>
      <c r="D940" s="2" t="s">
        <v>674</v>
      </c>
      <c r="E940" s="2" t="s">
        <v>4</v>
      </c>
      <c r="F940" s="2" t="s">
        <v>5</v>
      </c>
      <c r="G940" s="2" t="s">
        <v>121</v>
      </c>
      <c r="H940" s="2" t="s">
        <v>333</v>
      </c>
      <c r="I940" s="2" t="s">
        <v>3395</v>
      </c>
      <c r="J940" s="3">
        <v>39.31</v>
      </c>
      <c r="K940" s="3">
        <v>39.31</v>
      </c>
      <c r="L940" s="2" t="s">
        <v>3391</v>
      </c>
      <c r="M940" s="2" t="s">
        <v>9</v>
      </c>
      <c r="N940" s="3">
        <v>206</v>
      </c>
      <c r="O940" s="2" t="s">
        <v>60</v>
      </c>
      <c r="P940" s="2" t="s">
        <v>44</v>
      </c>
      <c r="Q940" s="3"/>
      <c r="R940" s="3"/>
      <c r="S940" s="2" t="s">
        <v>21</v>
      </c>
      <c r="T940" s="4">
        <v>44955</v>
      </c>
      <c r="U940" s="2" t="s">
        <v>2828</v>
      </c>
      <c r="V940" s="6">
        <f>(Real_Sales[[#This Row],[Price_retail]]-Real_Sales[[#This Row],[Price_current]])/Real_Sales[[#This Row],[Price_retail]]</f>
        <v>0</v>
      </c>
      <c r="W940" s="3" t="str" cm="1">
        <f t="array" ref="W94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40" s="2" t="str">
        <f>IF(Real_Sales[[#This Row],[Price_retail]]&gt;$AC$3,"Premium","Average")</f>
        <v>Premium</v>
      </c>
      <c r="Y940" s="2" t="str">
        <f>IF(ISNUMBER(SEARCH("Basic",Real_Sales[[#This Row],[Product_name]])),"Yes","No")</f>
        <v>No</v>
      </c>
      <c r="Z940" s="2" cm="1">
        <f t="array" ref="Z940">_xlfn.IFS(Real_Sales[[#This Row],[Price_retail]]&lt;=15,1, Real_Sales[[#This Row],[Price_retail]]&lt;=30,2, Real_Sales[[#This Row],[Price_retail]]&lt;=50,3,Real_Sales[[#This Row],[Price_retail]]&gt;50,4)</f>
        <v>3</v>
      </c>
    </row>
    <row r="941" spans="1:26" x14ac:dyDescent="0.35">
      <c r="A941" s="2" t="s">
        <v>2829</v>
      </c>
      <c r="B941" s="2" t="s">
        <v>2830</v>
      </c>
      <c r="C941" s="2" t="s">
        <v>2915</v>
      </c>
      <c r="D941" s="2" t="s">
        <v>758</v>
      </c>
      <c r="E941" s="2" t="s">
        <v>4</v>
      </c>
      <c r="F941" s="2" t="s">
        <v>5</v>
      </c>
      <c r="G941" s="2" t="s">
        <v>121</v>
      </c>
      <c r="H941" s="2" t="s">
        <v>168</v>
      </c>
      <c r="I941" s="2" t="s">
        <v>3390</v>
      </c>
      <c r="J941" s="3">
        <v>39.4</v>
      </c>
      <c r="K941" s="3">
        <v>23.28</v>
      </c>
      <c r="L941" s="2" t="s">
        <v>8</v>
      </c>
      <c r="M941" s="2" t="s">
        <v>9</v>
      </c>
      <c r="N941" s="3">
        <v>411</v>
      </c>
      <c r="O941" s="2" t="s">
        <v>43</v>
      </c>
      <c r="P941" s="2" t="s">
        <v>3392</v>
      </c>
      <c r="Q941" s="3"/>
      <c r="R941" s="3"/>
      <c r="S941" s="2" t="s">
        <v>21</v>
      </c>
      <c r="T941" s="4">
        <v>44955</v>
      </c>
      <c r="U941" s="2" t="s">
        <v>2831</v>
      </c>
      <c r="V941" s="6">
        <f>(Real_Sales[[#This Row],[Price_retail]]-Real_Sales[[#This Row],[Price_current]])/Real_Sales[[#This Row],[Price_retail]]</f>
        <v>0.40913705583756338</v>
      </c>
      <c r="W941" s="3" t="str" cm="1">
        <f t="array" ref="W94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41" s="2" t="str">
        <f>IF(Real_Sales[[#This Row],[Price_retail]]&gt;$AC$3,"Premium","Average")</f>
        <v>Premium</v>
      </c>
      <c r="Y941" s="2" t="str">
        <f>IF(ISNUMBER(SEARCH("Basic",Real_Sales[[#This Row],[Product_name]])),"Yes","No")</f>
        <v>No</v>
      </c>
      <c r="Z941" s="2" cm="1">
        <f t="array" ref="Z941">_xlfn.IFS(Real_Sales[[#This Row],[Price_retail]]&lt;=15,1, Real_Sales[[#This Row],[Price_retail]]&lt;=30,2, Real_Sales[[#This Row],[Price_retail]]&lt;=50,3,Real_Sales[[#This Row],[Price_retail]]&gt;50,4)</f>
        <v>3</v>
      </c>
    </row>
    <row r="942" spans="1:26" x14ac:dyDescent="0.35">
      <c r="A942" s="2" t="s">
        <v>1156</v>
      </c>
      <c r="B942" s="2" t="s">
        <v>1157</v>
      </c>
      <c r="C942" s="2" t="s">
        <v>1115</v>
      </c>
      <c r="D942" s="2" t="s">
        <v>214</v>
      </c>
      <c r="E942" s="2" t="s">
        <v>4</v>
      </c>
      <c r="F942" s="2" t="s">
        <v>5</v>
      </c>
      <c r="G942" s="2" t="s">
        <v>6</v>
      </c>
      <c r="H942" s="2" t="s">
        <v>139</v>
      </c>
      <c r="I942" s="2" t="s">
        <v>3390</v>
      </c>
      <c r="J942" s="3">
        <v>39.53</v>
      </c>
      <c r="K942" s="3">
        <v>39.53</v>
      </c>
      <c r="L942" s="2" t="s">
        <v>3391</v>
      </c>
      <c r="M942" s="2" t="s">
        <v>9</v>
      </c>
      <c r="N942" s="3">
        <v>358</v>
      </c>
      <c r="O942" s="2" t="s">
        <v>29</v>
      </c>
      <c r="P942" s="2" t="s">
        <v>334</v>
      </c>
      <c r="Q942" s="3"/>
      <c r="R942" s="3"/>
      <c r="S942" s="2" t="s">
        <v>21</v>
      </c>
      <c r="T942" s="4">
        <v>44955</v>
      </c>
      <c r="U942" s="2" t="s">
        <v>1158</v>
      </c>
      <c r="V942" s="6">
        <f>(Real_Sales[[#This Row],[Price_retail]]-Real_Sales[[#This Row],[Price_current]])/Real_Sales[[#This Row],[Price_retail]]</f>
        <v>0</v>
      </c>
      <c r="W942" s="3" t="str" cm="1">
        <f t="array" ref="W94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42" s="2" t="str">
        <f>IF(Real_Sales[[#This Row],[Price_retail]]&gt;$AC$3,"Premium","Average")</f>
        <v>Premium</v>
      </c>
      <c r="Y942" s="2" t="str">
        <f>IF(ISNUMBER(SEARCH("Basic",Real_Sales[[#This Row],[Product_name]])),"Yes","No")</f>
        <v>No</v>
      </c>
      <c r="Z942" s="2" cm="1">
        <f t="array" ref="Z942">_xlfn.IFS(Real_Sales[[#This Row],[Price_retail]]&lt;=15,1, Real_Sales[[#This Row],[Price_retail]]&lt;=30,2, Real_Sales[[#This Row],[Price_retail]]&lt;=50,3,Real_Sales[[#This Row],[Price_retail]]&gt;50,4)</f>
        <v>3</v>
      </c>
    </row>
    <row r="943" spans="1:26" x14ac:dyDescent="0.35">
      <c r="A943" s="2" t="s">
        <v>2072</v>
      </c>
      <c r="B943" s="2" t="s">
        <v>2073</v>
      </c>
      <c r="C943" s="2" t="s">
        <v>80</v>
      </c>
      <c r="D943" s="2" t="s">
        <v>432</v>
      </c>
      <c r="E943" s="2" t="s">
        <v>4</v>
      </c>
      <c r="F943" s="2" t="s">
        <v>5</v>
      </c>
      <c r="G943" s="2" t="s">
        <v>6</v>
      </c>
      <c r="H943" s="2"/>
      <c r="I943" s="2" t="s">
        <v>3395</v>
      </c>
      <c r="J943" s="3">
        <v>39.619999999999997</v>
      </c>
      <c r="K943" s="3">
        <v>39.619999999999997</v>
      </c>
      <c r="L943" s="2" t="s">
        <v>3391</v>
      </c>
      <c r="M943" s="2" t="s">
        <v>9</v>
      </c>
      <c r="N943" s="3">
        <v>370</v>
      </c>
      <c r="O943" s="2" t="s">
        <v>10</v>
      </c>
      <c r="P943" s="2" t="s">
        <v>92</v>
      </c>
      <c r="Q943" s="3"/>
      <c r="R943" s="3"/>
      <c r="S943" s="2" t="s">
        <v>21</v>
      </c>
      <c r="T943" s="4">
        <v>44955</v>
      </c>
      <c r="U943" s="2" t="s">
        <v>2074</v>
      </c>
      <c r="V943" s="6">
        <f>(Real_Sales[[#This Row],[Price_retail]]-Real_Sales[[#This Row],[Price_current]])/Real_Sales[[#This Row],[Price_retail]]</f>
        <v>0</v>
      </c>
      <c r="W943" s="3" t="str" cm="1">
        <f t="array" ref="W94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43" s="2" t="str">
        <f>IF(Real_Sales[[#This Row],[Price_retail]]&gt;$AC$3,"Premium","Average")</f>
        <v>Premium</v>
      </c>
      <c r="Y943" s="2" t="str">
        <f>IF(ISNUMBER(SEARCH("Basic",Real_Sales[[#This Row],[Product_name]])),"Yes","No")</f>
        <v>Yes</v>
      </c>
      <c r="Z943" s="2" cm="1">
        <f t="array" ref="Z943">_xlfn.IFS(Real_Sales[[#This Row],[Price_retail]]&lt;=15,1, Real_Sales[[#This Row],[Price_retail]]&lt;=30,2, Real_Sales[[#This Row],[Price_retail]]&lt;=50,3,Real_Sales[[#This Row],[Price_retail]]&gt;50,4)</f>
        <v>3</v>
      </c>
    </row>
    <row r="944" spans="1:26" x14ac:dyDescent="0.35">
      <c r="A944" s="2" t="s">
        <v>2255</v>
      </c>
      <c r="B944" s="2" t="s">
        <v>2256</v>
      </c>
      <c r="C944" s="2" t="s">
        <v>242</v>
      </c>
      <c r="D944" s="2" t="s">
        <v>857</v>
      </c>
      <c r="E944" s="2" t="s">
        <v>4</v>
      </c>
      <c r="F944" s="2" t="s">
        <v>5</v>
      </c>
      <c r="G944" s="2" t="s">
        <v>6</v>
      </c>
      <c r="H944" s="2"/>
      <c r="I944" s="2" t="s">
        <v>3393</v>
      </c>
      <c r="J944" s="3">
        <v>40.159999999999997</v>
      </c>
      <c r="K944" s="3">
        <v>40.159999999999997</v>
      </c>
      <c r="L944" s="2" t="s">
        <v>3391</v>
      </c>
      <c r="M944" s="2" t="s">
        <v>9</v>
      </c>
      <c r="N944" s="3">
        <v>208</v>
      </c>
      <c r="O944" s="2" t="s">
        <v>98</v>
      </c>
      <c r="P944" s="2" t="s">
        <v>3392</v>
      </c>
      <c r="Q944" s="3"/>
      <c r="R944" s="3"/>
      <c r="S944" s="2" t="s">
        <v>21</v>
      </c>
      <c r="T944" s="4">
        <v>44955</v>
      </c>
      <c r="U944" s="2" t="s">
        <v>2257</v>
      </c>
      <c r="V944" s="6">
        <f>(Real_Sales[[#This Row],[Price_retail]]-Real_Sales[[#This Row],[Price_current]])/Real_Sales[[#This Row],[Price_retail]]</f>
        <v>0</v>
      </c>
      <c r="W944" s="3" t="str" cm="1">
        <f t="array" ref="W94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44" s="2" t="str">
        <f>IF(Real_Sales[[#This Row],[Price_retail]]&gt;$AC$3,"Premium","Average")</f>
        <v>Premium</v>
      </c>
      <c r="Y944" s="2" t="str">
        <f>IF(ISNUMBER(SEARCH("Basic",Real_Sales[[#This Row],[Product_name]])),"Yes","No")</f>
        <v>No</v>
      </c>
      <c r="Z944" s="2" cm="1">
        <f t="array" ref="Z944">_xlfn.IFS(Real_Sales[[#This Row],[Price_retail]]&lt;=15,1, Real_Sales[[#This Row],[Price_retail]]&lt;=30,2, Real_Sales[[#This Row],[Price_retail]]&lt;=50,3,Real_Sales[[#This Row],[Price_retail]]&gt;50,4)</f>
        <v>3</v>
      </c>
    </row>
    <row r="945" spans="1:26" x14ac:dyDescent="0.35">
      <c r="A945" s="2" t="s">
        <v>1454</v>
      </c>
      <c r="B945" s="2" t="s">
        <v>1455</v>
      </c>
      <c r="C945" s="2" t="s">
        <v>65</v>
      </c>
      <c r="D945" s="2" t="s">
        <v>247</v>
      </c>
      <c r="E945" s="2" t="s">
        <v>4</v>
      </c>
      <c r="F945" s="2" t="s">
        <v>17</v>
      </c>
      <c r="G945" s="2" t="s">
        <v>50</v>
      </c>
      <c r="H945" s="2" t="s">
        <v>68</v>
      </c>
      <c r="I945" s="2" t="s">
        <v>3393</v>
      </c>
      <c r="J945" s="3">
        <v>40.19</v>
      </c>
      <c r="K945" s="3">
        <v>33.299999999999997</v>
      </c>
      <c r="L945" s="2" t="s">
        <v>8</v>
      </c>
      <c r="M945" s="2" t="s">
        <v>9</v>
      </c>
      <c r="N945" s="3">
        <v>152</v>
      </c>
      <c r="O945" s="2" t="s">
        <v>302</v>
      </c>
      <c r="P945" s="2" t="s">
        <v>92</v>
      </c>
      <c r="Q945" s="3"/>
      <c r="R945" s="3"/>
      <c r="S945" s="2" t="s">
        <v>12</v>
      </c>
      <c r="T945" s="4">
        <v>44955</v>
      </c>
      <c r="U945" s="2" t="s">
        <v>1456</v>
      </c>
      <c r="V945" s="6">
        <f>(Real_Sales[[#This Row],[Price_retail]]-Real_Sales[[#This Row],[Price_current]])/Real_Sales[[#This Row],[Price_retail]]</f>
        <v>0.17143568051754171</v>
      </c>
      <c r="W945" s="3" t="str" cm="1">
        <f t="array" ref="W945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945" s="2" t="str">
        <f>IF(Real_Sales[[#This Row],[Price_retail]]&gt;$AC$3,"Premium","Average")</f>
        <v>Premium</v>
      </c>
      <c r="Y945" s="2" t="str">
        <f>IF(ISNUMBER(SEARCH("Basic",Real_Sales[[#This Row],[Product_name]])),"Yes","No")</f>
        <v>No</v>
      </c>
      <c r="Z945" s="2" cm="1">
        <f t="array" ref="Z945">_xlfn.IFS(Real_Sales[[#This Row],[Price_retail]]&lt;=15,1, Real_Sales[[#This Row],[Price_retail]]&lt;=30,2, Real_Sales[[#This Row],[Price_retail]]&lt;=50,3,Real_Sales[[#This Row],[Price_retail]]&gt;50,4)</f>
        <v>3</v>
      </c>
    </row>
    <row r="946" spans="1:26" x14ac:dyDescent="0.35">
      <c r="A946" s="2" t="s">
        <v>1350</v>
      </c>
      <c r="B946" s="2" t="s">
        <v>1351</v>
      </c>
      <c r="C946" s="2" t="s">
        <v>242</v>
      </c>
      <c r="D946" s="2" t="s">
        <v>149</v>
      </c>
      <c r="E946" s="2" t="s">
        <v>4</v>
      </c>
      <c r="F946" s="2" t="s">
        <v>5</v>
      </c>
      <c r="G946" s="2" t="s">
        <v>82</v>
      </c>
      <c r="H946" s="2" t="s">
        <v>28</v>
      </c>
      <c r="I946" s="2" t="s">
        <v>3390</v>
      </c>
      <c r="J946" s="3">
        <v>40.21</v>
      </c>
      <c r="K946" s="3">
        <v>21.77</v>
      </c>
      <c r="L946" s="2" t="s">
        <v>8</v>
      </c>
      <c r="M946" s="2" t="s">
        <v>9</v>
      </c>
      <c r="N946" s="3">
        <v>479</v>
      </c>
      <c r="O946" s="2" t="s">
        <v>302</v>
      </c>
      <c r="P946" s="2" t="s">
        <v>128</v>
      </c>
      <c r="Q946" s="3"/>
      <c r="R946" s="3"/>
      <c r="S946" s="2" t="s">
        <v>12</v>
      </c>
      <c r="T946" s="4">
        <v>44955</v>
      </c>
      <c r="U946" s="2" t="s">
        <v>1352</v>
      </c>
      <c r="V946" s="6">
        <f>(Real_Sales[[#This Row],[Price_retail]]-Real_Sales[[#This Row],[Price_current]])/Real_Sales[[#This Row],[Price_retail]]</f>
        <v>0.45859238995274809</v>
      </c>
      <c r="W946" s="3" t="str" cm="1">
        <f t="array" ref="W946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46" s="2" t="str">
        <f>IF(Real_Sales[[#This Row],[Price_retail]]&gt;$AC$3,"Premium","Average")</f>
        <v>Premium</v>
      </c>
      <c r="Y946" s="2" t="str">
        <f>IF(ISNUMBER(SEARCH("Basic",Real_Sales[[#This Row],[Product_name]])),"Yes","No")</f>
        <v>Yes</v>
      </c>
      <c r="Z946" s="2" cm="1">
        <f t="array" ref="Z946">_xlfn.IFS(Real_Sales[[#This Row],[Price_retail]]&lt;=15,1, Real_Sales[[#This Row],[Price_retail]]&lt;=30,2, Real_Sales[[#This Row],[Price_retail]]&lt;=50,3,Real_Sales[[#This Row],[Price_retail]]&gt;50,4)</f>
        <v>3</v>
      </c>
    </row>
    <row r="947" spans="1:26" x14ac:dyDescent="0.35">
      <c r="A947" s="2" t="s">
        <v>2568</v>
      </c>
      <c r="B947" s="2" t="s">
        <v>2569</v>
      </c>
      <c r="C947" s="2" t="s">
        <v>387</v>
      </c>
      <c r="D947" s="2" t="s">
        <v>2570</v>
      </c>
      <c r="E947" s="2" t="s">
        <v>4</v>
      </c>
      <c r="F947" s="2" t="s">
        <v>5</v>
      </c>
      <c r="G947" s="2" t="s">
        <v>6</v>
      </c>
      <c r="H947" s="2" t="s">
        <v>28</v>
      </c>
      <c r="I947" s="2" t="s">
        <v>3393</v>
      </c>
      <c r="J947" s="3">
        <v>40.51</v>
      </c>
      <c r="K947" s="3">
        <v>40.51</v>
      </c>
      <c r="L947" s="2" t="s">
        <v>3391</v>
      </c>
      <c r="M947" s="2" t="s">
        <v>9</v>
      </c>
      <c r="N947" s="3">
        <v>488</v>
      </c>
      <c r="O947" s="2" t="s">
        <v>10</v>
      </c>
      <c r="P947" s="2" t="s">
        <v>192</v>
      </c>
      <c r="Q947" s="3"/>
      <c r="R947" s="3"/>
      <c r="S947" s="2" t="s">
        <v>12</v>
      </c>
      <c r="T947" s="4">
        <v>44955</v>
      </c>
      <c r="U947" s="2" t="s">
        <v>2571</v>
      </c>
      <c r="V947" s="6">
        <f>(Real_Sales[[#This Row],[Price_retail]]-Real_Sales[[#This Row],[Price_current]])/Real_Sales[[#This Row],[Price_retail]]</f>
        <v>0</v>
      </c>
      <c r="W947" s="3" t="str" cm="1">
        <f t="array" ref="W94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47" s="2" t="str">
        <f>IF(Real_Sales[[#This Row],[Price_retail]]&gt;$AC$3,"Premium","Average")</f>
        <v>Premium</v>
      </c>
      <c r="Y947" s="2" t="str">
        <f>IF(ISNUMBER(SEARCH("Basic",Real_Sales[[#This Row],[Product_name]])),"Yes","No")</f>
        <v>No</v>
      </c>
      <c r="Z947" s="2" cm="1">
        <f t="array" ref="Z947">_xlfn.IFS(Real_Sales[[#This Row],[Price_retail]]&lt;=15,1, Real_Sales[[#This Row],[Price_retail]]&lt;=30,2, Real_Sales[[#This Row],[Price_retail]]&lt;=50,3,Real_Sales[[#This Row],[Price_retail]]&gt;50,4)</f>
        <v>3</v>
      </c>
    </row>
    <row r="948" spans="1:26" x14ac:dyDescent="0.35">
      <c r="A948" s="2" t="s">
        <v>1163</v>
      </c>
      <c r="B948" s="2" t="s">
        <v>1164</v>
      </c>
      <c r="C948" s="2" t="s">
        <v>242</v>
      </c>
      <c r="D948" s="2" t="s">
        <v>1165</v>
      </c>
      <c r="E948" s="2" t="s">
        <v>4</v>
      </c>
      <c r="F948" s="2" t="s">
        <v>17</v>
      </c>
      <c r="G948" s="2" t="s">
        <v>27</v>
      </c>
      <c r="H948" s="2" t="s">
        <v>185</v>
      </c>
      <c r="I948" s="2" t="s">
        <v>3395</v>
      </c>
      <c r="J948" s="3">
        <v>40.56</v>
      </c>
      <c r="K948" s="3">
        <v>27.93</v>
      </c>
      <c r="L948" s="2" t="s">
        <v>8</v>
      </c>
      <c r="M948" s="2" t="s">
        <v>9</v>
      </c>
      <c r="N948" s="3">
        <v>491</v>
      </c>
      <c r="O948" s="2" t="s">
        <v>347</v>
      </c>
      <c r="P948" s="2" t="s">
        <v>288</v>
      </c>
      <c r="Q948" s="3"/>
      <c r="R948" s="3"/>
      <c r="S948" s="2" t="s">
        <v>21</v>
      </c>
      <c r="T948" s="4">
        <v>44955</v>
      </c>
      <c r="U948" s="2" t="s">
        <v>1166</v>
      </c>
      <c r="V948" s="6">
        <f>(Real_Sales[[#This Row],[Price_retail]]-Real_Sales[[#This Row],[Price_current]])/Real_Sales[[#This Row],[Price_retail]]</f>
        <v>0.31139053254437876</v>
      </c>
      <c r="W948" s="3" t="str" cm="1">
        <f t="array" ref="W94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48" s="2" t="str">
        <f>IF(Real_Sales[[#This Row],[Price_retail]]&gt;$AC$3,"Premium","Average")</f>
        <v>Premium</v>
      </c>
      <c r="Y948" s="2" t="str">
        <f>IF(ISNUMBER(SEARCH("Basic",Real_Sales[[#This Row],[Product_name]])),"Yes","No")</f>
        <v>No</v>
      </c>
      <c r="Z948" s="2" cm="1">
        <f t="array" ref="Z948">_xlfn.IFS(Real_Sales[[#This Row],[Price_retail]]&lt;=15,1, Real_Sales[[#This Row],[Price_retail]]&lt;=30,2, Real_Sales[[#This Row],[Price_retail]]&lt;=50,3,Real_Sales[[#This Row],[Price_retail]]&gt;50,4)</f>
        <v>3</v>
      </c>
    </row>
    <row r="949" spans="1:26" x14ac:dyDescent="0.35">
      <c r="A949" s="2" t="s">
        <v>2292</v>
      </c>
      <c r="B949" s="2" t="s">
        <v>2293</v>
      </c>
      <c r="C949" s="2" t="s">
        <v>3433</v>
      </c>
      <c r="D949" s="2" t="s">
        <v>196</v>
      </c>
      <c r="E949" s="2" t="s">
        <v>4</v>
      </c>
      <c r="F949" s="2" t="s">
        <v>17</v>
      </c>
      <c r="G949" s="2" t="s">
        <v>27</v>
      </c>
      <c r="H949" s="2" t="s">
        <v>7</v>
      </c>
      <c r="I949" s="2" t="s">
        <v>3395</v>
      </c>
      <c r="J949" s="3">
        <v>40.94</v>
      </c>
      <c r="K949" s="3">
        <v>32.51</v>
      </c>
      <c r="L949" s="2" t="s">
        <v>8</v>
      </c>
      <c r="M949" s="2" t="s">
        <v>9</v>
      </c>
      <c r="N949" s="3">
        <v>325</v>
      </c>
      <c r="O949" s="2" t="s">
        <v>302</v>
      </c>
      <c r="P949" s="2" t="s">
        <v>3392</v>
      </c>
      <c r="Q949" s="3"/>
      <c r="R949" s="3"/>
      <c r="S949" s="2" t="s">
        <v>21</v>
      </c>
      <c r="T949" s="4">
        <v>44955</v>
      </c>
      <c r="U949" s="2" t="s">
        <v>2294</v>
      </c>
      <c r="V949" s="6">
        <f>(Real_Sales[[#This Row],[Price_retail]]-Real_Sales[[#This Row],[Price_current]])/Real_Sales[[#This Row],[Price_retail]]</f>
        <v>0.20591108939912067</v>
      </c>
      <c r="W949" s="3" t="str" cm="1">
        <f t="array" ref="W949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49" s="2" t="str">
        <f>IF(Real_Sales[[#This Row],[Price_retail]]&gt;$AC$3,"Premium","Average")</f>
        <v>Premium</v>
      </c>
      <c r="Y949" s="2" t="str">
        <f>IF(ISNUMBER(SEARCH("Basic",Real_Sales[[#This Row],[Product_name]])),"Yes","No")</f>
        <v>No</v>
      </c>
      <c r="Z949" s="2" cm="1">
        <f t="array" ref="Z949">_xlfn.IFS(Real_Sales[[#This Row],[Price_retail]]&lt;=15,1, Real_Sales[[#This Row],[Price_retail]]&lt;=30,2, Real_Sales[[#This Row],[Price_retail]]&lt;=50,3,Real_Sales[[#This Row],[Price_retail]]&gt;50,4)</f>
        <v>3</v>
      </c>
    </row>
    <row r="950" spans="1:26" x14ac:dyDescent="0.35">
      <c r="A950" s="2" t="s">
        <v>2096</v>
      </c>
      <c r="B950" s="2" t="s">
        <v>2097</v>
      </c>
      <c r="C950" s="2" t="s">
        <v>1242</v>
      </c>
      <c r="D950" s="2" t="s">
        <v>1238</v>
      </c>
      <c r="E950" s="2" t="s">
        <v>4</v>
      </c>
      <c r="F950" s="2" t="s">
        <v>5</v>
      </c>
      <c r="G950" s="2" t="s">
        <v>82</v>
      </c>
      <c r="H950" s="2" t="s">
        <v>168</v>
      </c>
      <c r="I950" s="2" t="s">
        <v>3389</v>
      </c>
      <c r="J950" s="3">
        <v>41.51</v>
      </c>
      <c r="K950" s="3">
        <v>30.17</v>
      </c>
      <c r="L950" s="2" t="s">
        <v>8</v>
      </c>
      <c r="M950" s="2" t="s">
        <v>9</v>
      </c>
      <c r="N950" s="3">
        <v>83</v>
      </c>
      <c r="O950" s="2" t="s">
        <v>29</v>
      </c>
      <c r="P950" s="2" t="s">
        <v>177</v>
      </c>
      <c r="Q950" s="3"/>
      <c r="R950" s="3"/>
      <c r="S950" s="2" t="s">
        <v>21</v>
      </c>
      <c r="T950" s="4">
        <v>44955</v>
      </c>
      <c r="U950" s="2" t="s">
        <v>2098</v>
      </c>
      <c r="V950" s="6">
        <f>(Real_Sales[[#This Row],[Price_retail]]-Real_Sales[[#This Row],[Price_current]])/Real_Sales[[#This Row],[Price_retail]]</f>
        <v>0.27318718381112977</v>
      </c>
      <c r="W950" s="3" t="str" cm="1">
        <f t="array" ref="W95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50" s="2" t="str">
        <f>IF(Real_Sales[[#This Row],[Price_retail]]&gt;$AC$3,"Premium","Average")</f>
        <v>Premium</v>
      </c>
      <c r="Y950" s="2" t="str">
        <f>IF(ISNUMBER(SEARCH("Basic",Real_Sales[[#This Row],[Product_name]])),"Yes","No")</f>
        <v>No</v>
      </c>
      <c r="Z950" s="2" cm="1">
        <f t="array" ref="Z950">_xlfn.IFS(Real_Sales[[#This Row],[Price_retail]]&lt;=15,1, Real_Sales[[#This Row],[Price_retail]]&lt;=30,2, Real_Sales[[#This Row],[Price_retail]]&lt;=50,3,Real_Sales[[#This Row],[Price_retail]]&gt;50,4)</f>
        <v>3</v>
      </c>
    </row>
    <row r="951" spans="1:26" x14ac:dyDescent="0.35">
      <c r="A951" s="2" t="s">
        <v>2725</v>
      </c>
      <c r="B951" s="2" t="s">
        <v>2726</v>
      </c>
      <c r="C951" s="2" t="s">
        <v>126</v>
      </c>
      <c r="D951" s="2" t="s">
        <v>640</v>
      </c>
      <c r="E951" s="2" t="s">
        <v>4</v>
      </c>
      <c r="F951" s="2" t="s">
        <v>17</v>
      </c>
      <c r="G951" s="2" t="s">
        <v>50</v>
      </c>
      <c r="H951" s="2" t="s">
        <v>139</v>
      </c>
      <c r="I951" s="2" t="s">
        <v>3390</v>
      </c>
      <c r="J951" s="3">
        <v>41.92</v>
      </c>
      <c r="K951" s="3">
        <v>18.2</v>
      </c>
      <c r="L951" s="2" t="s">
        <v>8</v>
      </c>
      <c r="M951" s="2" t="s">
        <v>9</v>
      </c>
      <c r="N951" s="3">
        <v>111</v>
      </c>
      <c r="O951" s="2" t="s">
        <v>3392</v>
      </c>
      <c r="P951" s="2" t="s">
        <v>61</v>
      </c>
      <c r="Q951" s="3"/>
      <c r="R951" s="3"/>
      <c r="S951" s="2" t="s">
        <v>21</v>
      </c>
      <c r="T951" s="4">
        <v>44955</v>
      </c>
      <c r="U951" s="2" t="s">
        <v>2727</v>
      </c>
      <c r="V951" s="6">
        <f>(Real_Sales[[#This Row],[Price_retail]]-Real_Sales[[#This Row],[Price_current]])/Real_Sales[[#This Row],[Price_retail]]</f>
        <v>0.56583969465648853</v>
      </c>
      <c r="W951" s="3" t="str" cm="1">
        <f t="array" ref="W951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951" s="2" t="str">
        <f>IF(Real_Sales[[#This Row],[Price_retail]]&gt;$AC$3,"Premium","Average")</f>
        <v>Premium</v>
      </c>
      <c r="Y951" s="2" t="str">
        <f>IF(ISNUMBER(SEARCH("Basic",Real_Sales[[#This Row],[Product_name]])),"Yes","No")</f>
        <v>No</v>
      </c>
      <c r="Z951" s="2" cm="1">
        <f t="array" ref="Z951">_xlfn.IFS(Real_Sales[[#This Row],[Price_retail]]&lt;=15,1, Real_Sales[[#This Row],[Price_retail]]&lt;=30,2, Real_Sales[[#This Row],[Price_retail]]&lt;=50,3,Real_Sales[[#This Row],[Price_retail]]&gt;50,4)</f>
        <v>3</v>
      </c>
    </row>
    <row r="952" spans="1:26" x14ac:dyDescent="0.35">
      <c r="A952" s="2" t="s">
        <v>1332</v>
      </c>
      <c r="B952" s="2" t="s">
        <v>1333</v>
      </c>
      <c r="C952" s="2" t="s">
        <v>741</v>
      </c>
      <c r="D952" s="2" t="s">
        <v>413</v>
      </c>
      <c r="E952" s="2" t="s">
        <v>4</v>
      </c>
      <c r="F952" s="2" t="s">
        <v>17</v>
      </c>
      <c r="G952" s="2" t="s">
        <v>27</v>
      </c>
      <c r="H952" s="2" t="s">
        <v>19</v>
      </c>
      <c r="I952" s="2" t="s">
        <v>3393</v>
      </c>
      <c r="J952" s="3">
        <v>42.37</v>
      </c>
      <c r="K952" s="3">
        <v>42.37</v>
      </c>
      <c r="L952" s="2" t="s">
        <v>3391</v>
      </c>
      <c r="M952" s="2" t="s">
        <v>9</v>
      </c>
      <c r="N952" s="3">
        <v>353</v>
      </c>
      <c r="O952" s="2" t="s">
        <v>91</v>
      </c>
      <c r="P952" s="2" t="s">
        <v>215</v>
      </c>
      <c r="Q952" s="3"/>
      <c r="R952" s="3"/>
      <c r="S952" s="2" t="s">
        <v>21</v>
      </c>
      <c r="T952" s="4">
        <v>44955</v>
      </c>
      <c r="U952" s="2" t="s">
        <v>1334</v>
      </c>
      <c r="V952" s="6">
        <f>(Real_Sales[[#This Row],[Price_retail]]-Real_Sales[[#This Row],[Price_current]])/Real_Sales[[#This Row],[Price_retail]]</f>
        <v>0</v>
      </c>
      <c r="W952" s="3" t="str" cm="1">
        <f t="array" ref="W95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52" s="2" t="str">
        <f>IF(Real_Sales[[#This Row],[Price_retail]]&gt;$AC$3,"Premium","Average")</f>
        <v>Premium</v>
      </c>
      <c r="Y952" s="2" t="str">
        <f>IF(ISNUMBER(SEARCH("Basic",Real_Sales[[#This Row],[Product_name]])),"Yes","No")</f>
        <v>No</v>
      </c>
      <c r="Z952" s="2" cm="1">
        <f t="array" ref="Z952">_xlfn.IFS(Real_Sales[[#This Row],[Price_retail]]&lt;=15,1, Real_Sales[[#This Row],[Price_retail]]&lt;=30,2, Real_Sales[[#This Row],[Price_retail]]&lt;=50,3,Real_Sales[[#This Row],[Price_retail]]&gt;50,4)</f>
        <v>3</v>
      </c>
    </row>
    <row r="953" spans="1:26" x14ac:dyDescent="0.35">
      <c r="A953" s="2" t="s">
        <v>1675</v>
      </c>
      <c r="B953" s="2" t="s">
        <v>1676</v>
      </c>
      <c r="C953" s="2" t="s">
        <v>1747</v>
      </c>
      <c r="D953" s="2" t="s">
        <v>42</v>
      </c>
      <c r="E953" s="2" t="s">
        <v>4</v>
      </c>
      <c r="F953" s="2" t="s">
        <v>5</v>
      </c>
      <c r="G953" s="2" t="s">
        <v>6</v>
      </c>
      <c r="H953" s="2" t="s">
        <v>19</v>
      </c>
      <c r="I953" s="2" t="s">
        <v>3393</v>
      </c>
      <c r="J953" s="3">
        <v>42.58</v>
      </c>
      <c r="K953" s="3">
        <v>30.3</v>
      </c>
      <c r="L953" s="2" t="s">
        <v>8</v>
      </c>
      <c r="M953" s="2" t="s">
        <v>9</v>
      </c>
      <c r="N953" s="3">
        <v>608</v>
      </c>
      <c r="O953" s="2" t="s">
        <v>261</v>
      </c>
      <c r="P953" s="2" t="s">
        <v>53</v>
      </c>
      <c r="Q953" s="3"/>
      <c r="R953" s="3"/>
      <c r="S953" s="2" t="s">
        <v>12</v>
      </c>
      <c r="T953" s="4">
        <v>44955</v>
      </c>
      <c r="U953" s="2" t="s">
        <v>1677</v>
      </c>
      <c r="V953" s="6">
        <f>(Real_Sales[[#This Row],[Price_retail]]-Real_Sales[[#This Row],[Price_current]])/Real_Sales[[#This Row],[Price_retail]]</f>
        <v>0.28839830906528885</v>
      </c>
      <c r="W953" s="3" t="str" cm="1">
        <f t="array" ref="W953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53" s="2" t="str">
        <f>IF(Real_Sales[[#This Row],[Price_retail]]&gt;$AC$3,"Premium","Average")</f>
        <v>Premium</v>
      </c>
      <c r="Y953" s="2" t="str">
        <f>IF(ISNUMBER(SEARCH("Basic",Real_Sales[[#This Row],[Product_name]])),"Yes","No")</f>
        <v>No</v>
      </c>
      <c r="Z953" s="2" cm="1">
        <f t="array" ref="Z953">_xlfn.IFS(Real_Sales[[#This Row],[Price_retail]]&lt;=15,1, Real_Sales[[#This Row],[Price_retail]]&lt;=30,2, Real_Sales[[#This Row],[Price_retail]]&lt;=50,3,Real_Sales[[#This Row],[Price_retail]]&gt;50,4)</f>
        <v>3</v>
      </c>
    </row>
    <row r="954" spans="1:26" x14ac:dyDescent="0.35">
      <c r="A954" s="2" t="s">
        <v>3071</v>
      </c>
      <c r="B954" s="2" t="s">
        <v>3072</v>
      </c>
      <c r="C954" s="2" t="s">
        <v>65</v>
      </c>
      <c r="D954" s="2" t="s">
        <v>1106</v>
      </c>
      <c r="E954" s="2" t="s">
        <v>4</v>
      </c>
      <c r="F954" s="2" t="s">
        <v>5</v>
      </c>
      <c r="G954" s="2" t="s">
        <v>82</v>
      </c>
      <c r="H954" s="2" t="s">
        <v>19</v>
      </c>
      <c r="I954" s="2" t="s">
        <v>3393</v>
      </c>
      <c r="J954" s="3">
        <v>42.77</v>
      </c>
      <c r="K954" s="3">
        <v>27.13</v>
      </c>
      <c r="L954" s="2" t="s">
        <v>8</v>
      </c>
      <c r="M954" s="2" t="s">
        <v>9</v>
      </c>
      <c r="N954" s="3">
        <v>552</v>
      </c>
      <c r="O954" s="2" t="s">
        <v>104</v>
      </c>
      <c r="P954" s="2" t="s">
        <v>70</v>
      </c>
      <c r="Q954" s="3"/>
      <c r="R954" s="3"/>
      <c r="S954" s="2" t="s">
        <v>21</v>
      </c>
      <c r="T954" s="4">
        <v>44955</v>
      </c>
      <c r="U954" s="2" t="s">
        <v>3073</v>
      </c>
      <c r="V954" s="6">
        <f>(Real_Sales[[#This Row],[Price_retail]]-Real_Sales[[#This Row],[Price_current]])/Real_Sales[[#This Row],[Price_retail]]</f>
        <v>0.36567687631517426</v>
      </c>
      <c r="W954" s="3" t="str" cm="1">
        <f t="array" ref="W954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54" s="2" t="str">
        <f>IF(Real_Sales[[#This Row],[Price_retail]]&gt;$AC$3,"Premium","Average")</f>
        <v>Premium</v>
      </c>
      <c r="Y954" s="2" t="str">
        <f>IF(ISNUMBER(SEARCH("Basic",Real_Sales[[#This Row],[Product_name]])),"Yes","No")</f>
        <v>No</v>
      </c>
      <c r="Z954" s="2" cm="1">
        <f t="array" ref="Z954">_xlfn.IFS(Real_Sales[[#This Row],[Price_retail]]&lt;=15,1, Real_Sales[[#This Row],[Price_retail]]&lt;=30,2, Real_Sales[[#This Row],[Price_retail]]&lt;=50,3,Real_Sales[[#This Row],[Price_retail]]&gt;50,4)</f>
        <v>3</v>
      </c>
    </row>
    <row r="955" spans="1:26" x14ac:dyDescent="0.35">
      <c r="A955" s="2" t="s">
        <v>2075</v>
      </c>
      <c r="B955" s="2" t="s">
        <v>2076</v>
      </c>
      <c r="C955" s="2" t="s">
        <v>2409</v>
      </c>
      <c r="D955" s="2" t="s">
        <v>3424</v>
      </c>
      <c r="E955" s="2" t="s">
        <v>4</v>
      </c>
      <c r="F955" s="2" t="s">
        <v>5</v>
      </c>
      <c r="G955" s="2" t="s">
        <v>6</v>
      </c>
      <c r="H955" s="2" t="s">
        <v>68</v>
      </c>
      <c r="I955" s="2" t="s">
        <v>3390</v>
      </c>
      <c r="J955" s="3">
        <v>44.31</v>
      </c>
      <c r="K955" s="3">
        <v>23.86</v>
      </c>
      <c r="L955" s="2" t="s">
        <v>8</v>
      </c>
      <c r="M955" s="2" t="s">
        <v>9</v>
      </c>
      <c r="N955" s="3">
        <v>630</v>
      </c>
      <c r="O955" s="2" t="s">
        <v>261</v>
      </c>
      <c r="P955" s="2" t="s">
        <v>44</v>
      </c>
      <c r="Q955" s="3"/>
      <c r="R955" s="3"/>
      <c r="S955" s="2" t="s">
        <v>21</v>
      </c>
      <c r="T955" s="4">
        <v>44955</v>
      </c>
      <c r="U955" s="2" t="s">
        <v>2077</v>
      </c>
      <c r="V955" s="6">
        <f>(Real_Sales[[#This Row],[Price_retail]]-Real_Sales[[#This Row],[Price_current]])/Real_Sales[[#This Row],[Price_retail]]</f>
        <v>0.46152110133152791</v>
      </c>
      <c r="W955" s="3" t="str" cm="1">
        <f t="array" ref="W955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55" s="2" t="str">
        <f>IF(Real_Sales[[#This Row],[Price_retail]]&gt;$AC$3,"Premium","Average")</f>
        <v>Premium</v>
      </c>
      <c r="Y955" s="2" t="str">
        <f>IF(ISNUMBER(SEARCH("Basic",Real_Sales[[#This Row],[Product_name]])),"Yes","No")</f>
        <v>No</v>
      </c>
      <c r="Z955" s="2" cm="1">
        <f t="array" ref="Z955">_xlfn.IFS(Real_Sales[[#This Row],[Price_retail]]&lt;=15,1, Real_Sales[[#This Row],[Price_retail]]&lt;=30,2, Real_Sales[[#This Row],[Price_retail]]&lt;=50,3,Real_Sales[[#This Row],[Price_retail]]&gt;50,4)</f>
        <v>3</v>
      </c>
    </row>
    <row r="956" spans="1:26" x14ac:dyDescent="0.35">
      <c r="A956" s="2" t="s">
        <v>1377</v>
      </c>
      <c r="B956" s="2" t="s">
        <v>1378</v>
      </c>
      <c r="C956" s="2" t="s">
        <v>3413</v>
      </c>
      <c r="D956" s="2" t="s">
        <v>1379</v>
      </c>
      <c r="E956" s="2" t="s">
        <v>4</v>
      </c>
      <c r="F956" s="2" t="s">
        <v>17</v>
      </c>
      <c r="G956" s="2" t="s">
        <v>18</v>
      </c>
      <c r="H956" s="2" t="s">
        <v>28</v>
      </c>
      <c r="I956" s="2" t="s">
        <v>3395</v>
      </c>
      <c r="J956" s="3">
        <v>45.74</v>
      </c>
      <c r="K956" s="3">
        <v>45.74</v>
      </c>
      <c r="L956" s="2" t="s">
        <v>3391</v>
      </c>
      <c r="M956" s="2" t="s">
        <v>9</v>
      </c>
      <c r="N956" s="3">
        <v>649</v>
      </c>
      <c r="O956" s="2" t="s">
        <v>191</v>
      </c>
      <c r="P956" s="2" t="s">
        <v>128</v>
      </c>
      <c r="Q956" s="3"/>
      <c r="R956" s="3"/>
      <c r="S956" s="2" t="s">
        <v>12</v>
      </c>
      <c r="T956" s="4">
        <v>44955</v>
      </c>
      <c r="U956" s="2" t="s">
        <v>1380</v>
      </c>
      <c r="V956" s="6">
        <f>(Real_Sales[[#This Row],[Price_retail]]-Real_Sales[[#This Row],[Price_current]])/Real_Sales[[#This Row],[Price_retail]]</f>
        <v>0</v>
      </c>
      <c r="W956" s="3" t="str" cm="1">
        <f t="array" ref="W95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56" s="2" t="str">
        <f>IF(Real_Sales[[#This Row],[Price_retail]]&gt;$AC$3,"Premium","Average")</f>
        <v>Premium</v>
      </c>
      <c r="Y956" s="2" t="str">
        <f>IF(ISNUMBER(SEARCH("Basic",Real_Sales[[#This Row],[Product_name]])),"Yes","No")</f>
        <v>No</v>
      </c>
      <c r="Z956" s="2" cm="1">
        <f t="array" ref="Z956">_xlfn.IFS(Real_Sales[[#This Row],[Price_retail]]&lt;=15,1, Real_Sales[[#This Row],[Price_retail]]&lt;=30,2, Real_Sales[[#This Row],[Price_retail]]&lt;=50,3,Real_Sales[[#This Row],[Price_retail]]&gt;50,4)</f>
        <v>3</v>
      </c>
    </row>
    <row r="957" spans="1:26" x14ac:dyDescent="0.35">
      <c r="A957" s="2" t="s">
        <v>3266</v>
      </c>
      <c r="B957" s="2" t="s">
        <v>3267</v>
      </c>
      <c r="C957" s="2" t="s">
        <v>3394</v>
      </c>
      <c r="D957" s="2" t="s">
        <v>16</v>
      </c>
      <c r="E957" s="2" t="s">
        <v>4</v>
      </c>
      <c r="F957" s="2" t="s">
        <v>17</v>
      </c>
      <c r="G957" s="2" t="s">
        <v>27</v>
      </c>
      <c r="H957" s="2" t="s">
        <v>19</v>
      </c>
      <c r="I957" s="2" t="s">
        <v>3393</v>
      </c>
      <c r="J957" s="3">
        <v>47.38</v>
      </c>
      <c r="K957" s="3">
        <v>47.38</v>
      </c>
      <c r="L957" s="2" t="s">
        <v>3391</v>
      </c>
      <c r="M957" s="2" t="s">
        <v>9</v>
      </c>
      <c r="N957" s="3">
        <v>499</v>
      </c>
      <c r="O957" s="2" t="s">
        <v>191</v>
      </c>
      <c r="P957" s="2" t="s">
        <v>76</v>
      </c>
      <c r="Q957" s="3"/>
      <c r="R957" s="3"/>
      <c r="S957" s="2" t="s">
        <v>21</v>
      </c>
      <c r="T957" s="4">
        <v>44955</v>
      </c>
      <c r="U957" s="2" t="s">
        <v>3268</v>
      </c>
      <c r="V957" s="6">
        <f>(Real_Sales[[#This Row],[Price_retail]]-Real_Sales[[#This Row],[Price_current]])/Real_Sales[[#This Row],[Price_retail]]</f>
        <v>0</v>
      </c>
      <c r="W957" s="3" t="str" cm="1">
        <f t="array" ref="W95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57" s="2" t="str">
        <f>IF(Real_Sales[[#This Row],[Price_retail]]&gt;$AC$3,"Premium","Average")</f>
        <v>Premium</v>
      </c>
      <c r="Y957" s="2" t="str">
        <f>IF(ISNUMBER(SEARCH("Basic",Real_Sales[[#This Row],[Product_name]])),"Yes","No")</f>
        <v>No</v>
      </c>
      <c r="Z957" s="2" cm="1">
        <f t="array" ref="Z957">_xlfn.IFS(Real_Sales[[#This Row],[Price_retail]]&lt;=15,1, Real_Sales[[#This Row],[Price_retail]]&lt;=30,2, Real_Sales[[#This Row],[Price_retail]]&lt;=50,3,Real_Sales[[#This Row],[Price_retail]]&gt;50,4)</f>
        <v>3</v>
      </c>
    </row>
    <row r="958" spans="1:26" x14ac:dyDescent="0.35">
      <c r="A958" s="2" t="s">
        <v>731</v>
      </c>
      <c r="B958" s="2" t="s">
        <v>732</v>
      </c>
      <c r="C958" s="2" t="s">
        <v>733</v>
      </c>
      <c r="D958" s="2" t="s">
        <v>734</v>
      </c>
      <c r="E958" s="2" t="s">
        <v>4</v>
      </c>
      <c r="F958" s="2" t="s">
        <v>5</v>
      </c>
      <c r="G958" s="2" t="s">
        <v>6</v>
      </c>
      <c r="H958" s="2" t="s">
        <v>19</v>
      </c>
      <c r="I958" s="2" t="s">
        <v>3390</v>
      </c>
      <c r="J958" s="3">
        <v>47.43</v>
      </c>
      <c r="K958" s="3">
        <v>27.4</v>
      </c>
      <c r="L958" s="2" t="s">
        <v>8</v>
      </c>
      <c r="M958" s="2" t="s">
        <v>9</v>
      </c>
      <c r="N958" s="3">
        <v>56</v>
      </c>
      <c r="O958" s="2" t="s">
        <v>75</v>
      </c>
      <c r="P958" s="2" t="s">
        <v>238</v>
      </c>
      <c r="Q958" s="3"/>
      <c r="R958" s="3"/>
      <c r="S958" s="2" t="s">
        <v>21</v>
      </c>
      <c r="T958" s="4">
        <v>44955</v>
      </c>
      <c r="U958" s="2" t="s">
        <v>735</v>
      </c>
      <c r="V958" s="6">
        <f>(Real_Sales[[#This Row],[Price_retail]]-Real_Sales[[#This Row],[Price_current]])/Real_Sales[[#This Row],[Price_retail]]</f>
        <v>0.42230655703141473</v>
      </c>
      <c r="W958" s="3" t="str" cm="1">
        <f t="array" ref="W958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58" s="2" t="str">
        <f>IF(Real_Sales[[#This Row],[Price_retail]]&gt;$AC$3,"Premium","Average")</f>
        <v>Premium</v>
      </c>
      <c r="Y958" s="2" t="str">
        <f>IF(ISNUMBER(SEARCH("Basic",Real_Sales[[#This Row],[Product_name]])),"Yes","No")</f>
        <v>No</v>
      </c>
      <c r="Z958" s="2" cm="1">
        <f t="array" ref="Z958">_xlfn.IFS(Real_Sales[[#This Row],[Price_retail]]&lt;=15,1, Real_Sales[[#This Row],[Price_retail]]&lt;=30,2, Real_Sales[[#This Row],[Price_retail]]&lt;=50,3,Real_Sales[[#This Row],[Price_retail]]&gt;50,4)</f>
        <v>3</v>
      </c>
    </row>
    <row r="959" spans="1:26" x14ac:dyDescent="0.35">
      <c r="A959" s="2" t="s">
        <v>3074</v>
      </c>
      <c r="B959" s="2" t="s">
        <v>3075</v>
      </c>
      <c r="C959" s="2" t="s">
        <v>489</v>
      </c>
      <c r="D959" s="2" t="s">
        <v>58</v>
      </c>
      <c r="E959" s="2" t="s">
        <v>4</v>
      </c>
      <c r="F959" s="2" t="s">
        <v>17</v>
      </c>
      <c r="G959" s="2" t="s">
        <v>27</v>
      </c>
      <c r="H959" s="2" t="s">
        <v>59</v>
      </c>
      <c r="I959" s="2" t="s">
        <v>3393</v>
      </c>
      <c r="J959" s="3">
        <v>47.49</v>
      </c>
      <c r="K959" s="3">
        <v>47.49</v>
      </c>
      <c r="L959" s="2" t="s">
        <v>3391</v>
      </c>
      <c r="M959" s="2" t="s">
        <v>9</v>
      </c>
      <c r="N959" s="3">
        <v>936</v>
      </c>
      <c r="O959" s="2" t="s">
        <v>75</v>
      </c>
      <c r="P959" s="2" t="s">
        <v>61</v>
      </c>
      <c r="Q959" s="3"/>
      <c r="R959" s="3"/>
      <c r="S959" s="2" t="s">
        <v>21</v>
      </c>
      <c r="T959" s="4">
        <v>44955</v>
      </c>
      <c r="U959" s="2" t="s">
        <v>3076</v>
      </c>
      <c r="V959" s="6">
        <f>(Real_Sales[[#This Row],[Price_retail]]-Real_Sales[[#This Row],[Price_current]])/Real_Sales[[#This Row],[Price_retail]]</f>
        <v>0</v>
      </c>
      <c r="W959" s="3" t="str" cm="1">
        <f t="array" ref="W95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59" s="2" t="str">
        <f>IF(Real_Sales[[#This Row],[Price_retail]]&gt;$AC$3,"Premium","Average")</f>
        <v>Premium</v>
      </c>
      <c r="Y959" s="2" t="str">
        <f>IF(ISNUMBER(SEARCH("Basic",Real_Sales[[#This Row],[Product_name]])),"Yes","No")</f>
        <v>No</v>
      </c>
      <c r="Z959" s="2" cm="1">
        <f t="array" ref="Z959">_xlfn.IFS(Real_Sales[[#This Row],[Price_retail]]&lt;=15,1, Real_Sales[[#This Row],[Price_retail]]&lt;=30,2, Real_Sales[[#This Row],[Price_retail]]&lt;=50,3,Real_Sales[[#This Row],[Price_retail]]&gt;50,4)</f>
        <v>3</v>
      </c>
    </row>
    <row r="960" spans="1:26" x14ac:dyDescent="0.35">
      <c r="A960" s="2" t="s">
        <v>869</v>
      </c>
      <c r="B960" s="2" t="s">
        <v>870</v>
      </c>
      <c r="C960" s="2" t="s">
        <v>3412</v>
      </c>
      <c r="D960" s="2" t="s">
        <v>346</v>
      </c>
      <c r="E960" s="2" t="s">
        <v>4</v>
      </c>
      <c r="F960" s="2" t="s">
        <v>5</v>
      </c>
      <c r="G960" s="2" t="s">
        <v>6</v>
      </c>
      <c r="H960" s="2" t="s">
        <v>110</v>
      </c>
      <c r="I960" s="2" t="s">
        <v>3393</v>
      </c>
      <c r="J960" s="3">
        <v>47.52</v>
      </c>
      <c r="K960" s="3">
        <v>28.49</v>
      </c>
      <c r="L960" s="2" t="s">
        <v>8</v>
      </c>
      <c r="M960" s="2" t="s">
        <v>9</v>
      </c>
      <c r="N960" s="3">
        <v>457</v>
      </c>
      <c r="O960" s="2" t="s">
        <v>60</v>
      </c>
      <c r="P960" s="2" t="s">
        <v>192</v>
      </c>
      <c r="Q960" s="3"/>
      <c r="R960" s="3"/>
      <c r="S960" s="2" t="s">
        <v>21</v>
      </c>
      <c r="T960" s="4">
        <v>44955</v>
      </c>
      <c r="U960" s="2" t="s">
        <v>871</v>
      </c>
      <c r="V960" s="6">
        <f>(Real_Sales[[#This Row],[Price_retail]]-Real_Sales[[#This Row],[Price_current]])/Real_Sales[[#This Row],[Price_retail]]</f>
        <v>0.40046296296296302</v>
      </c>
      <c r="W960" s="3" t="str" cm="1">
        <f t="array" ref="W96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60" s="2" t="str">
        <f>IF(Real_Sales[[#This Row],[Price_retail]]&gt;$AC$3,"Premium","Average")</f>
        <v>Premium</v>
      </c>
      <c r="Y960" s="2" t="str">
        <f>IF(ISNUMBER(SEARCH("Basic",Real_Sales[[#This Row],[Product_name]])),"Yes","No")</f>
        <v>No</v>
      </c>
      <c r="Z960" s="2" cm="1">
        <f t="array" ref="Z960">_xlfn.IFS(Real_Sales[[#This Row],[Price_retail]]&lt;=15,1, Real_Sales[[#This Row],[Price_retail]]&lt;=30,2, Real_Sales[[#This Row],[Price_retail]]&lt;=50,3,Real_Sales[[#This Row],[Price_retail]]&gt;50,4)</f>
        <v>3</v>
      </c>
    </row>
    <row r="961" spans="1:26" x14ac:dyDescent="0.35">
      <c r="A961" s="2" t="s">
        <v>1613</v>
      </c>
      <c r="B961" s="2" t="s">
        <v>1614</v>
      </c>
      <c r="C961" s="2" t="s">
        <v>1615</v>
      </c>
      <c r="D961" s="2" t="s">
        <v>450</v>
      </c>
      <c r="E961" s="2" t="s">
        <v>4</v>
      </c>
      <c r="F961" s="2" t="s">
        <v>5</v>
      </c>
      <c r="G961" s="2" t="s">
        <v>82</v>
      </c>
      <c r="H961" s="2" t="s">
        <v>59</v>
      </c>
      <c r="I961" s="2" t="s">
        <v>3390</v>
      </c>
      <c r="J961" s="3">
        <v>47.73</v>
      </c>
      <c r="K961" s="3">
        <v>47.73</v>
      </c>
      <c r="L961" s="2" t="s">
        <v>3391</v>
      </c>
      <c r="M961" s="2" t="s">
        <v>9</v>
      </c>
      <c r="N961" s="3">
        <v>844</v>
      </c>
      <c r="O961" s="2" t="s">
        <v>20</v>
      </c>
      <c r="P961" s="2" t="s">
        <v>186</v>
      </c>
      <c r="Q961" s="3"/>
      <c r="R961" s="3"/>
      <c r="S961" s="2" t="s">
        <v>12</v>
      </c>
      <c r="T961" s="4">
        <v>44955</v>
      </c>
      <c r="U961" s="2" t="s">
        <v>1616</v>
      </c>
      <c r="V961" s="6">
        <f>(Real_Sales[[#This Row],[Price_retail]]-Real_Sales[[#This Row],[Price_current]])/Real_Sales[[#This Row],[Price_retail]]</f>
        <v>0</v>
      </c>
      <c r="W961" s="3" t="str" cm="1">
        <f t="array" ref="W961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1" s="2" t="str">
        <f>IF(Real_Sales[[#This Row],[Price_retail]]&gt;$AC$3,"Premium","Average")</f>
        <v>Premium</v>
      </c>
      <c r="Y961" s="2" t="str">
        <f>IF(ISNUMBER(SEARCH("Basic",Real_Sales[[#This Row],[Product_name]])),"Yes","No")</f>
        <v>No</v>
      </c>
      <c r="Z961" s="2" cm="1">
        <f t="array" ref="Z961">_xlfn.IFS(Real_Sales[[#This Row],[Price_retail]]&lt;=15,1, Real_Sales[[#This Row],[Price_retail]]&lt;=30,2, Real_Sales[[#This Row],[Price_retail]]&lt;=50,3,Real_Sales[[#This Row],[Price_retail]]&gt;50,4)</f>
        <v>3</v>
      </c>
    </row>
    <row r="962" spans="1:26" x14ac:dyDescent="0.35">
      <c r="A962" s="2" t="s">
        <v>2910</v>
      </c>
      <c r="B962" s="2" t="s">
        <v>2911</v>
      </c>
      <c r="C962" s="2" t="s">
        <v>387</v>
      </c>
      <c r="D962" s="2" t="s">
        <v>674</v>
      </c>
      <c r="E962" s="2" t="s">
        <v>4</v>
      </c>
      <c r="F962" s="2" t="s">
        <v>5</v>
      </c>
      <c r="G962" s="2" t="s">
        <v>121</v>
      </c>
      <c r="H962" s="2" t="s">
        <v>333</v>
      </c>
      <c r="I962" s="2" t="s">
        <v>3393</v>
      </c>
      <c r="J962" s="3">
        <v>47.86</v>
      </c>
      <c r="K962" s="3">
        <v>47.86</v>
      </c>
      <c r="L962" s="2" t="s">
        <v>3391</v>
      </c>
      <c r="M962" s="2" t="s">
        <v>9</v>
      </c>
      <c r="N962" s="3">
        <v>326</v>
      </c>
      <c r="O962" s="2" t="s">
        <v>29</v>
      </c>
      <c r="P962" s="2" t="s">
        <v>169</v>
      </c>
      <c r="Q962" s="3"/>
      <c r="R962" s="3"/>
      <c r="S962" s="2" t="s">
        <v>21</v>
      </c>
      <c r="T962" s="4">
        <v>44955</v>
      </c>
      <c r="U962" s="2" t="s">
        <v>2912</v>
      </c>
      <c r="V962" s="6">
        <f>(Real_Sales[[#This Row],[Price_retail]]-Real_Sales[[#This Row],[Price_current]])/Real_Sales[[#This Row],[Price_retail]]</f>
        <v>0</v>
      </c>
      <c r="W962" s="3" t="str" cm="1">
        <f t="array" ref="W96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2" s="2" t="str">
        <f>IF(Real_Sales[[#This Row],[Price_retail]]&gt;$AC$3,"Premium","Average")</f>
        <v>Premium</v>
      </c>
      <c r="Y962" s="2" t="str">
        <f>IF(ISNUMBER(SEARCH("Basic",Real_Sales[[#This Row],[Product_name]])),"Yes","No")</f>
        <v>No</v>
      </c>
      <c r="Z962" s="2" cm="1">
        <f t="array" ref="Z962">_xlfn.IFS(Real_Sales[[#This Row],[Price_retail]]&lt;=15,1, Real_Sales[[#This Row],[Price_retail]]&lt;=30,2, Real_Sales[[#This Row],[Price_retail]]&lt;=50,3,Real_Sales[[#This Row],[Price_retail]]&gt;50,4)</f>
        <v>3</v>
      </c>
    </row>
    <row r="963" spans="1:26" x14ac:dyDescent="0.35">
      <c r="A963" s="2" t="s">
        <v>1709</v>
      </c>
      <c r="B963" s="2" t="s">
        <v>1710</v>
      </c>
      <c r="C963" s="2" t="s">
        <v>1135</v>
      </c>
      <c r="D963" s="2" t="s">
        <v>97</v>
      </c>
      <c r="E963" s="2" t="s">
        <v>4</v>
      </c>
      <c r="F963" s="2" t="s">
        <v>5</v>
      </c>
      <c r="G963" s="2" t="s">
        <v>82</v>
      </c>
      <c r="H963" s="2" t="s">
        <v>90</v>
      </c>
      <c r="I963" s="2" t="s">
        <v>3390</v>
      </c>
      <c r="J963" s="3">
        <v>48.28</v>
      </c>
      <c r="K963" s="3">
        <v>21.13</v>
      </c>
      <c r="L963" s="2" t="s">
        <v>8</v>
      </c>
      <c r="M963" s="2" t="s">
        <v>9</v>
      </c>
      <c r="N963" s="3">
        <v>695</v>
      </c>
      <c r="O963" s="2" t="s">
        <v>267</v>
      </c>
      <c r="P963" s="2" t="s">
        <v>3392</v>
      </c>
      <c r="Q963" s="3"/>
      <c r="R963" s="3"/>
      <c r="S963" s="2" t="s">
        <v>21</v>
      </c>
      <c r="T963" s="4">
        <v>44955</v>
      </c>
      <c r="U963" s="2" t="s">
        <v>1711</v>
      </c>
      <c r="V963" s="6">
        <f>(Real_Sales[[#This Row],[Price_retail]]-Real_Sales[[#This Row],[Price_current]])/Real_Sales[[#This Row],[Price_retail]]</f>
        <v>0.56234465617232809</v>
      </c>
      <c r="W963" s="3" t="str" cm="1">
        <f t="array" ref="W963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963" s="2" t="str">
        <f>IF(Real_Sales[[#This Row],[Price_retail]]&gt;$AC$3,"Premium","Average")</f>
        <v>Premium</v>
      </c>
      <c r="Y963" s="2" t="str">
        <f>IF(ISNUMBER(SEARCH("Basic",Real_Sales[[#This Row],[Product_name]])),"Yes","No")</f>
        <v>No</v>
      </c>
      <c r="Z963" s="2" cm="1">
        <f t="array" ref="Z963">_xlfn.IFS(Real_Sales[[#This Row],[Price_retail]]&lt;=15,1, Real_Sales[[#This Row],[Price_retail]]&lt;=30,2, Real_Sales[[#This Row],[Price_retail]]&lt;=50,3,Real_Sales[[#This Row],[Price_retail]]&gt;50,4)</f>
        <v>3</v>
      </c>
    </row>
    <row r="964" spans="1:26" x14ac:dyDescent="0.35">
      <c r="A964" s="2" t="s">
        <v>1935</v>
      </c>
      <c r="B964" s="2" t="s">
        <v>1936</v>
      </c>
      <c r="C964" s="2" t="s">
        <v>3394</v>
      </c>
      <c r="D964" s="2" t="s">
        <v>354</v>
      </c>
      <c r="E964" s="2" t="s">
        <v>4</v>
      </c>
      <c r="F964" s="2" t="s">
        <v>17</v>
      </c>
      <c r="G964" s="2" t="s">
        <v>27</v>
      </c>
      <c r="H964" s="2"/>
      <c r="I964" s="2" t="s">
        <v>3390</v>
      </c>
      <c r="J964" s="3">
        <v>49.11</v>
      </c>
      <c r="K964" s="3">
        <v>49.11</v>
      </c>
      <c r="L964" s="2" t="s">
        <v>3391</v>
      </c>
      <c r="M964" s="2" t="s">
        <v>9</v>
      </c>
      <c r="N964" s="3">
        <v>882</v>
      </c>
      <c r="O964" s="2" t="s">
        <v>91</v>
      </c>
      <c r="P964" s="2" t="s">
        <v>186</v>
      </c>
      <c r="Q964" s="3"/>
      <c r="R964" s="3"/>
      <c r="S964" s="2" t="s">
        <v>21</v>
      </c>
      <c r="T964" s="4">
        <v>44955</v>
      </c>
      <c r="U964" s="2" t="s">
        <v>1937</v>
      </c>
      <c r="V964" s="6">
        <f>(Real_Sales[[#This Row],[Price_retail]]-Real_Sales[[#This Row],[Price_current]])/Real_Sales[[#This Row],[Price_retail]]</f>
        <v>0</v>
      </c>
      <c r="W964" s="3" t="str" cm="1">
        <f t="array" ref="W96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4" s="2" t="str">
        <f>IF(Real_Sales[[#This Row],[Price_retail]]&gt;$AC$3,"Premium","Average")</f>
        <v>Premium</v>
      </c>
      <c r="Y964" s="2" t="str">
        <f>IF(ISNUMBER(SEARCH("Basic",Real_Sales[[#This Row],[Product_name]])),"Yes","No")</f>
        <v>No</v>
      </c>
      <c r="Z964" s="2" cm="1">
        <f t="array" ref="Z964">_xlfn.IFS(Real_Sales[[#This Row],[Price_retail]]&lt;=15,1, Real_Sales[[#This Row],[Price_retail]]&lt;=30,2, Real_Sales[[#This Row],[Price_retail]]&lt;=50,3,Real_Sales[[#This Row],[Price_retail]]&gt;50,4)</f>
        <v>3</v>
      </c>
    </row>
    <row r="965" spans="1:26" x14ac:dyDescent="0.35">
      <c r="A965" s="2" t="s">
        <v>1133</v>
      </c>
      <c r="B965" s="2" t="s">
        <v>1134</v>
      </c>
      <c r="C965" s="2" t="s">
        <v>1135</v>
      </c>
      <c r="D965" s="2" t="s">
        <v>372</v>
      </c>
      <c r="E965" s="2" t="s">
        <v>4</v>
      </c>
      <c r="F965" s="2" t="s">
        <v>5</v>
      </c>
      <c r="G965" s="2" t="s">
        <v>82</v>
      </c>
      <c r="H965" s="2" t="s">
        <v>134</v>
      </c>
      <c r="I965" s="2" t="s">
        <v>3390</v>
      </c>
      <c r="J965" s="3">
        <v>50.08</v>
      </c>
      <c r="K965" s="3">
        <v>15.02</v>
      </c>
      <c r="L965" s="2" t="s">
        <v>8</v>
      </c>
      <c r="M965" s="2" t="s">
        <v>9</v>
      </c>
      <c r="N965" s="3">
        <v>393</v>
      </c>
      <c r="O965" s="2" t="s">
        <v>287</v>
      </c>
      <c r="P965" s="2" t="s">
        <v>192</v>
      </c>
      <c r="Q965" s="3"/>
      <c r="R965" s="3"/>
      <c r="S965" s="2" t="s">
        <v>21</v>
      </c>
      <c r="T965" s="4">
        <v>44955</v>
      </c>
      <c r="U965" s="2" t="s">
        <v>1136</v>
      </c>
      <c r="V965" s="6">
        <f>(Real_Sales[[#This Row],[Price_retail]]-Real_Sales[[#This Row],[Price_current]])/Real_Sales[[#This Row],[Price_retail]]</f>
        <v>0.70007987220447288</v>
      </c>
      <c r="W965" s="3" t="str" cm="1">
        <f t="array" ref="W965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965" s="2" t="str">
        <f>IF(Real_Sales[[#This Row],[Price_retail]]&gt;$AC$3,"Premium","Average")</f>
        <v>Premium</v>
      </c>
      <c r="Y965" s="2" t="str">
        <f>IF(ISNUMBER(SEARCH("Basic",Real_Sales[[#This Row],[Product_name]])),"Yes","No")</f>
        <v>No</v>
      </c>
      <c r="Z965" s="2" cm="1">
        <f t="array" ref="Z965">_xlfn.IFS(Real_Sales[[#This Row],[Price_retail]]&lt;=15,1, Real_Sales[[#This Row],[Price_retail]]&lt;=30,2, Real_Sales[[#This Row],[Price_retail]]&lt;=50,3,Real_Sales[[#This Row],[Price_retail]]&gt;50,4)</f>
        <v>4</v>
      </c>
    </row>
    <row r="966" spans="1:26" x14ac:dyDescent="0.35">
      <c r="A966" s="2" t="s">
        <v>1141</v>
      </c>
      <c r="B966" s="2" t="s">
        <v>1142</v>
      </c>
      <c r="C966" s="2" t="s">
        <v>1143</v>
      </c>
      <c r="D966" s="2" t="s">
        <v>742</v>
      </c>
      <c r="E966" s="2" t="s">
        <v>4</v>
      </c>
      <c r="F966" s="2" t="s">
        <v>5</v>
      </c>
      <c r="G966" s="2" t="s">
        <v>6</v>
      </c>
      <c r="H966" s="2" t="s">
        <v>168</v>
      </c>
      <c r="I966" s="2" t="s">
        <v>3395</v>
      </c>
      <c r="J966" s="3">
        <v>51.2</v>
      </c>
      <c r="K966" s="3">
        <v>51.2</v>
      </c>
      <c r="L966" s="2" t="s">
        <v>248</v>
      </c>
      <c r="M966" s="2" t="s">
        <v>9</v>
      </c>
      <c r="N966" s="3">
        <v>897</v>
      </c>
      <c r="O966" s="2" t="s">
        <v>75</v>
      </c>
      <c r="P966" s="2" t="s">
        <v>30</v>
      </c>
      <c r="Q966" s="3"/>
      <c r="R966" s="3"/>
      <c r="S966" s="2" t="s">
        <v>21</v>
      </c>
      <c r="T966" s="4">
        <v>44955</v>
      </c>
      <c r="U966" s="2" t="s">
        <v>1144</v>
      </c>
      <c r="V966" s="6">
        <f>(Real_Sales[[#This Row],[Price_retail]]-Real_Sales[[#This Row],[Price_current]])/Real_Sales[[#This Row],[Price_retail]]</f>
        <v>0</v>
      </c>
      <c r="W966" s="3" t="str" cm="1">
        <f t="array" ref="W96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6" s="2" t="str">
        <f>IF(Real_Sales[[#This Row],[Price_retail]]&gt;$AC$3,"Premium","Average")</f>
        <v>Premium</v>
      </c>
      <c r="Y966" s="2" t="str">
        <f>IF(ISNUMBER(SEARCH("Basic",Real_Sales[[#This Row],[Product_name]])),"Yes","No")</f>
        <v>Yes</v>
      </c>
      <c r="Z966" s="2" cm="1">
        <f t="array" ref="Z966">_xlfn.IFS(Real_Sales[[#This Row],[Price_retail]]&lt;=15,1, Real_Sales[[#This Row],[Price_retail]]&lt;=30,2, Real_Sales[[#This Row],[Price_retail]]&lt;=50,3,Real_Sales[[#This Row],[Price_retail]]&gt;50,4)</f>
        <v>4</v>
      </c>
    </row>
    <row r="967" spans="1:26" x14ac:dyDescent="0.35">
      <c r="A967" s="2" t="s">
        <v>2999</v>
      </c>
      <c r="B967" s="2" t="s">
        <v>3000</v>
      </c>
      <c r="C967" s="2" t="s">
        <v>3394</v>
      </c>
      <c r="D967" s="2" t="s">
        <v>506</v>
      </c>
      <c r="E967" s="2" t="s">
        <v>4</v>
      </c>
      <c r="F967" s="2" t="s">
        <v>5</v>
      </c>
      <c r="G967" s="2" t="s">
        <v>121</v>
      </c>
      <c r="H967" s="2" t="s">
        <v>237</v>
      </c>
      <c r="I967" s="2" t="s">
        <v>3390</v>
      </c>
      <c r="J967" s="3">
        <v>51.71</v>
      </c>
      <c r="K967" s="3">
        <v>51.71</v>
      </c>
      <c r="L967" s="2" t="s">
        <v>3391</v>
      </c>
      <c r="M967" s="2" t="s">
        <v>9</v>
      </c>
      <c r="N967" s="3">
        <v>421</v>
      </c>
      <c r="O967" s="2" t="s">
        <v>52</v>
      </c>
      <c r="P967" s="2" t="s">
        <v>11</v>
      </c>
      <c r="Q967" s="3"/>
      <c r="R967" s="3"/>
      <c r="S967" s="2" t="s">
        <v>21</v>
      </c>
      <c r="T967" s="4">
        <v>44955</v>
      </c>
      <c r="U967" s="2" t="s">
        <v>3001</v>
      </c>
      <c r="V967" s="6">
        <f>(Real_Sales[[#This Row],[Price_retail]]-Real_Sales[[#This Row],[Price_current]])/Real_Sales[[#This Row],[Price_retail]]</f>
        <v>0</v>
      </c>
      <c r="W967" s="3" t="str" cm="1">
        <f t="array" ref="W96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7" s="2" t="str">
        <f>IF(Real_Sales[[#This Row],[Price_retail]]&gt;$AC$3,"Premium","Average")</f>
        <v>Premium</v>
      </c>
      <c r="Y967" s="2" t="str">
        <f>IF(ISNUMBER(SEARCH("Basic",Real_Sales[[#This Row],[Product_name]])),"Yes","No")</f>
        <v>Yes</v>
      </c>
      <c r="Z967" s="2" cm="1">
        <f t="array" ref="Z967">_xlfn.IFS(Real_Sales[[#This Row],[Price_retail]]&lt;=15,1, Real_Sales[[#This Row],[Price_retail]]&lt;=30,2, Real_Sales[[#This Row],[Price_retail]]&lt;=50,3,Real_Sales[[#This Row],[Price_retail]]&gt;50,4)</f>
        <v>4</v>
      </c>
    </row>
    <row r="968" spans="1:26" x14ac:dyDescent="0.35">
      <c r="A968" s="2" t="s">
        <v>2326</v>
      </c>
      <c r="B968" s="2" t="s">
        <v>2327</v>
      </c>
      <c r="C968" s="2" t="s">
        <v>367</v>
      </c>
      <c r="D968" s="2" t="s">
        <v>1184</v>
      </c>
      <c r="E968" s="2" t="s">
        <v>4</v>
      </c>
      <c r="F968" s="2" t="s">
        <v>17</v>
      </c>
      <c r="G968" s="2" t="s">
        <v>18</v>
      </c>
      <c r="H968" s="2" t="s">
        <v>90</v>
      </c>
      <c r="I968" s="2" t="s">
        <v>3393</v>
      </c>
      <c r="J968" s="3">
        <v>52.99</v>
      </c>
      <c r="K968" s="3">
        <v>52.99</v>
      </c>
      <c r="L968" s="2" t="s">
        <v>3391</v>
      </c>
      <c r="M968" s="2" t="s">
        <v>9</v>
      </c>
      <c r="N968" s="3">
        <v>338</v>
      </c>
      <c r="O968" s="2" t="s">
        <v>347</v>
      </c>
      <c r="P968" s="2" t="s">
        <v>84</v>
      </c>
      <c r="Q968" s="3"/>
      <c r="R968" s="3"/>
      <c r="S968" s="2" t="s">
        <v>21</v>
      </c>
      <c r="T968" s="4">
        <v>44955</v>
      </c>
      <c r="U968" s="2" t="s">
        <v>2328</v>
      </c>
      <c r="V968" s="6">
        <f>(Real_Sales[[#This Row],[Price_retail]]-Real_Sales[[#This Row],[Price_current]])/Real_Sales[[#This Row],[Price_retail]]</f>
        <v>0</v>
      </c>
      <c r="W968" s="3" t="str" cm="1">
        <f t="array" ref="W96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8" s="2" t="str">
        <f>IF(Real_Sales[[#This Row],[Price_retail]]&gt;$AC$3,"Premium","Average")</f>
        <v>Premium</v>
      </c>
      <c r="Y968" s="2" t="str">
        <f>IF(ISNUMBER(SEARCH("Basic",Real_Sales[[#This Row],[Product_name]])),"Yes","No")</f>
        <v>No</v>
      </c>
      <c r="Z968" s="2" cm="1">
        <f t="array" ref="Z968">_xlfn.IFS(Real_Sales[[#This Row],[Price_retail]]&lt;=15,1, Real_Sales[[#This Row],[Price_retail]]&lt;=30,2, Real_Sales[[#This Row],[Price_retail]]&lt;=50,3,Real_Sales[[#This Row],[Price_retail]]&gt;50,4)</f>
        <v>4</v>
      </c>
    </row>
    <row r="969" spans="1:26" x14ac:dyDescent="0.35">
      <c r="A969" s="2" t="s">
        <v>1778</v>
      </c>
      <c r="B969" s="2" t="s">
        <v>1779</v>
      </c>
      <c r="C969" s="2" t="s">
        <v>1743</v>
      </c>
      <c r="D969" s="2" t="s">
        <v>1780</v>
      </c>
      <c r="E969" s="2" t="s">
        <v>4</v>
      </c>
      <c r="F969" s="2" t="s">
        <v>17</v>
      </c>
      <c r="G969" s="2" t="s">
        <v>67</v>
      </c>
      <c r="H969" s="2" t="s">
        <v>7</v>
      </c>
      <c r="I969" s="2" t="s">
        <v>3390</v>
      </c>
      <c r="J969" s="3">
        <v>53.93</v>
      </c>
      <c r="K969" s="3">
        <v>53.93</v>
      </c>
      <c r="L969" s="2" t="s">
        <v>3391</v>
      </c>
      <c r="M969" s="2" t="s">
        <v>9</v>
      </c>
      <c r="N969" s="3">
        <v>21</v>
      </c>
      <c r="O969" s="2" t="s">
        <v>163</v>
      </c>
      <c r="P969" s="2" t="s">
        <v>215</v>
      </c>
      <c r="Q969" s="3"/>
      <c r="R969" s="3"/>
      <c r="S969" s="2" t="s">
        <v>21</v>
      </c>
      <c r="T969" s="4">
        <v>44955</v>
      </c>
      <c r="U969" s="2" t="s">
        <v>1781</v>
      </c>
      <c r="V969" s="6">
        <f>(Real_Sales[[#This Row],[Price_retail]]-Real_Sales[[#This Row],[Price_current]])/Real_Sales[[#This Row],[Price_retail]]</f>
        <v>0</v>
      </c>
      <c r="W969" s="3" t="str" cm="1">
        <f t="array" ref="W96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69" s="2" t="str">
        <f>IF(Real_Sales[[#This Row],[Price_retail]]&gt;$AC$3,"Premium","Average")</f>
        <v>Premium</v>
      </c>
      <c r="Y969" s="2" t="str">
        <f>IF(ISNUMBER(SEARCH("Basic",Real_Sales[[#This Row],[Product_name]])),"Yes","No")</f>
        <v>Yes</v>
      </c>
      <c r="Z969" s="2" cm="1">
        <f t="array" ref="Z969">_xlfn.IFS(Real_Sales[[#This Row],[Price_retail]]&lt;=15,1, Real_Sales[[#This Row],[Price_retail]]&lt;=30,2, Real_Sales[[#This Row],[Price_retail]]&lt;=50,3,Real_Sales[[#This Row],[Price_retail]]&gt;50,4)</f>
        <v>4</v>
      </c>
    </row>
    <row r="970" spans="1:26" x14ac:dyDescent="0.35">
      <c r="A970" s="2" t="s">
        <v>2808</v>
      </c>
      <c r="B970" s="2" t="s">
        <v>2809</v>
      </c>
      <c r="C970" s="2" t="s">
        <v>65</v>
      </c>
      <c r="D970" s="2" t="s">
        <v>392</v>
      </c>
      <c r="E970" s="2" t="s">
        <v>4</v>
      </c>
      <c r="F970" s="2" t="s">
        <v>17</v>
      </c>
      <c r="G970" s="2" t="s">
        <v>18</v>
      </c>
      <c r="H970" s="2" t="s">
        <v>19</v>
      </c>
      <c r="I970" s="2" t="s">
        <v>3390</v>
      </c>
      <c r="J970" s="3">
        <v>54.54</v>
      </c>
      <c r="K970" s="3">
        <v>31.38</v>
      </c>
      <c r="L970" s="2" t="s">
        <v>8</v>
      </c>
      <c r="M970" s="2" t="s">
        <v>9</v>
      </c>
      <c r="N970" s="3">
        <v>973</v>
      </c>
      <c r="O970" s="2" t="s">
        <v>3392</v>
      </c>
      <c r="P970" s="2" t="s">
        <v>328</v>
      </c>
      <c r="Q970" s="3"/>
      <c r="R970" s="3"/>
      <c r="S970" s="2" t="s">
        <v>12</v>
      </c>
      <c r="T970" s="4">
        <v>44955</v>
      </c>
      <c r="U970" s="2" t="s">
        <v>2810</v>
      </c>
      <c r="V970" s="6">
        <f>(Real_Sales[[#This Row],[Price_retail]]-Real_Sales[[#This Row],[Price_current]])/Real_Sales[[#This Row],[Price_retail]]</f>
        <v>0.42464246424642466</v>
      </c>
      <c r="W970" s="3" t="str" cm="1">
        <f t="array" ref="W970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70" s="2" t="str">
        <f>IF(Real_Sales[[#This Row],[Price_retail]]&gt;$AC$3,"Premium","Average")</f>
        <v>Premium</v>
      </c>
      <c r="Y970" s="2" t="str">
        <f>IF(ISNUMBER(SEARCH("Basic",Real_Sales[[#This Row],[Product_name]])),"Yes","No")</f>
        <v>No</v>
      </c>
      <c r="Z970" s="2" cm="1">
        <f t="array" ref="Z970">_xlfn.IFS(Real_Sales[[#This Row],[Price_retail]]&lt;=15,1, Real_Sales[[#This Row],[Price_retail]]&lt;=30,2, Real_Sales[[#This Row],[Price_retail]]&lt;=50,3,Real_Sales[[#This Row],[Price_retail]]&gt;50,4)</f>
        <v>4</v>
      </c>
    </row>
    <row r="971" spans="1:26" x14ac:dyDescent="0.35">
      <c r="A971" s="2" t="s">
        <v>1433</v>
      </c>
      <c r="B971" s="2" t="s">
        <v>1434</v>
      </c>
      <c r="C971" s="2" t="s">
        <v>1747</v>
      </c>
      <c r="D971" s="2" t="s">
        <v>660</v>
      </c>
      <c r="E971" s="2" t="s">
        <v>4</v>
      </c>
      <c r="F971" s="2" t="s">
        <v>5</v>
      </c>
      <c r="G971" s="2" t="s">
        <v>82</v>
      </c>
      <c r="H971" s="2" t="s">
        <v>237</v>
      </c>
      <c r="I971" s="2" t="s">
        <v>3390</v>
      </c>
      <c r="J971" s="3">
        <v>55.66</v>
      </c>
      <c r="K971" s="3">
        <v>40.19</v>
      </c>
      <c r="L971" s="2" t="s">
        <v>8</v>
      </c>
      <c r="M971" s="2" t="s">
        <v>9</v>
      </c>
      <c r="N971" s="3">
        <v>195</v>
      </c>
      <c r="O971" s="2" t="s">
        <v>191</v>
      </c>
      <c r="P971" s="2" t="s">
        <v>92</v>
      </c>
      <c r="Q971" s="3"/>
      <c r="R971" s="3"/>
      <c r="S971" s="2" t="s">
        <v>12</v>
      </c>
      <c r="T971" s="4">
        <v>44955</v>
      </c>
      <c r="U971" s="2" t="s">
        <v>1435</v>
      </c>
      <c r="V971" s="6">
        <f>(Real_Sales[[#This Row],[Price_retail]]-Real_Sales[[#This Row],[Price_current]])/Real_Sales[[#This Row],[Price_retail]]</f>
        <v>0.27793747754222065</v>
      </c>
      <c r="W971" s="3" t="str" cm="1">
        <f t="array" ref="W97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71" s="2" t="str">
        <f>IF(Real_Sales[[#This Row],[Price_retail]]&gt;$AC$3,"Premium","Average")</f>
        <v>Premium</v>
      </c>
      <c r="Y971" s="2" t="str">
        <f>IF(ISNUMBER(SEARCH("Basic",Real_Sales[[#This Row],[Product_name]])),"Yes","No")</f>
        <v>No</v>
      </c>
      <c r="Z971" s="2" cm="1">
        <f t="array" ref="Z971">_xlfn.IFS(Real_Sales[[#This Row],[Price_retail]]&lt;=15,1, Real_Sales[[#This Row],[Price_retail]]&lt;=30,2, Real_Sales[[#This Row],[Price_retail]]&lt;=50,3,Real_Sales[[#This Row],[Price_retail]]&gt;50,4)</f>
        <v>4</v>
      </c>
    </row>
    <row r="972" spans="1:26" x14ac:dyDescent="0.35">
      <c r="A972" s="2" t="s">
        <v>2953</v>
      </c>
      <c r="B972" s="2" t="s">
        <v>2954</v>
      </c>
      <c r="C972" s="2" t="s">
        <v>995</v>
      </c>
      <c r="D972" s="2" t="s">
        <v>1050</v>
      </c>
      <c r="E972" s="2" t="s">
        <v>4</v>
      </c>
      <c r="F972" s="2" t="s">
        <v>5</v>
      </c>
      <c r="G972" s="2" t="s">
        <v>121</v>
      </c>
      <c r="H972" s="2" t="s">
        <v>68</v>
      </c>
      <c r="I972" s="2" t="s">
        <v>3390</v>
      </c>
      <c r="J972" s="3">
        <v>57.14</v>
      </c>
      <c r="K972" s="3">
        <v>57.14</v>
      </c>
      <c r="L972" s="2" t="s">
        <v>3391</v>
      </c>
      <c r="M972" s="2" t="s">
        <v>9</v>
      </c>
      <c r="N972" s="3">
        <v>181</v>
      </c>
      <c r="O972" s="2" t="s">
        <v>3392</v>
      </c>
      <c r="P972" s="2" t="s">
        <v>92</v>
      </c>
      <c r="Q972" s="3"/>
      <c r="R972" s="3"/>
      <c r="S972" s="2" t="s">
        <v>12</v>
      </c>
      <c r="T972" s="4">
        <v>44955</v>
      </c>
      <c r="U972" s="2" t="s">
        <v>2955</v>
      </c>
      <c r="V972" s="6">
        <f>(Real_Sales[[#This Row],[Price_retail]]-Real_Sales[[#This Row],[Price_current]])/Real_Sales[[#This Row],[Price_retail]]</f>
        <v>0</v>
      </c>
      <c r="W972" s="3" t="str" cm="1">
        <f t="array" ref="W972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2" s="2" t="str">
        <f>IF(Real_Sales[[#This Row],[Price_retail]]&gt;$AC$3,"Premium","Average")</f>
        <v>Premium</v>
      </c>
      <c r="Y972" s="2" t="str">
        <f>IF(ISNUMBER(SEARCH("Basic",Real_Sales[[#This Row],[Product_name]])),"Yes","No")</f>
        <v>Yes</v>
      </c>
      <c r="Z972" s="2" cm="1">
        <f t="array" ref="Z972">_xlfn.IFS(Real_Sales[[#This Row],[Price_retail]]&lt;=15,1, Real_Sales[[#This Row],[Price_retail]]&lt;=30,2, Real_Sales[[#This Row],[Price_retail]]&lt;=50,3,Real_Sales[[#This Row],[Price_retail]]&gt;50,4)</f>
        <v>4</v>
      </c>
    </row>
    <row r="973" spans="1:26" x14ac:dyDescent="0.35">
      <c r="A973" s="2" t="s">
        <v>2489</v>
      </c>
      <c r="B973" s="2" t="s">
        <v>2490</v>
      </c>
      <c r="C973" s="2" t="s">
        <v>3394</v>
      </c>
      <c r="D973" s="2" t="s">
        <v>301</v>
      </c>
      <c r="E973" s="2" t="s">
        <v>4</v>
      </c>
      <c r="F973" s="2" t="s">
        <v>17</v>
      </c>
      <c r="G973" s="2" t="s">
        <v>67</v>
      </c>
      <c r="H973" s="2" t="s">
        <v>145</v>
      </c>
      <c r="I973" s="2" t="s">
        <v>3393</v>
      </c>
      <c r="J973" s="3">
        <v>57.4</v>
      </c>
      <c r="K973" s="3">
        <v>57.4</v>
      </c>
      <c r="L973" s="2" t="s">
        <v>248</v>
      </c>
      <c r="M973" s="2" t="s">
        <v>9</v>
      </c>
      <c r="N973" s="3">
        <v>428</v>
      </c>
      <c r="O973" s="2" t="s">
        <v>140</v>
      </c>
      <c r="P973" s="2" t="s">
        <v>163</v>
      </c>
      <c r="Q973" s="3"/>
      <c r="R973" s="3"/>
      <c r="S973" s="2" t="s">
        <v>21</v>
      </c>
      <c r="T973" s="4">
        <v>44955</v>
      </c>
      <c r="U973" s="2" t="s">
        <v>2491</v>
      </c>
      <c r="V973" s="6">
        <f>(Real_Sales[[#This Row],[Price_retail]]-Real_Sales[[#This Row],[Price_current]])/Real_Sales[[#This Row],[Price_retail]]</f>
        <v>0</v>
      </c>
      <c r="W973" s="3" t="str" cm="1">
        <f t="array" ref="W97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3" s="2" t="str">
        <f>IF(Real_Sales[[#This Row],[Price_retail]]&gt;$AC$3,"Premium","Average")</f>
        <v>Premium</v>
      </c>
      <c r="Y973" s="2" t="str">
        <f>IF(ISNUMBER(SEARCH("Basic",Real_Sales[[#This Row],[Product_name]])),"Yes","No")</f>
        <v>No</v>
      </c>
      <c r="Z973" s="2" cm="1">
        <f t="array" ref="Z973">_xlfn.IFS(Real_Sales[[#This Row],[Price_retail]]&lt;=15,1, Real_Sales[[#This Row],[Price_retail]]&lt;=30,2, Real_Sales[[#This Row],[Price_retail]]&lt;=50,3,Real_Sales[[#This Row],[Price_retail]]&gt;50,4)</f>
        <v>4</v>
      </c>
    </row>
    <row r="974" spans="1:26" x14ac:dyDescent="0.35">
      <c r="A974" s="2" t="s">
        <v>627</v>
      </c>
      <c r="B974" s="2" t="s">
        <v>628</v>
      </c>
      <c r="C974" s="2" t="s">
        <v>3433</v>
      </c>
      <c r="D974" s="2" t="s">
        <v>103</v>
      </c>
      <c r="E974" s="2" t="s">
        <v>4</v>
      </c>
      <c r="F974" s="2" t="s">
        <v>17</v>
      </c>
      <c r="G974" s="2" t="s">
        <v>67</v>
      </c>
      <c r="H974" s="2" t="s">
        <v>19</v>
      </c>
      <c r="I974" s="2" t="s">
        <v>3390</v>
      </c>
      <c r="J974" s="3">
        <v>60.32</v>
      </c>
      <c r="K974" s="3">
        <v>50.85</v>
      </c>
      <c r="L974" s="2" t="s">
        <v>8</v>
      </c>
      <c r="M974" s="2" t="s">
        <v>9</v>
      </c>
      <c r="N974" s="3">
        <v>263</v>
      </c>
      <c r="O974" s="2" t="s">
        <v>3392</v>
      </c>
      <c r="P974" s="2" t="s">
        <v>629</v>
      </c>
      <c r="Q974" s="3"/>
      <c r="R974" s="3"/>
      <c r="S974" s="2" t="s">
        <v>12</v>
      </c>
      <c r="T974" s="4">
        <v>44955</v>
      </c>
      <c r="U974" s="2" t="s">
        <v>630</v>
      </c>
      <c r="V974" s="6">
        <f>(Real_Sales[[#This Row],[Price_retail]]-Real_Sales[[#This Row],[Price_current]])/Real_Sales[[#This Row],[Price_retail]]</f>
        <v>0.15699602122015913</v>
      </c>
      <c r="W974" s="3" t="str" cm="1">
        <f t="array" ref="W974">_xlfn.IFS(Real_Sales[[#This Row],[Discount]]=0%,"No Discount",Real_Sales[[#This Row],[Discount]]&lt;=20%,"Light",Real_Sales[[#This Row],[Discount]]&lt;=50%,"Moderate",Real_Sales[[#This Row],[Discount]]&lt;=80%,"High",
TRUE,"Very High")</f>
        <v>Light</v>
      </c>
      <c r="X974" s="2" t="str">
        <f>IF(Real_Sales[[#This Row],[Price_retail]]&gt;$AC$3,"Premium","Average")</f>
        <v>Premium</v>
      </c>
      <c r="Y974" s="2" t="str">
        <f>IF(ISNUMBER(SEARCH("Basic",Real_Sales[[#This Row],[Product_name]])),"Yes","No")</f>
        <v>No</v>
      </c>
      <c r="Z974" s="2" cm="1">
        <f t="array" ref="Z974">_xlfn.IFS(Real_Sales[[#This Row],[Price_retail]]&lt;=15,1, Real_Sales[[#This Row],[Price_retail]]&lt;=30,2, Real_Sales[[#This Row],[Price_retail]]&lt;=50,3,Real_Sales[[#This Row],[Price_retail]]&gt;50,4)</f>
        <v>4</v>
      </c>
    </row>
    <row r="975" spans="1:26" x14ac:dyDescent="0.35">
      <c r="A975" s="2" t="s">
        <v>1847</v>
      </c>
      <c r="B975" s="2" t="s">
        <v>1848</v>
      </c>
      <c r="C975" s="2" t="s">
        <v>3398</v>
      </c>
      <c r="D975" s="2" t="s">
        <v>89</v>
      </c>
      <c r="E975" s="2" t="s">
        <v>4</v>
      </c>
      <c r="F975" s="2" t="s">
        <v>5</v>
      </c>
      <c r="G975" s="2" t="s">
        <v>82</v>
      </c>
      <c r="H975" s="2" t="s">
        <v>90</v>
      </c>
      <c r="I975" s="2" t="s">
        <v>3395</v>
      </c>
      <c r="J975" s="3">
        <v>60.79</v>
      </c>
      <c r="K975" s="3">
        <v>60.79</v>
      </c>
      <c r="L975" s="2" t="s">
        <v>3391</v>
      </c>
      <c r="M975" s="2" t="s">
        <v>9</v>
      </c>
      <c r="N975" s="3">
        <v>703</v>
      </c>
      <c r="O975" s="2" t="s">
        <v>287</v>
      </c>
      <c r="P975" s="2" t="s">
        <v>3392</v>
      </c>
      <c r="Q975" s="3"/>
      <c r="R975" s="3"/>
      <c r="S975" s="2" t="s">
        <v>21</v>
      </c>
      <c r="T975" s="4">
        <v>44955</v>
      </c>
      <c r="U975" s="2" t="s">
        <v>1849</v>
      </c>
      <c r="V975" s="6">
        <f>(Real_Sales[[#This Row],[Price_retail]]-Real_Sales[[#This Row],[Price_current]])/Real_Sales[[#This Row],[Price_retail]]</f>
        <v>0</v>
      </c>
      <c r="W975" s="3" t="str" cm="1">
        <f t="array" ref="W975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5" s="2" t="str">
        <f>IF(Real_Sales[[#This Row],[Price_retail]]&gt;$AC$3,"Premium","Average")</f>
        <v>Premium</v>
      </c>
      <c r="Y975" s="2" t="str">
        <f>IF(ISNUMBER(SEARCH("Basic",Real_Sales[[#This Row],[Product_name]])),"Yes","No")</f>
        <v>No</v>
      </c>
      <c r="Z975" s="2" cm="1">
        <f t="array" ref="Z975">_xlfn.IFS(Real_Sales[[#This Row],[Price_retail]]&lt;=15,1, Real_Sales[[#This Row],[Price_retail]]&lt;=30,2, Real_Sales[[#This Row],[Price_retail]]&lt;=50,3,Real_Sales[[#This Row],[Price_retail]]&gt;50,4)</f>
        <v>4</v>
      </c>
    </row>
    <row r="976" spans="1:26" x14ac:dyDescent="0.35">
      <c r="A976" s="2" t="s">
        <v>2743</v>
      </c>
      <c r="B976" s="2" t="s">
        <v>2744</v>
      </c>
      <c r="C976" s="2" t="s">
        <v>690</v>
      </c>
      <c r="D976" s="2" t="s">
        <v>432</v>
      </c>
      <c r="E976" s="2" t="s">
        <v>4</v>
      </c>
      <c r="F976" s="2" t="s">
        <v>5</v>
      </c>
      <c r="G976" s="2" t="s">
        <v>82</v>
      </c>
      <c r="H976" s="2" t="s">
        <v>35</v>
      </c>
      <c r="I976" s="2" t="s">
        <v>3393</v>
      </c>
      <c r="J976" s="3">
        <v>62.29</v>
      </c>
      <c r="K976" s="3">
        <v>62.29</v>
      </c>
      <c r="L976" s="2" t="s">
        <v>3391</v>
      </c>
      <c r="M976" s="2" t="s">
        <v>9</v>
      </c>
      <c r="N976" s="3">
        <v>974</v>
      </c>
      <c r="O976" s="2" t="s">
        <v>104</v>
      </c>
      <c r="P976" s="2" t="s">
        <v>30</v>
      </c>
      <c r="Q976" s="3"/>
      <c r="R976" s="3"/>
      <c r="S976" s="2" t="s">
        <v>21</v>
      </c>
      <c r="T976" s="4">
        <v>44955</v>
      </c>
      <c r="U976" s="2" t="s">
        <v>2745</v>
      </c>
      <c r="V976" s="6">
        <f>(Real_Sales[[#This Row],[Price_retail]]-Real_Sales[[#This Row],[Price_current]])/Real_Sales[[#This Row],[Price_retail]]</f>
        <v>0</v>
      </c>
      <c r="W976" s="3" t="str" cm="1">
        <f t="array" ref="W976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6" s="2" t="str">
        <f>IF(Real_Sales[[#This Row],[Price_retail]]&gt;$AC$3,"Premium","Average")</f>
        <v>Premium</v>
      </c>
      <c r="Y976" s="2" t="str">
        <f>IF(ISNUMBER(SEARCH("Basic",Real_Sales[[#This Row],[Product_name]])),"Yes","No")</f>
        <v>Yes</v>
      </c>
      <c r="Z976" s="2" cm="1">
        <f t="array" ref="Z976">_xlfn.IFS(Real_Sales[[#This Row],[Price_retail]]&lt;=15,1, Real_Sales[[#This Row],[Price_retail]]&lt;=30,2, Real_Sales[[#This Row],[Price_retail]]&lt;=50,3,Real_Sales[[#This Row],[Price_retail]]&gt;50,4)</f>
        <v>4</v>
      </c>
    </row>
    <row r="977" spans="1:26" x14ac:dyDescent="0.35">
      <c r="A977" s="2" t="s">
        <v>3149</v>
      </c>
      <c r="B977" s="2" t="s">
        <v>3150</v>
      </c>
      <c r="C977" s="2" t="s">
        <v>242</v>
      </c>
      <c r="D977" s="2" t="s">
        <v>1723</v>
      </c>
      <c r="E977" s="2" t="s">
        <v>4</v>
      </c>
      <c r="F977" s="2" t="s">
        <v>17</v>
      </c>
      <c r="G977" s="2" t="s">
        <v>50</v>
      </c>
      <c r="H977" s="2" t="s">
        <v>139</v>
      </c>
      <c r="I977" s="2" t="s">
        <v>3393</v>
      </c>
      <c r="J977" s="3">
        <v>63.37</v>
      </c>
      <c r="K977" s="3">
        <v>63.37</v>
      </c>
      <c r="L977" s="2" t="s">
        <v>3391</v>
      </c>
      <c r="M977" s="2" t="s">
        <v>9</v>
      </c>
      <c r="N977" s="3">
        <v>105</v>
      </c>
      <c r="O977" s="2" t="s">
        <v>359</v>
      </c>
      <c r="P977" s="2" t="s">
        <v>3392</v>
      </c>
      <c r="Q977" s="3"/>
      <c r="R977" s="3"/>
      <c r="S977" s="2" t="s">
        <v>21</v>
      </c>
      <c r="T977" s="4">
        <v>44955</v>
      </c>
      <c r="U977" s="2" t="s">
        <v>3151</v>
      </c>
      <c r="V977" s="6">
        <f>(Real_Sales[[#This Row],[Price_retail]]-Real_Sales[[#This Row],[Price_current]])/Real_Sales[[#This Row],[Price_retail]]</f>
        <v>0</v>
      </c>
      <c r="W977" s="3" t="str" cm="1">
        <f t="array" ref="W977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7" s="2" t="str">
        <f>IF(Real_Sales[[#This Row],[Price_retail]]&gt;$AC$3,"Premium","Average")</f>
        <v>Premium</v>
      </c>
      <c r="Y977" s="2" t="str">
        <f>IF(ISNUMBER(SEARCH("Basic",Real_Sales[[#This Row],[Product_name]])),"Yes","No")</f>
        <v>No</v>
      </c>
      <c r="Z977" s="2" cm="1">
        <f t="array" ref="Z977">_xlfn.IFS(Real_Sales[[#This Row],[Price_retail]]&lt;=15,1, Real_Sales[[#This Row],[Price_retail]]&lt;=30,2, Real_Sales[[#This Row],[Price_retail]]&lt;=50,3,Real_Sales[[#This Row],[Price_retail]]&gt;50,4)</f>
        <v>4</v>
      </c>
    </row>
    <row r="978" spans="1:26" x14ac:dyDescent="0.35">
      <c r="A978" s="2" t="s">
        <v>954</v>
      </c>
      <c r="B978" s="2" t="s">
        <v>955</v>
      </c>
      <c r="C978" s="2" t="s">
        <v>3414</v>
      </c>
      <c r="D978" s="2" t="s">
        <v>577</v>
      </c>
      <c r="E978" s="2" t="s">
        <v>4</v>
      </c>
      <c r="F978" s="2" t="s">
        <v>5</v>
      </c>
      <c r="G978" s="2" t="s">
        <v>121</v>
      </c>
      <c r="H978" s="2" t="s">
        <v>168</v>
      </c>
      <c r="I978" s="2" t="s">
        <v>3390</v>
      </c>
      <c r="J978" s="3">
        <v>64.09</v>
      </c>
      <c r="K978" s="3">
        <v>64.09</v>
      </c>
      <c r="L978" s="2" t="s">
        <v>3391</v>
      </c>
      <c r="M978" s="2" t="s">
        <v>9</v>
      </c>
      <c r="N978" s="3">
        <v>130</v>
      </c>
      <c r="O978" s="2" t="s">
        <v>347</v>
      </c>
      <c r="P978" s="2" t="s">
        <v>553</v>
      </c>
      <c r="Q978" s="3"/>
      <c r="R978" s="3"/>
      <c r="S978" s="2" t="s">
        <v>21</v>
      </c>
      <c r="T978" s="4">
        <v>44955</v>
      </c>
      <c r="U978" s="2" t="s">
        <v>956</v>
      </c>
      <c r="V978" s="6">
        <f>(Real_Sales[[#This Row],[Price_retail]]-Real_Sales[[#This Row],[Price_current]])/Real_Sales[[#This Row],[Price_retail]]</f>
        <v>0</v>
      </c>
      <c r="W978" s="3" t="str" cm="1">
        <f t="array" ref="W978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8" s="2" t="str">
        <f>IF(Real_Sales[[#This Row],[Price_retail]]&gt;$AC$3,"Premium","Average")</f>
        <v>Premium</v>
      </c>
      <c r="Y978" s="2" t="str">
        <f>IF(ISNUMBER(SEARCH("Basic",Real_Sales[[#This Row],[Product_name]])),"Yes","No")</f>
        <v>No</v>
      </c>
      <c r="Z978" s="2" cm="1">
        <f t="array" ref="Z978">_xlfn.IFS(Real_Sales[[#This Row],[Price_retail]]&lt;=15,1, Real_Sales[[#This Row],[Price_retail]]&lt;=30,2, Real_Sales[[#This Row],[Price_retail]]&lt;=50,3,Real_Sales[[#This Row],[Price_retail]]&gt;50,4)</f>
        <v>4</v>
      </c>
    </row>
    <row r="979" spans="1:26" x14ac:dyDescent="0.35">
      <c r="A979" s="2" t="s">
        <v>2662</v>
      </c>
      <c r="B979" s="2" t="s">
        <v>2663</v>
      </c>
      <c r="C979" s="2" t="s">
        <v>65</v>
      </c>
      <c r="D979" s="2" t="s">
        <v>446</v>
      </c>
      <c r="E979" s="2" t="s">
        <v>4</v>
      </c>
      <c r="F979" s="2" t="s">
        <v>17</v>
      </c>
      <c r="G979" s="2" t="s">
        <v>27</v>
      </c>
      <c r="H979" s="2" t="s">
        <v>145</v>
      </c>
      <c r="I979" s="2" t="s">
        <v>3395</v>
      </c>
      <c r="J979" s="3">
        <v>66.27</v>
      </c>
      <c r="K979" s="3">
        <v>66.27</v>
      </c>
      <c r="L979" s="2" t="s">
        <v>3391</v>
      </c>
      <c r="M979" s="2" t="s">
        <v>9</v>
      </c>
      <c r="N979" s="3">
        <v>638</v>
      </c>
      <c r="O979" s="2" t="s">
        <v>261</v>
      </c>
      <c r="P979" s="2" t="s">
        <v>221</v>
      </c>
      <c r="Q979" s="3"/>
      <c r="R979" s="3"/>
      <c r="S979" s="2" t="s">
        <v>21</v>
      </c>
      <c r="T979" s="4">
        <v>44955</v>
      </c>
      <c r="U979" s="2" t="s">
        <v>2664</v>
      </c>
      <c r="V979" s="6">
        <f>(Real_Sales[[#This Row],[Price_retail]]-Real_Sales[[#This Row],[Price_current]])/Real_Sales[[#This Row],[Price_retail]]</f>
        <v>0</v>
      </c>
      <c r="W979" s="3" t="str" cm="1">
        <f t="array" ref="W979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79" s="2" t="str">
        <f>IF(Real_Sales[[#This Row],[Price_retail]]&gt;$AC$3,"Premium","Average")</f>
        <v>Premium</v>
      </c>
      <c r="Y979" s="2" t="str">
        <f>IF(ISNUMBER(SEARCH("Basic",Real_Sales[[#This Row],[Product_name]])),"Yes","No")</f>
        <v>Yes</v>
      </c>
      <c r="Z979" s="2" cm="1">
        <f t="array" ref="Z979">_xlfn.IFS(Real_Sales[[#This Row],[Price_retail]]&lt;=15,1, Real_Sales[[#This Row],[Price_retail]]&lt;=30,2, Real_Sales[[#This Row],[Price_retail]]&lt;=50,3,Real_Sales[[#This Row],[Price_retail]]&gt;50,4)</f>
        <v>4</v>
      </c>
    </row>
    <row r="980" spans="1:26" x14ac:dyDescent="0.35">
      <c r="A980" s="2" t="s">
        <v>2123</v>
      </c>
      <c r="B980" s="2" t="s">
        <v>2124</v>
      </c>
      <c r="C980" s="2" t="s">
        <v>3394</v>
      </c>
      <c r="D980" s="2" t="s">
        <v>804</v>
      </c>
      <c r="E980" s="2" t="s">
        <v>4</v>
      </c>
      <c r="F980" s="2" t="s">
        <v>5</v>
      </c>
      <c r="G980" s="2" t="s">
        <v>121</v>
      </c>
      <c r="H980" s="2" t="s">
        <v>19</v>
      </c>
      <c r="I980" s="2" t="s">
        <v>3393</v>
      </c>
      <c r="J980" s="3">
        <v>66.42</v>
      </c>
      <c r="K980" s="3">
        <v>66.42</v>
      </c>
      <c r="L980" s="2" t="s">
        <v>3391</v>
      </c>
      <c r="M980" s="2" t="s">
        <v>9</v>
      </c>
      <c r="N980" s="3">
        <v>614</v>
      </c>
      <c r="O980" s="2" t="s">
        <v>359</v>
      </c>
      <c r="P980" s="2" t="s">
        <v>37</v>
      </c>
      <c r="Q980" s="3"/>
      <c r="R980" s="3"/>
      <c r="S980" s="2" t="s">
        <v>21</v>
      </c>
      <c r="T980" s="4">
        <v>44955</v>
      </c>
      <c r="U980" s="2" t="s">
        <v>2125</v>
      </c>
      <c r="V980" s="6">
        <f>(Real_Sales[[#This Row],[Price_retail]]-Real_Sales[[#This Row],[Price_current]])/Real_Sales[[#This Row],[Price_retail]]</f>
        <v>0</v>
      </c>
      <c r="W980" s="3" t="str" cm="1">
        <f t="array" ref="W980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80" s="2" t="str">
        <f>IF(Real_Sales[[#This Row],[Price_retail]]&gt;$AC$3,"Premium","Average")</f>
        <v>Premium</v>
      </c>
      <c r="Y980" s="2" t="str">
        <f>IF(ISNUMBER(SEARCH("Basic",Real_Sales[[#This Row],[Product_name]])),"Yes","No")</f>
        <v>No</v>
      </c>
      <c r="Z980" s="2" cm="1">
        <f t="array" ref="Z980">_xlfn.IFS(Real_Sales[[#This Row],[Price_retail]]&lt;=15,1, Real_Sales[[#This Row],[Price_retail]]&lt;=30,2, Real_Sales[[#This Row],[Price_retail]]&lt;=50,3,Real_Sales[[#This Row],[Price_retail]]&gt;50,4)</f>
        <v>4</v>
      </c>
    </row>
    <row r="981" spans="1:26" x14ac:dyDescent="0.35">
      <c r="A981" s="2" t="s">
        <v>136</v>
      </c>
      <c r="B981" s="2" t="s">
        <v>137</v>
      </c>
      <c r="C981" s="2" t="s">
        <v>119</v>
      </c>
      <c r="D981" s="2" t="s">
        <v>138</v>
      </c>
      <c r="E981" s="2" t="s">
        <v>4</v>
      </c>
      <c r="F981" s="2" t="s">
        <v>5</v>
      </c>
      <c r="G981" s="2" t="s">
        <v>82</v>
      </c>
      <c r="H981" s="2" t="s">
        <v>139</v>
      </c>
      <c r="I981" s="2" t="s">
        <v>3390</v>
      </c>
      <c r="J981" s="3">
        <v>71.41</v>
      </c>
      <c r="K981" s="3">
        <v>52.82</v>
      </c>
      <c r="L981" s="2" t="s">
        <v>8</v>
      </c>
      <c r="M981" s="2" t="s">
        <v>9</v>
      </c>
      <c r="N981" s="3">
        <v>243</v>
      </c>
      <c r="O981" s="2" t="s">
        <v>140</v>
      </c>
      <c r="P981" s="2" t="s">
        <v>53</v>
      </c>
      <c r="Q981" s="3"/>
      <c r="R981" s="3"/>
      <c r="S981" s="2" t="s">
        <v>21</v>
      </c>
      <c r="T981" s="4">
        <v>44955</v>
      </c>
      <c r="U981" s="2" t="s">
        <v>141</v>
      </c>
      <c r="V981" s="6">
        <f>(Real_Sales[[#This Row],[Price_retail]]-Real_Sales[[#This Row],[Price_current]])/Real_Sales[[#This Row],[Price_retail]]</f>
        <v>0.26032768519815147</v>
      </c>
      <c r="W981" s="3" t="str" cm="1">
        <f t="array" ref="W981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81" s="2" t="str">
        <f>IF(Real_Sales[[#This Row],[Price_retail]]&gt;$AC$3,"Premium","Average")</f>
        <v>Premium</v>
      </c>
      <c r="Y981" s="2" t="str">
        <f>IF(ISNUMBER(SEARCH("Basic",Real_Sales[[#This Row],[Product_name]])),"Yes","No")</f>
        <v>Yes</v>
      </c>
      <c r="Z981" s="2" cm="1">
        <f t="array" ref="Z981">_xlfn.IFS(Real_Sales[[#This Row],[Price_retail]]&lt;=15,1, Real_Sales[[#This Row],[Price_retail]]&lt;=30,2, Real_Sales[[#This Row],[Price_retail]]&lt;=50,3,Real_Sales[[#This Row],[Price_retail]]&gt;50,4)</f>
        <v>4</v>
      </c>
    </row>
    <row r="982" spans="1:26" x14ac:dyDescent="0.35">
      <c r="A982" s="2" t="s">
        <v>1252</v>
      </c>
      <c r="B982" s="2" t="s">
        <v>1253</v>
      </c>
      <c r="C982" s="2" t="s">
        <v>750</v>
      </c>
      <c r="D982" s="2" t="s">
        <v>887</v>
      </c>
      <c r="E982" s="2" t="s">
        <v>4</v>
      </c>
      <c r="F982" s="2" t="s">
        <v>5</v>
      </c>
      <c r="G982" s="2" t="s">
        <v>121</v>
      </c>
      <c r="H982" s="2" t="s">
        <v>185</v>
      </c>
      <c r="I982" s="2" t="s">
        <v>3393</v>
      </c>
      <c r="J982" s="3">
        <v>79.08</v>
      </c>
      <c r="K982" s="3">
        <v>52.72</v>
      </c>
      <c r="L982" s="2" t="s">
        <v>8</v>
      </c>
      <c r="M982" s="2" t="s">
        <v>9</v>
      </c>
      <c r="N982" s="3">
        <v>602</v>
      </c>
      <c r="O982" s="2" t="s">
        <v>191</v>
      </c>
      <c r="P982" s="2" t="s">
        <v>92</v>
      </c>
      <c r="Q982" s="3"/>
      <c r="R982" s="3"/>
      <c r="S982" s="2" t="s">
        <v>21</v>
      </c>
      <c r="T982" s="4">
        <v>44955</v>
      </c>
      <c r="U982" s="2" t="s">
        <v>1254</v>
      </c>
      <c r="V982" s="6">
        <f>(Real_Sales[[#This Row],[Price_retail]]-Real_Sales[[#This Row],[Price_current]])/Real_Sales[[#This Row],[Price_retail]]</f>
        <v>0.33333333333333331</v>
      </c>
      <c r="W982" s="3" t="str" cm="1">
        <f t="array" ref="W982">_xlfn.IFS(Real_Sales[[#This Row],[Discount]]=0%,"No Discount",Real_Sales[[#This Row],[Discount]]&lt;=20%,"Light",Real_Sales[[#This Row],[Discount]]&lt;=50%,"Moderate",Real_Sales[[#This Row],[Discount]]&lt;=80%,"High",
TRUE,"Very High")</f>
        <v>Moderate</v>
      </c>
      <c r="X982" s="2" t="str">
        <f>IF(Real_Sales[[#This Row],[Price_retail]]&gt;$AC$3,"Premium","Average")</f>
        <v>Premium</v>
      </c>
      <c r="Y982" s="2" t="str">
        <f>IF(ISNUMBER(SEARCH("Basic",Real_Sales[[#This Row],[Product_name]])),"Yes","No")</f>
        <v>Yes</v>
      </c>
      <c r="Z982" s="2" cm="1">
        <f t="array" ref="Z982">_xlfn.IFS(Real_Sales[[#This Row],[Price_retail]]&lt;=15,1, Real_Sales[[#This Row],[Price_retail]]&lt;=30,2, Real_Sales[[#This Row],[Price_retail]]&lt;=50,3,Real_Sales[[#This Row],[Price_retail]]&gt;50,4)</f>
        <v>4</v>
      </c>
    </row>
    <row r="983" spans="1:26" x14ac:dyDescent="0.35">
      <c r="A983" s="2" t="s">
        <v>1204</v>
      </c>
      <c r="B983" s="2" t="s">
        <v>1205</v>
      </c>
      <c r="C983" s="2" t="s">
        <v>3394</v>
      </c>
      <c r="D983" s="2" t="s">
        <v>1206</v>
      </c>
      <c r="E983" s="2" t="s">
        <v>4</v>
      </c>
      <c r="F983" s="2" t="s">
        <v>17</v>
      </c>
      <c r="G983" s="2" t="s">
        <v>18</v>
      </c>
      <c r="H983" s="2" t="s">
        <v>418</v>
      </c>
      <c r="I983" s="2" t="s">
        <v>3393</v>
      </c>
      <c r="J983" s="3">
        <v>85.77</v>
      </c>
      <c r="K983" s="3">
        <v>85.77</v>
      </c>
      <c r="L983" s="2" t="s">
        <v>3391</v>
      </c>
      <c r="M983" s="2" t="s">
        <v>9</v>
      </c>
      <c r="N983" s="3">
        <v>506</v>
      </c>
      <c r="O983" s="2" t="s">
        <v>359</v>
      </c>
      <c r="P983" s="2" t="s">
        <v>221</v>
      </c>
      <c r="Q983" s="3"/>
      <c r="R983" s="3"/>
      <c r="S983" s="2" t="s">
        <v>21</v>
      </c>
      <c r="T983" s="4">
        <v>44955</v>
      </c>
      <c r="U983" s="2" t="s">
        <v>1207</v>
      </c>
      <c r="V983" s="6">
        <f>(Real_Sales[[#This Row],[Price_retail]]-Real_Sales[[#This Row],[Price_current]])/Real_Sales[[#This Row],[Price_retail]]</f>
        <v>0</v>
      </c>
      <c r="W983" s="3" t="str" cm="1">
        <f t="array" ref="W983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83" s="2" t="str">
        <f>IF(Real_Sales[[#This Row],[Price_retail]]&gt;$AC$3,"Premium","Average")</f>
        <v>Premium</v>
      </c>
      <c r="Y983" s="2" t="str">
        <f>IF(ISNUMBER(SEARCH("Basic",Real_Sales[[#This Row],[Product_name]])),"Yes","No")</f>
        <v>No</v>
      </c>
      <c r="Z983" s="2" cm="1">
        <f t="array" ref="Z983">_xlfn.IFS(Real_Sales[[#This Row],[Price_retail]]&lt;=15,1, Real_Sales[[#This Row],[Price_retail]]&lt;=30,2, Real_Sales[[#This Row],[Price_retail]]&lt;=50,3,Real_Sales[[#This Row],[Price_retail]]&gt;50,4)</f>
        <v>4</v>
      </c>
    </row>
    <row r="984" spans="1:26" x14ac:dyDescent="0.35">
      <c r="A984" s="2" t="s">
        <v>1646</v>
      </c>
      <c r="B984" s="2" t="s">
        <v>1647</v>
      </c>
      <c r="C984" s="2" t="s">
        <v>750</v>
      </c>
      <c r="D984" s="2" t="s">
        <v>1000</v>
      </c>
      <c r="E984" s="2" t="s">
        <v>4</v>
      </c>
      <c r="F984" s="2" t="s">
        <v>17</v>
      </c>
      <c r="G984" s="2" t="s">
        <v>50</v>
      </c>
      <c r="H984" s="2" t="s">
        <v>68</v>
      </c>
      <c r="I984" s="2" t="s">
        <v>3390</v>
      </c>
      <c r="J984" s="3">
        <v>88.07</v>
      </c>
      <c r="K984" s="3">
        <v>88.07</v>
      </c>
      <c r="L984" s="2" t="s">
        <v>3391</v>
      </c>
      <c r="M984" s="2" t="s">
        <v>9</v>
      </c>
      <c r="N984" s="3">
        <v>684</v>
      </c>
      <c r="O984" s="2" t="s">
        <v>29</v>
      </c>
      <c r="P984" s="2" t="s">
        <v>53</v>
      </c>
      <c r="Q984" s="3"/>
      <c r="R984" s="3"/>
      <c r="S984" s="2" t="s">
        <v>12</v>
      </c>
      <c r="T984" s="4">
        <v>44955</v>
      </c>
      <c r="U984" s="2" t="s">
        <v>1648</v>
      </c>
      <c r="V984" s="6">
        <f>(Real_Sales[[#This Row],[Price_retail]]-Real_Sales[[#This Row],[Price_current]])/Real_Sales[[#This Row],[Price_retail]]</f>
        <v>0</v>
      </c>
      <c r="W984" s="3" t="str" cm="1">
        <f t="array" ref="W984">_xlfn.IFS(Real_Sales[[#This Row],[Discount]]=0%,"No Discount",Real_Sales[[#This Row],[Discount]]&lt;=20%,"Light",Real_Sales[[#This Row],[Discount]]&lt;=50%,"Moderate",Real_Sales[[#This Row],[Discount]]&lt;=80%,"High",
TRUE,"Very High")</f>
        <v>No Discount</v>
      </c>
      <c r="X984" s="2" t="str">
        <f>IF(Real_Sales[[#This Row],[Price_retail]]&gt;$AC$3,"Premium","Average")</f>
        <v>Premium</v>
      </c>
      <c r="Y984" s="2" t="str">
        <f>IF(ISNUMBER(SEARCH("Basic",Real_Sales[[#This Row],[Product_name]])),"Yes","No")</f>
        <v>No</v>
      </c>
      <c r="Z984" s="2" cm="1">
        <f t="array" ref="Z984">_xlfn.IFS(Real_Sales[[#This Row],[Price_retail]]&lt;=15,1, Real_Sales[[#This Row],[Price_retail]]&lt;=30,2, Real_Sales[[#This Row],[Price_retail]]&lt;=50,3,Real_Sales[[#This Row],[Price_retail]]&gt;50,4)</f>
        <v>4</v>
      </c>
    </row>
    <row r="985" spans="1:26" x14ac:dyDescent="0.35">
      <c r="A985" s="2" t="s">
        <v>0</v>
      </c>
      <c r="B985" s="2" t="s">
        <v>1</v>
      </c>
      <c r="C985" s="2" t="s">
        <v>2</v>
      </c>
      <c r="D985" s="2" t="s">
        <v>3</v>
      </c>
      <c r="E985" s="2" t="s">
        <v>4</v>
      </c>
      <c r="F985" s="2" t="s">
        <v>5</v>
      </c>
      <c r="G985" s="2" t="s">
        <v>6</v>
      </c>
      <c r="H985" s="2" t="s">
        <v>7</v>
      </c>
      <c r="I985" s="2" t="s">
        <v>3389</v>
      </c>
      <c r="J985" s="3">
        <v>99.99</v>
      </c>
      <c r="K985" s="3">
        <v>42.31</v>
      </c>
      <c r="L985" s="2" t="s">
        <v>8</v>
      </c>
      <c r="M985" s="2" t="s">
        <v>9</v>
      </c>
      <c r="N985" s="3">
        <v>652</v>
      </c>
      <c r="O985" s="2" t="s">
        <v>10</v>
      </c>
      <c r="P985" s="2" t="s">
        <v>11</v>
      </c>
      <c r="Q985" s="3"/>
      <c r="R985" s="3"/>
      <c r="S985" s="2" t="s">
        <v>12</v>
      </c>
      <c r="T985" s="4">
        <v>44955</v>
      </c>
      <c r="U985" s="2" t="s">
        <v>13</v>
      </c>
      <c r="V985" s="6">
        <f>(Real_Sales[[#This Row],[Price_retail]]-Real_Sales[[#This Row],[Price_current]])/Real_Sales[[#This Row],[Price_retail]]</f>
        <v>0.57685768576857677</v>
      </c>
      <c r="W985" s="3" t="str" cm="1">
        <f t="array" ref="W985">_xlfn.IFS(Real_Sales[[#This Row],[Discount]]=0%,"No Discount",Real_Sales[[#This Row],[Discount]]&lt;=20%,"Light",Real_Sales[[#This Row],[Discount]]&lt;=50%,"Moderate",Real_Sales[[#This Row],[Discount]]&lt;=80%,"High",
TRUE,"Very High")</f>
        <v>High</v>
      </c>
      <c r="X985" s="2" t="str">
        <f>IF(Real_Sales[[#This Row],[Price_retail]]&gt;$AC$3,"Premium","Average")</f>
        <v>Premium</v>
      </c>
      <c r="Y985" s="2" t="str">
        <f>IF(ISNUMBER(SEARCH("Basic",Real_Sales[[#This Row],[Product_name]])),"Yes","No")</f>
        <v>No</v>
      </c>
      <c r="Z985" s="2" cm="1">
        <f t="array" ref="Z985">_xlfn.IFS(Real_Sales[[#This Row],[Price_retail]]&lt;=15,1, Real_Sales[[#This Row],[Price_retail]]&lt;=30,2, Real_Sales[[#This Row],[Price_retail]]&lt;=50,3,Real_Sales[[#This Row],[Price_retail]]&gt;50,4)</f>
        <v>4</v>
      </c>
    </row>
    <row r="986" spans="1:26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3"/>
      <c r="K986" s="3"/>
      <c r="L986" s="2"/>
      <c r="M986" s="2"/>
      <c r="N986" s="3"/>
      <c r="O986" s="2"/>
      <c r="P986" s="2"/>
      <c r="Q986" s="3"/>
      <c r="R986" s="3"/>
      <c r="S986" s="2"/>
      <c r="T986" s="4"/>
      <c r="U986" s="2"/>
      <c r="V986" s="17"/>
      <c r="W986" s="2"/>
      <c r="X986" s="2"/>
      <c r="Y986" s="2"/>
      <c r="Z986" s="2"/>
    </row>
  </sheetData>
  <phoneticPr fontId="4" type="noConversion"/>
  <conditionalFormatting sqref="V2:V1048576">
    <cfRule type="cellIs" dxfId="0" priority="1" operator="greaterThan">
      <formula>0.4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8B0A-AF21-4900-9452-2D649CF70DD9}">
  <dimension ref="A1:W997"/>
  <sheetViews>
    <sheetView topLeftCell="L1" workbookViewId="0">
      <selection activeCell="W3" sqref="W3"/>
    </sheetView>
  </sheetViews>
  <sheetFormatPr defaultRowHeight="14.5" x14ac:dyDescent="0.35"/>
  <cols>
    <col min="1" max="1" width="8.54296875" bestFit="1" customWidth="1"/>
    <col min="2" max="2" width="79.08984375" hidden="1" customWidth="1"/>
    <col min="3" max="3" width="23.26953125" bestFit="1" customWidth="1"/>
    <col min="4" max="4" width="31.54296875" bestFit="1" customWidth="1"/>
    <col min="5" max="5" width="19.54296875" bestFit="1" customWidth="1"/>
    <col min="6" max="6" width="13.36328125" bestFit="1" customWidth="1"/>
    <col min="7" max="7" width="17.36328125" bestFit="1" customWidth="1"/>
    <col min="8" max="8" width="12.36328125" bestFit="1" customWidth="1"/>
    <col min="9" max="9" width="12" bestFit="1" customWidth="1"/>
    <col min="10" max="10" width="12.54296875" bestFit="1" customWidth="1"/>
    <col min="11" max="11" width="14.36328125" bestFit="1" customWidth="1"/>
    <col min="12" max="12" width="12.1796875" bestFit="1" customWidth="1"/>
    <col min="13" max="13" width="10.54296875" bestFit="1" customWidth="1"/>
    <col min="14" max="14" width="16.90625" bestFit="1" customWidth="1"/>
    <col min="15" max="15" width="8.36328125" bestFit="1" customWidth="1"/>
    <col min="16" max="16" width="15.7265625" bestFit="1" customWidth="1"/>
    <col min="17" max="17" width="12.08984375" bestFit="1" customWidth="1"/>
    <col min="18" max="18" width="13" bestFit="1" customWidth="1"/>
    <col min="19" max="19" width="10.1796875" bestFit="1" customWidth="1"/>
    <col min="20" max="20" width="11.7265625" bestFit="1" customWidth="1"/>
    <col min="21" max="21" width="37.1796875" hidden="1" customWidth="1"/>
    <col min="22" max="22" width="11.08984375" style="5" customWidth="1"/>
    <col min="23" max="23" width="16.7265625" customWidth="1"/>
  </cols>
  <sheetData>
    <row r="1" spans="1:23" x14ac:dyDescent="0.35">
      <c r="A1" t="s">
        <v>3368</v>
      </c>
      <c r="B1" t="s">
        <v>3369</v>
      </c>
      <c r="C1" t="s">
        <v>3370</v>
      </c>
      <c r="D1" t="s">
        <v>3371</v>
      </c>
      <c r="E1" t="s">
        <v>3372</v>
      </c>
      <c r="F1" t="s">
        <v>3373</v>
      </c>
      <c r="G1" t="s">
        <v>3374</v>
      </c>
      <c r="H1" t="s">
        <v>3375</v>
      </c>
      <c r="I1" t="s">
        <v>3376</v>
      </c>
      <c r="J1" t="s">
        <v>3377</v>
      </c>
      <c r="K1" t="s">
        <v>3378</v>
      </c>
      <c r="L1" t="s">
        <v>3379</v>
      </c>
      <c r="M1" t="s">
        <v>3380</v>
      </c>
      <c r="N1" t="s">
        <v>3381</v>
      </c>
      <c r="O1" t="s">
        <v>3382</v>
      </c>
      <c r="P1" t="s">
        <v>3383</v>
      </c>
      <c r="Q1" t="s">
        <v>3384</v>
      </c>
      <c r="R1" t="s">
        <v>3385</v>
      </c>
      <c r="S1" t="s">
        <v>3386</v>
      </c>
      <c r="T1" t="s">
        <v>3387</v>
      </c>
      <c r="U1" t="s">
        <v>3388</v>
      </c>
      <c r="V1" t="s">
        <v>3435</v>
      </c>
      <c r="W1" t="s">
        <v>3436</v>
      </c>
    </row>
    <row r="2" spans="1:23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3389</v>
      </c>
      <c r="J2" s="3">
        <v>99.99</v>
      </c>
      <c r="K2" s="3">
        <v>42.31</v>
      </c>
      <c r="L2" s="2" t="s">
        <v>8</v>
      </c>
      <c r="M2" s="2" t="s">
        <v>9</v>
      </c>
      <c r="N2" s="3">
        <v>652</v>
      </c>
      <c r="O2" s="2" t="s">
        <v>10</v>
      </c>
      <c r="P2" s="2" t="s">
        <v>11</v>
      </c>
      <c r="Q2" s="3"/>
      <c r="R2" s="3"/>
      <c r="S2" s="2" t="s">
        <v>12</v>
      </c>
      <c r="T2" s="4">
        <v>44955</v>
      </c>
      <c r="U2" s="2" t="s">
        <v>13</v>
      </c>
      <c r="V2" s="6">
        <f>(Sales[[#This Row],[Price_retail]]-Sales[[#This Row],[Price_current]])/Sales[[#This Row],[Price_retail]]</f>
        <v>0.57685768576857677</v>
      </c>
      <c r="W2" s="3" t="str" cm="1">
        <f t="array" ref="W2">_xlfn.IFS(Sales[[#This Row],[Discount]]=0%,"No Discount",Sales[[#This Row],[Discount]]&lt;=20%,"Light",Sales[[#This Row],[Discount]]&lt;=50%,"Moderate",Sales[[#This Row],[Discount]]&lt;=80%,"High",
TRUE,"Very High")</f>
        <v>High</v>
      </c>
    </row>
    <row r="3" spans="1:23" x14ac:dyDescent="0.35">
      <c r="A3" s="2" t="s">
        <v>14</v>
      </c>
      <c r="B3" s="2" t="s">
        <v>15</v>
      </c>
      <c r="C3" s="2" t="s">
        <v>2915</v>
      </c>
      <c r="D3" s="2" t="s">
        <v>16</v>
      </c>
      <c r="E3" s="2" t="s">
        <v>4</v>
      </c>
      <c r="F3" s="2" t="s">
        <v>17</v>
      </c>
      <c r="G3" s="2" t="s">
        <v>18</v>
      </c>
      <c r="H3" s="2" t="s">
        <v>19</v>
      </c>
      <c r="I3" s="2" t="s">
        <v>3390</v>
      </c>
      <c r="J3" s="3">
        <v>22.03</v>
      </c>
      <c r="K3" s="3">
        <v>22.03</v>
      </c>
      <c r="L3" s="2" t="s">
        <v>3391</v>
      </c>
      <c r="M3" s="2" t="s">
        <v>9</v>
      </c>
      <c r="N3" s="3">
        <v>316</v>
      </c>
      <c r="O3" s="2" t="s">
        <v>20</v>
      </c>
      <c r="P3" s="2" t="s">
        <v>3392</v>
      </c>
      <c r="Q3" s="3"/>
      <c r="R3" s="3"/>
      <c r="S3" s="2" t="s">
        <v>21</v>
      </c>
      <c r="T3" s="4">
        <v>44955</v>
      </c>
      <c r="U3" s="2" t="s">
        <v>22</v>
      </c>
      <c r="V3" s="6">
        <f>(Sales[[#This Row],[Price_retail]]-Sales[[#This Row],[Price_current]])/Sales[[#This Row],[Price_retail]]</f>
        <v>0</v>
      </c>
      <c r="W3" s="3" t="str" cm="1">
        <f t="array" ref="W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" spans="1:23" x14ac:dyDescent="0.35">
      <c r="A4" s="2" t="s">
        <v>23</v>
      </c>
      <c r="B4" s="2" t="s">
        <v>24</v>
      </c>
      <c r="C4" s="2" t="s">
        <v>25</v>
      </c>
      <c r="D4" s="2" t="s">
        <v>26</v>
      </c>
      <c r="E4" s="2" t="s">
        <v>4</v>
      </c>
      <c r="F4" s="2" t="s">
        <v>17</v>
      </c>
      <c r="G4" s="2" t="s">
        <v>27</v>
      </c>
      <c r="H4" s="2" t="s">
        <v>28</v>
      </c>
      <c r="I4" s="2" t="s">
        <v>3393</v>
      </c>
      <c r="J4" s="3">
        <v>26.38</v>
      </c>
      <c r="K4" s="3">
        <v>26.38</v>
      </c>
      <c r="L4" s="2" t="s">
        <v>3391</v>
      </c>
      <c r="M4" s="2" t="s">
        <v>9</v>
      </c>
      <c r="N4" s="3">
        <v>990</v>
      </c>
      <c r="O4" s="2" t="s">
        <v>29</v>
      </c>
      <c r="P4" s="2" t="s">
        <v>30</v>
      </c>
      <c r="Q4" s="3"/>
      <c r="R4" s="3"/>
      <c r="S4" s="2" t="s">
        <v>21</v>
      </c>
      <c r="T4" s="4">
        <v>44955</v>
      </c>
      <c r="U4" s="2" t="s">
        <v>31</v>
      </c>
      <c r="V4" s="6">
        <f>(Sales[[#This Row],[Price_retail]]-Sales[[#This Row],[Price_current]])/Sales[[#This Row],[Price_retail]]</f>
        <v>0</v>
      </c>
      <c r="W4" s="3" t="str" cm="1">
        <f t="array" ref="W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" spans="1:23" x14ac:dyDescent="0.35">
      <c r="A5" s="2" t="s">
        <v>32</v>
      </c>
      <c r="B5" s="2" t="s">
        <v>33</v>
      </c>
      <c r="C5" s="2" t="s">
        <v>3394</v>
      </c>
      <c r="D5" s="2" t="s">
        <v>34</v>
      </c>
      <c r="E5" s="2" t="s">
        <v>4</v>
      </c>
      <c r="F5" s="2" t="s">
        <v>17</v>
      </c>
      <c r="G5" s="2" t="s">
        <v>27</v>
      </c>
      <c r="H5" s="2" t="s">
        <v>35</v>
      </c>
      <c r="I5" s="2" t="s">
        <v>3395</v>
      </c>
      <c r="J5" s="3">
        <v>21.05</v>
      </c>
      <c r="K5" s="3">
        <v>12.67</v>
      </c>
      <c r="L5" s="2" t="s">
        <v>8</v>
      </c>
      <c r="M5" s="2" t="s">
        <v>9</v>
      </c>
      <c r="N5" s="3">
        <v>473</v>
      </c>
      <c r="O5" s="2" t="s">
        <v>36</v>
      </c>
      <c r="P5" s="2" t="s">
        <v>37</v>
      </c>
      <c r="Q5" s="3"/>
      <c r="R5" s="3"/>
      <c r="S5" s="2" t="s">
        <v>21</v>
      </c>
      <c r="T5" s="4">
        <v>44955</v>
      </c>
      <c r="U5" s="2" t="s">
        <v>38</v>
      </c>
      <c r="V5" s="6">
        <f>(Sales[[#This Row],[Price_retail]]-Sales[[#This Row],[Price_current]])/Sales[[#This Row],[Price_retail]]</f>
        <v>0.39809976247030882</v>
      </c>
      <c r="W5" s="3" t="str" cm="1">
        <f t="array" ref="W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" spans="1:23" x14ac:dyDescent="0.35">
      <c r="A6" s="2" t="s">
        <v>39</v>
      </c>
      <c r="B6" s="2" t="s">
        <v>40</v>
      </c>
      <c r="C6" s="2" t="s">
        <v>41</v>
      </c>
      <c r="D6" s="2" t="s">
        <v>42</v>
      </c>
      <c r="E6" s="2" t="s">
        <v>4</v>
      </c>
      <c r="F6" s="2" t="s">
        <v>5</v>
      </c>
      <c r="G6" s="2" t="s">
        <v>6</v>
      </c>
      <c r="H6" s="2" t="s">
        <v>19</v>
      </c>
      <c r="I6" s="2" t="s">
        <v>3393</v>
      </c>
      <c r="J6" s="3">
        <v>32.81</v>
      </c>
      <c r="K6" s="3">
        <v>13.19</v>
      </c>
      <c r="L6" s="2" t="s">
        <v>8</v>
      </c>
      <c r="M6" s="2" t="s">
        <v>9</v>
      </c>
      <c r="N6" s="3">
        <v>535</v>
      </c>
      <c r="O6" s="2" t="s">
        <v>43</v>
      </c>
      <c r="P6" s="2" t="s">
        <v>44</v>
      </c>
      <c r="Q6" s="3"/>
      <c r="R6" s="3"/>
      <c r="S6" s="2" t="s">
        <v>21</v>
      </c>
      <c r="T6" s="4">
        <v>44955</v>
      </c>
      <c r="U6" s="2" t="s">
        <v>45</v>
      </c>
      <c r="V6" s="6">
        <f>(Sales[[#This Row],[Price_retail]]-Sales[[#This Row],[Price_current]])/Sales[[#This Row],[Price_retail]]</f>
        <v>0.59798841816519366</v>
      </c>
      <c r="W6" s="3" t="str" cm="1">
        <f t="array" ref="W6">_xlfn.IFS(Sales[[#This Row],[Discount]]=0%,"No Discount",Sales[[#This Row],[Discount]]&lt;=20%,"Light",Sales[[#This Row],[Discount]]&lt;=50%,"Moderate",Sales[[#This Row],[Discount]]&lt;=80%,"High",
TRUE,"Very High")</f>
        <v>High</v>
      </c>
    </row>
    <row r="7" spans="1:23" x14ac:dyDescent="0.35">
      <c r="A7" s="2" t="s">
        <v>46</v>
      </c>
      <c r="B7" s="2" t="s">
        <v>47</v>
      </c>
      <c r="C7" s="2" t="s">
        <v>48</v>
      </c>
      <c r="D7" s="2" t="s">
        <v>49</v>
      </c>
      <c r="E7" s="2" t="s">
        <v>4</v>
      </c>
      <c r="F7" s="2" t="s">
        <v>17</v>
      </c>
      <c r="G7" s="2" t="s">
        <v>50</v>
      </c>
      <c r="H7" s="2" t="s">
        <v>51</v>
      </c>
      <c r="I7" s="2" t="s">
        <v>3393</v>
      </c>
      <c r="J7" s="3">
        <v>16.77</v>
      </c>
      <c r="K7" s="3">
        <v>16.77</v>
      </c>
      <c r="L7" s="2" t="s">
        <v>3391</v>
      </c>
      <c r="M7" s="2" t="s">
        <v>9</v>
      </c>
      <c r="N7" s="3">
        <v>497</v>
      </c>
      <c r="O7" s="2" t="s">
        <v>52</v>
      </c>
      <c r="P7" s="2" t="s">
        <v>53</v>
      </c>
      <c r="Q7" s="3"/>
      <c r="R7" s="3"/>
      <c r="S7" s="2" t="s">
        <v>21</v>
      </c>
      <c r="T7" s="4">
        <v>44955</v>
      </c>
      <c r="U7" s="2" t="s">
        <v>54</v>
      </c>
      <c r="V7" s="6">
        <f>(Sales[[#This Row],[Price_retail]]-Sales[[#This Row],[Price_current]])/Sales[[#This Row],[Price_retail]]</f>
        <v>0</v>
      </c>
      <c r="W7" s="3" t="str" cm="1">
        <f t="array" ref="W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" spans="1:23" x14ac:dyDescent="0.35">
      <c r="A8" s="2" t="s">
        <v>55</v>
      </c>
      <c r="B8" s="2" t="s">
        <v>56</v>
      </c>
      <c r="C8" s="2" t="s">
        <v>57</v>
      </c>
      <c r="D8" s="2" t="s">
        <v>58</v>
      </c>
      <c r="E8" s="2" t="s">
        <v>4</v>
      </c>
      <c r="F8" s="2" t="s">
        <v>17</v>
      </c>
      <c r="G8" s="2" t="s">
        <v>18</v>
      </c>
      <c r="H8" s="2" t="s">
        <v>59</v>
      </c>
      <c r="I8" s="2" t="s">
        <v>3390</v>
      </c>
      <c r="J8" s="3">
        <v>10.3</v>
      </c>
      <c r="K8" s="3">
        <v>7.86</v>
      </c>
      <c r="L8" s="2" t="s">
        <v>8</v>
      </c>
      <c r="M8" s="2" t="s">
        <v>9</v>
      </c>
      <c r="N8" s="3">
        <v>524</v>
      </c>
      <c r="O8" s="2" t="s">
        <v>60</v>
      </c>
      <c r="P8" s="2" t="s">
        <v>61</v>
      </c>
      <c r="Q8" s="3"/>
      <c r="R8" s="3"/>
      <c r="S8" s="2" t="s">
        <v>12</v>
      </c>
      <c r="T8" s="4">
        <v>44955</v>
      </c>
      <c r="U8" s="2" t="s">
        <v>62</v>
      </c>
      <c r="V8" s="6">
        <f>(Sales[[#This Row],[Price_retail]]-Sales[[#This Row],[Price_current]])/Sales[[#This Row],[Price_retail]]</f>
        <v>0.23689320388349516</v>
      </c>
      <c r="W8" s="3" t="str" cm="1">
        <f t="array" ref="W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" spans="1:23" x14ac:dyDescent="0.35">
      <c r="A9" s="2" t="s">
        <v>63</v>
      </c>
      <c r="B9" s="2" t="s">
        <v>64</v>
      </c>
      <c r="C9" s="2" t="s">
        <v>65</v>
      </c>
      <c r="D9" s="2" t="s">
        <v>66</v>
      </c>
      <c r="E9" s="2" t="s">
        <v>4</v>
      </c>
      <c r="F9" s="2" t="s">
        <v>17</v>
      </c>
      <c r="G9" s="2" t="s">
        <v>67</v>
      </c>
      <c r="H9" s="2" t="s">
        <v>68</v>
      </c>
      <c r="I9" s="2" t="s">
        <v>3393</v>
      </c>
      <c r="J9" s="3">
        <v>15.61</v>
      </c>
      <c r="K9" s="3">
        <v>15.61</v>
      </c>
      <c r="L9" s="2" t="s">
        <v>3391</v>
      </c>
      <c r="M9" s="2" t="s">
        <v>9</v>
      </c>
      <c r="N9" s="3">
        <v>963</v>
      </c>
      <c r="O9" s="2" t="s">
        <v>69</v>
      </c>
      <c r="P9" s="2" t="s">
        <v>70</v>
      </c>
      <c r="Q9" s="3"/>
      <c r="R9" s="3"/>
      <c r="S9" s="2" t="s">
        <v>21</v>
      </c>
      <c r="T9" s="4">
        <v>44955</v>
      </c>
      <c r="U9" s="2" t="s">
        <v>71</v>
      </c>
      <c r="V9" s="6">
        <f>(Sales[[#This Row],[Price_retail]]-Sales[[#This Row],[Price_current]])/Sales[[#This Row],[Price_retail]]</f>
        <v>0</v>
      </c>
      <c r="W9" s="3" t="str" cm="1">
        <f t="array" ref="W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" spans="1:23" x14ac:dyDescent="0.35">
      <c r="A10" s="2" t="s">
        <v>72</v>
      </c>
      <c r="B10" s="2" t="s">
        <v>73</v>
      </c>
      <c r="C10" s="2" t="s">
        <v>3394</v>
      </c>
      <c r="D10" s="2" t="s">
        <v>74</v>
      </c>
      <c r="E10" s="2" t="s">
        <v>4</v>
      </c>
      <c r="F10" s="2" t="s">
        <v>17</v>
      </c>
      <c r="G10" s="2" t="s">
        <v>27</v>
      </c>
      <c r="H10" s="2" t="s">
        <v>35</v>
      </c>
      <c r="I10" s="2" t="s">
        <v>3390</v>
      </c>
      <c r="J10" s="3">
        <v>15.06</v>
      </c>
      <c r="K10" s="3">
        <v>6.31</v>
      </c>
      <c r="L10" s="2" t="s">
        <v>8</v>
      </c>
      <c r="M10" s="2" t="s">
        <v>9</v>
      </c>
      <c r="N10" s="3">
        <v>557</v>
      </c>
      <c r="O10" s="2" t="s">
        <v>75</v>
      </c>
      <c r="P10" s="2" t="s">
        <v>76</v>
      </c>
      <c r="Q10" s="3"/>
      <c r="R10" s="3"/>
      <c r="S10" s="2" t="s">
        <v>12</v>
      </c>
      <c r="T10" s="4">
        <v>44955</v>
      </c>
      <c r="U10" s="2" t="s">
        <v>77</v>
      </c>
      <c r="V10" s="6">
        <f>(Sales[[#This Row],[Price_retail]]-Sales[[#This Row],[Price_current]])/Sales[[#This Row],[Price_retail]]</f>
        <v>0.58100929614873831</v>
      </c>
      <c r="W10" s="3" t="str" cm="1">
        <f t="array" ref="W10">_xlfn.IFS(Sales[[#This Row],[Discount]]=0%,"No Discount",Sales[[#This Row],[Discount]]&lt;=20%,"Light",Sales[[#This Row],[Discount]]&lt;=50%,"Moderate",Sales[[#This Row],[Discount]]&lt;=80%,"High",
TRUE,"Very High")</f>
        <v>High</v>
      </c>
    </row>
    <row r="11" spans="1:23" x14ac:dyDescent="0.35">
      <c r="A11" s="2" t="s">
        <v>78</v>
      </c>
      <c r="B11" s="2" t="s">
        <v>79</v>
      </c>
      <c r="C11" s="2" t="s">
        <v>80</v>
      </c>
      <c r="D11" s="2" t="s">
        <v>81</v>
      </c>
      <c r="E11" s="2" t="s">
        <v>4</v>
      </c>
      <c r="F11" s="2" t="s">
        <v>5</v>
      </c>
      <c r="G11" s="2" t="s">
        <v>82</v>
      </c>
      <c r="H11" s="2" t="s">
        <v>83</v>
      </c>
      <c r="I11" s="2" t="s">
        <v>3390</v>
      </c>
      <c r="J11" s="3">
        <v>8.99</v>
      </c>
      <c r="K11" s="3">
        <v>8.99</v>
      </c>
      <c r="L11" s="2" t="s">
        <v>3391</v>
      </c>
      <c r="M11" s="2" t="s">
        <v>9</v>
      </c>
      <c r="N11" s="3">
        <v>741</v>
      </c>
      <c r="O11" s="2" t="s">
        <v>69</v>
      </c>
      <c r="P11" s="2" t="s">
        <v>84</v>
      </c>
      <c r="Q11" s="3"/>
      <c r="R11" s="3"/>
      <c r="S11" s="2" t="s">
        <v>12</v>
      </c>
      <c r="T11" s="4">
        <v>44955</v>
      </c>
      <c r="U11" s="2" t="s">
        <v>85</v>
      </c>
      <c r="V11" s="6">
        <f>(Sales[[#This Row],[Price_retail]]-Sales[[#This Row],[Price_current]])/Sales[[#This Row],[Price_retail]]</f>
        <v>0</v>
      </c>
      <c r="W11" s="3" t="str" cm="1">
        <f t="array" ref="W1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" spans="1:23" x14ac:dyDescent="0.35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4</v>
      </c>
      <c r="F12" s="2" t="s">
        <v>5</v>
      </c>
      <c r="G12" s="2" t="s">
        <v>6</v>
      </c>
      <c r="H12" s="2" t="s">
        <v>90</v>
      </c>
      <c r="I12" s="2" t="s">
        <v>3393</v>
      </c>
      <c r="J12" s="3">
        <v>11.49</v>
      </c>
      <c r="K12" s="3">
        <v>8.2200000000000006</v>
      </c>
      <c r="L12" s="2" t="s">
        <v>8</v>
      </c>
      <c r="M12" s="2" t="s">
        <v>9</v>
      </c>
      <c r="N12" s="3">
        <v>442</v>
      </c>
      <c r="O12" s="2" t="s">
        <v>91</v>
      </c>
      <c r="P12" s="2" t="s">
        <v>92</v>
      </c>
      <c r="Q12" s="3"/>
      <c r="R12" s="3"/>
      <c r="S12" s="2" t="s">
        <v>12</v>
      </c>
      <c r="T12" s="4">
        <v>44955</v>
      </c>
      <c r="U12" s="2" t="s">
        <v>93</v>
      </c>
      <c r="V12" s="6">
        <f>(Sales[[#This Row],[Price_retail]]-Sales[[#This Row],[Price_current]])/Sales[[#This Row],[Price_retail]]</f>
        <v>0.28459530026109658</v>
      </c>
      <c r="W12" s="3" t="str" cm="1">
        <f t="array" ref="W1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3" spans="1:23" x14ac:dyDescent="0.35">
      <c r="A13" s="2" t="s">
        <v>94</v>
      </c>
      <c r="B13" s="2" t="s">
        <v>95</v>
      </c>
      <c r="C13" s="2" t="s">
        <v>96</v>
      </c>
      <c r="D13" s="2" t="s">
        <v>97</v>
      </c>
      <c r="E13" s="2" t="s">
        <v>4</v>
      </c>
      <c r="F13" s="2" t="s">
        <v>5</v>
      </c>
      <c r="G13" s="2" t="s">
        <v>82</v>
      </c>
      <c r="H13" s="2" t="s">
        <v>90</v>
      </c>
      <c r="I13" s="2" t="s">
        <v>3393</v>
      </c>
      <c r="J13" s="3">
        <v>18.59</v>
      </c>
      <c r="K13" s="3">
        <v>13.08</v>
      </c>
      <c r="L13" s="2" t="s">
        <v>8</v>
      </c>
      <c r="M13" s="2" t="s">
        <v>9</v>
      </c>
      <c r="N13" s="3">
        <v>793</v>
      </c>
      <c r="O13" s="2" t="s">
        <v>98</v>
      </c>
      <c r="P13" s="2" t="s">
        <v>76</v>
      </c>
      <c r="Q13" s="3"/>
      <c r="R13" s="3"/>
      <c r="S13" s="2" t="s">
        <v>21</v>
      </c>
      <c r="T13" s="4">
        <v>44955</v>
      </c>
      <c r="U13" s="2" t="s">
        <v>99</v>
      </c>
      <c r="V13" s="6">
        <f>(Sales[[#This Row],[Price_retail]]-Sales[[#This Row],[Price_current]])/Sales[[#This Row],[Price_retail]]</f>
        <v>0.29639591178052715</v>
      </c>
      <c r="W13" s="3" t="str" cm="1">
        <f t="array" ref="W1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4" spans="1:23" x14ac:dyDescent="0.35">
      <c r="A14" s="2" t="s">
        <v>100</v>
      </c>
      <c r="B14" s="2" t="s">
        <v>101</v>
      </c>
      <c r="C14" s="2" t="s">
        <v>102</v>
      </c>
      <c r="D14" s="2" t="s">
        <v>103</v>
      </c>
      <c r="E14" s="2" t="s">
        <v>4</v>
      </c>
      <c r="F14" s="2" t="s">
        <v>17</v>
      </c>
      <c r="G14" s="2" t="s">
        <v>50</v>
      </c>
      <c r="H14" s="2" t="s">
        <v>19</v>
      </c>
      <c r="I14" s="2" t="s">
        <v>3390</v>
      </c>
      <c r="J14" s="3">
        <v>12.39</v>
      </c>
      <c r="K14" s="3">
        <v>12.39</v>
      </c>
      <c r="L14" s="2" t="s">
        <v>3391</v>
      </c>
      <c r="M14" s="2" t="s">
        <v>9</v>
      </c>
      <c r="N14" s="3">
        <v>217</v>
      </c>
      <c r="O14" s="2" t="s">
        <v>104</v>
      </c>
      <c r="P14" s="2" t="s">
        <v>92</v>
      </c>
      <c r="Q14" s="3"/>
      <c r="R14" s="3"/>
      <c r="S14" s="2" t="s">
        <v>21</v>
      </c>
      <c r="T14" s="4">
        <v>44955</v>
      </c>
      <c r="U14" s="2" t="s">
        <v>105</v>
      </c>
      <c r="V14" s="6">
        <f>(Sales[[#This Row],[Price_retail]]-Sales[[#This Row],[Price_current]])/Sales[[#This Row],[Price_retail]]</f>
        <v>0</v>
      </c>
      <c r="W14" s="3" t="str" cm="1">
        <f t="array" ref="W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" spans="1:23" x14ac:dyDescent="0.35">
      <c r="A15" s="2" t="s">
        <v>106</v>
      </c>
      <c r="B15" s="2" t="s">
        <v>107</v>
      </c>
      <c r="C15" s="2" t="s">
        <v>108</v>
      </c>
      <c r="D15" s="2" t="s">
        <v>109</v>
      </c>
      <c r="E15" s="2" t="s">
        <v>4</v>
      </c>
      <c r="F15" s="2" t="s">
        <v>5</v>
      </c>
      <c r="G15" s="2" t="s">
        <v>82</v>
      </c>
      <c r="H15" s="2" t="s">
        <v>110</v>
      </c>
      <c r="I15" s="2" t="s">
        <v>3393</v>
      </c>
      <c r="J15" s="3">
        <v>10.96</v>
      </c>
      <c r="K15" s="3">
        <v>10.96</v>
      </c>
      <c r="L15" s="2" t="s">
        <v>3391</v>
      </c>
      <c r="M15" s="2" t="s">
        <v>9</v>
      </c>
      <c r="N15" s="3">
        <v>706</v>
      </c>
      <c r="O15" s="2" t="s">
        <v>104</v>
      </c>
      <c r="P15" s="2" t="s">
        <v>37</v>
      </c>
      <c r="Q15" s="3"/>
      <c r="R15" s="3"/>
      <c r="S15" s="2" t="s">
        <v>21</v>
      </c>
      <c r="T15" s="4">
        <v>44955</v>
      </c>
      <c r="U15" s="2" t="s">
        <v>111</v>
      </c>
      <c r="V15" s="6">
        <f>(Sales[[#This Row],[Price_retail]]-Sales[[#This Row],[Price_current]])/Sales[[#This Row],[Price_retail]]</f>
        <v>0</v>
      </c>
      <c r="W15" s="3" t="str" cm="1">
        <f t="array" ref="W1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6" spans="1:23" x14ac:dyDescent="0.35">
      <c r="A16" s="2" t="s">
        <v>112</v>
      </c>
      <c r="B16" s="2" t="s">
        <v>113</v>
      </c>
      <c r="C16" s="2" t="s">
        <v>114</v>
      </c>
      <c r="D16" s="2" t="s">
        <v>115</v>
      </c>
      <c r="E16" s="2" t="s">
        <v>4</v>
      </c>
      <c r="F16" s="2" t="s">
        <v>17</v>
      </c>
      <c r="G16" s="2" t="s">
        <v>50</v>
      </c>
      <c r="H16" s="2" t="s">
        <v>90</v>
      </c>
      <c r="I16" s="2" t="s">
        <v>3393</v>
      </c>
      <c r="J16" s="3">
        <v>25.82</v>
      </c>
      <c r="K16" s="3">
        <v>17.670000000000002</v>
      </c>
      <c r="L16" s="2" t="s">
        <v>8</v>
      </c>
      <c r="M16" s="2" t="s">
        <v>9</v>
      </c>
      <c r="N16" s="3">
        <v>713</v>
      </c>
      <c r="O16" s="2" t="s">
        <v>91</v>
      </c>
      <c r="P16" s="2" t="s">
        <v>44</v>
      </c>
      <c r="Q16" s="3"/>
      <c r="R16" s="3"/>
      <c r="S16" s="2" t="s">
        <v>21</v>
      </c>
      <c r="T16" s="4">
        <v>44955</v>
      </c>
      <c r="U16" s="2" t="s">
        <v>116</v>
      </c>
      <c r="V16" s="6">
        <f>(Sales[[#This Row],[Price_retail]]-Sales[[#This Row],[Price_current]])/Sales[[#This Row],[Price_retail]]</f>
        <v>0.31564678543764518</v>
      </c>
      <c r="W16" s="3" t="str" cm="1">
        <f t="array" ref="W1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7" spans="1:23" x14ac:dyDescent="0.35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4</v>
      </c>
      <c r="F17" s="2" t="s">
        <v>5</v>
      </c>
      <c r="G17" s="2" t="s">
        <v>121</v>
      </c>
      <c r="H17" s="2" t="s">
        <v>35</v>
      </c>
      <c r="I17" s="2" t="s">
        <v>3390</v>
      </c>
      <c r="J17" s="3">
        <v>9.4499999999999993</v>
      </c>
      <c r="K17" s="3">
        <v>6.58</v>
      </c>
      <c r="L17" s="2" t="s">
        <v>8</v>
      </c>
      <c r="M17" s="2" t="s">
        <v>9</v>
      </c>
      <c r="N17" s="3">
        <v>106</v>
      </c>
      <c r="O17" s="2" t="s">
        <v>52</v>
      </c>
      <c r="P17" s="2" t="s">
        <v>122</v>
      </c>
      <c r="Q17" s="3"/>
      <c r="R17" s="3"/>
      <c r="S17" s="2" t="s">
        <v>21</v>
      </c>
      <c r="T17" s="4">
        <v>44955</v>
      </c>
      <c r="U17" s="2" t="s">
        <v>123</v>
      </c>
      <c r="V17" s="6">
        <f>(Sales[[#This Row],[Price_retail]]-Sales[[#This Row],[Price_current]])/Sales[[#This Row],[Price_retail]]</f>
        <v>0.30370370370370364</v>
      </c>
      <c r="W17" s="3" t="str" cm="1">
        <f t="array" ref="W1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8" spans="1:23" x14ac:dyDescent="0.35">
      <c r="A18" s="2" t="s">
        <v>124</v>
      </c>
      <c r="B18" s="2" t="s">
        <v>125</v>
      </c>
      <c r="C18" s="2" t="s">
        <v>126</v>
      </c>
      <c r="D18" s="2" t="s">
        <v>127</v>
      </c>
      <c r="E18" s="2" t="s">
        <v>4</v>
      </c>
      <c r="F18" s="2" t="s">
        <v>5</v>
      </c>
      <c r="G18" s="2" t="s">
        <v>121</v>
      </c>
      <c r="H18" s="2" t="s">
        <v>110</v>
      </c>
      <c r="I18" s="2" t="s">
        <v>3393</v>
      </c>
      <c r="J18" s="3">
        <v>23.14</v>
      </c>
      <c r="K18" s="3">
        <v>23.14</v>
      </c>
      <c r="L18" s="2" t="s">
        <v>3391</v>
      </c>
      <c r="M18" s="2" t="s">
        <v>9</v>
      </c>
      <c r="N18" s="3">
        <v>9</v>
      </c>
      <c r="O18" s="2" t="s">
        <v>36</v>
      </c>
      <c r="P18" s="2" t="s">
        <v>128</v>
      </c>
      <c r="Q18" s="3"/>
      <c r="R18" s="3"/>
      <c r="S18" s="2" t="s">
        <v>21</v>
      </c>
      <c r="T18" s="4">
        <v>44955</v>
      </c>
      <c r="U18" s="2" t="s">
        <v>129</v>
      </c>
      <c r="V18" s="6">
        <f>(Sales[[#This Row],[Price_retail]]-Sales[[#This Row],[Price_current]])/Sales[[#This Row],[Price_retail]]</f>
        <v>0</v>
      </c>
      <c r="W18" s="3" t="str" cm="1">
        <f t="array" ref="W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" spans="1:23" x14ac:dyDescent="0.35">
      <c r="A19" s="2" t="s">
        <v>130</v>
      </c>
      <c r="B19" s="2" t="s">
        <v>131</v>
      </c>
      <c r="C19" s="2" t="s">
        <v>132</v>
      </c>
      <c r="D19" s="2" t="s">
        <v>133</v>
      </c>
      <c r="E19" s="2" t="s">
        <v>4</v>
      </c>
      <c r="F19" s="2" t="s">
        <v>17</v>
      </c>
      <c r="G19" s="2" t="s">
        <v>27</v>
      </c>
      <c r="H19" s="2" t="s">
        <v>134</v>
      </c>
      <c r="I19" s="2" t="s">
        <v>3395</v>
      </c>
      <c r="J19" s="3">
        <v>8.99</v>
      </c>
      <c r="K19" s="3">
        <v>5.93</v>
      </c>
      <c r="L19" s="2" t="s">
        <v>8</v>
      </c>
      <c r="M19" s="2" t="s">
        <v>9</v>
      </c>
      <c r="N19" s="3">
        <v>435</v>
      </c>
      <c r="O19" s="2" t="s">
        <v>3392</v>
      </c>
      <c r="P19" s="2" t="s">
        <v>70</v>
      </c>
      <c r="Q19" s="3"/>
      <c r="R19" s="3"/>
      <c r="S19" s="2" t="s">
        <v>21</v>
      </c>
      <c r="T19" s="4">
        <v>44955</v>
      </c>
      <c r="U19" s="2" t="s">
        <v>135</v>
      </c>
      <c r="V19" s="6">
        <f>(Sales[[#This Row],[Price_retail]]-Sales[[#This Row],[Price_current]])/Sales[[#This Row],[Price_retail]]</f>
        <v>0.34037819799777536</v>
      </c>
      <c r="W19" s="3" t="str" cm="1">
        <f t="array" ref="W1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" spans="1:23" x14ac:dyDescent="0.35">
      <c r="A20" s="2" t="s">
        <v>136</v>
      </c>
      <c r="B20" s="2" t="s">
        <v>137</v>
      </c>
      <c r="C20" s="2" t="s">
        <v>119</v>
      </c>
      <c r="D20" s="2" t="s">
        <v>138</v>
      </c>
      <c r="E20" s="2" t="s">
        <v>4</v>
      </c>
      <c r="F20" s="2" t="s">
        <v>5</v>
      </c>
      <c r="G20" s="2" t="s">
        <v>82</v>
      </c>
      <c r="H20" s="2" t="s">
        <v>139</v>
      </c>
      <c r="I20" s="2" t="s">
        <v>3390</v>
      </c>
      <c r="J20" s="3">
        <v>71.41</v>
      </c>
      <c r="K20" s="3">
        <v>52.82</v>
      </c>
      <c r="L20" s="2" t="s">
        <v>8</v>
      </c>
      <c r="M20" s="2" t="s">
        <v>9</v>
      </c>
      <c r="N20" s="3">
        <v>243</v>
      </c>
      <c r="O20" s="2" t="s">
        <v>140</v>
      </c>
      <c r="P20" s="2" t="s">
        <v>53</v>
      </c>
      <c r="Q20" s="3"/>
      <c r="R20" s="3"/>
      <c r="S20" s="2" t="s">
        <v>21</v>
      </c>
      <c r="T20" s="4">
        <v>44955</v>
      </c>
      <c r="U20" s="2" t="s">
        <v>141</v>
      </c>
      <c r="V20" s="6">
        <f>(Sales[[#This Row],[Price_retail]]-Sales[[#This Row],[Price_current]])/Sales[[#This Row],[Price_retail]]</f>
        <v>0.26032768519815147</v>
      </c>
      <c r="W20" s="3" t="str" cm="1">
        <f t="array" ref="W2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1" spans="1:23" x14ac:dyDescent="0.35">
      <c r="A21" s="2" t="s">
        <v>142</v>
      </c>
      <c r="B21" s="2" t="s">
        <v>143</v>
      </c>
      <c r="C21" s="2" t="s">
        <v>3394</v>
      </c>
      <c r="D21" s="2" t="s">
        <v>144</v>
      </c>
      <c r="E21" s="2" t="s">
        <v>4</v>
      </c>
      <c r="F21" s="2" t="s">
        <v>17</v>
      </c>
      <c r="G21" s="2" t="s">
        <v>50</v>
      </c>
      <c r="H21" s="2" t="s">
        <v>145</v>
      </c>
      <c r="I21" s="2" t="s">
        <v>3393</v>
      </c>
      <c r="J21" s="3">
        <v>13.89</v>
      </c>
      <c r="K21" s="3">
        <v>7.92</v>
      </c>
      <c r="L21" s="2" t="s">
        <v>8</v>
      </c>
      <c r="M21" s="2" t="s">
        <v>9</v>
      </c>
      <c r="N21" s="3">
        <v>293</v>
      </c>
      <c r="O21" s="2" t="s">
        <v>3392</v>
      </c>
      <c r="P21" s="2" t="s">
        <v>3392</v>
      </c>
      <c r="Q21" s="3"/>
      <c r="R21" s="3"/>
      <c r="S21" s="2" t="s">
        <v>21</v>
      </c>
      <c r="T21" s="4">
        <v>44955</v>
      </c>
      <c r="U21" s="2" t="s">
        <v>146</v>
      </c>
      <c r="V21" s="6">
        <f>(Sales[[#This Row],[Price_retail]]-Sales[[#This Row],[Price_current]])/Sales[[#This Row],[Price_retail]]</f>
        <v>0.42980561555075597</v>
      </c>
      <c r="W21" s="3" t="str" cm="1">
        <f t="array" ref="W2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2" spans="1:23" x14ac:dyDescent="0.35">
      <c r="A22" s="2" t="s">
        <v>147</v>
      </c>
      <c r="B22" s="2" t="s">
        <v>148</v>
      </c>
      <c r="C22" s="2" t="s">
        <v>126</v>
      </c>
      <c r="D22" s="2" t="s">
        <v>149</v>
      </c>
      <c r="E22" s="2" t="s">
        <v>4</v>
      </c>
      <c r="F22" s="2" t="s">
        <v>5</v>
      </c>
      <c r="G22" s="2" t="s">
        <v>6</v>
      </c>
      <c r="H22" s="2" t="s">
        <v>28</v>
      </c>
      <c r="I22" s="2" t="s">
        <v>3395</v>
      </c>
      <c r="J22" s="3">
        <v>13.09</v>
      </c>
      <c r="K22" s="3">
        <v>13.09</v>
      </c>
      <c r="L22" s="2" t="s">
        <v>3391</v>
      </c>
      <c r="M22" s="2" t="s">
        <v>9</v>
      </c>
      <c r="N22" s="3">
        <v>142</v>
      </c>
      <c r="O22" s="2" t="s">
        <v>3392</v>
      </c>
      <c r="P22" s="2" t="s">
        <v>84</v>
      </c>
      <c r="Q22" s="3"/>
      <c r="R22" s="3"/>
      <c r="S22" s="2" t="s">
        <v>12</v>
      </c>
      <c r="T22" s="4">
        <v>44955</v>
      </c>
      <c r="U22" s="2" t="s">
        <v>150</v>
      </c>
      <c r="V22" s="6">
        <f>(Sales[[#This Row],[Price_retail]]-Sales[[#This Row],[Price_current]])/Sales[[#This Row],[Price_retail]]</f>
        <v>0</v>
      </c>
      <c r="W22" s="3" t="str" cm="1">
        <f t="array" ref="W2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3" spans="1:23" x14ac:dyDescent="0.35">
      <c r="A23" s="2" t="s">
        <v>151</v>
      </c>
      <c r="B23" s="2" t="s">
        <v>152</v>
      </c>
      <c r="C23" s="2" t="s">
        <v>3394</v>
      </c>
      <c r="D23" s="2" t="s">
        <v>153</v>
      </c>
      <c r="E23" s="2" t="s">
        <v>4</v>
      </c>
      <c r="F23" s="2" t="s">
        <v>17</v>
      </c>
      <c r="G23" s="2" t="s">
        <v>27</v>
      </c>
      <c r="H23" s="2" t="s">
        <v>28</v>
      </c>
      <c r="I23" s="2" t="s">
        <v>3395</v>
      </c>
      <c r="J23" s="3">
        <v>29.33</v>
      </c>
      <c r="K23" s="3">
        <v>21.6</v>
      </c>
      <c r="L23" s="2" t="s">
        <v>8</v>
      </c>
      <c r="M23" s="2" t="s">
        <v>9</v>
      </c>
      <c r="N23" s="3">
        <v>347</v>
      </c>
      <c r="O23" s="2" t="s">
        <v>75</v>
      </c>
      <c r="P23" s="2" t="s">
        <v>92</v>
      </c>
      <c r="Q23" s="3"/>
      <c r="R23" s="3"/>
      <c r="S23" s="2" t="s">
        <v>21</v>
      </c>
      <c r="T23" s="4">
        <v>44955</v>
      </c>
      <c r="U23" s="2" t="s">
        <v>154</v>
      </c>
      <c r="V23" s="6">
        <f>(Sales[[#This Row],[Price_retail]]-Sales[[#This Row],[Price_current]])/Sales[[#This Row],[Price_retail]]</f>
        <v>0.26355267644050451</v>
      </c>
      <c r="W23" s="3" t="str" cm="1">
        <f t="array" ref="W2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4" spans="1:23" x14ac:dyDescent="0.35">
      <c r="A24" s="2" t="s">
        <v>155</v>
      </c>
      <c r="B24" s="2" t="s">
        <v>156</v>
      </c>
      <c r="C24" s="2" t="s">
        <v>157</v>
      </c>
      <c r="D24" s="2" t="s">
        <v>158</v>
      </c>
      <c r="E24" s="2" t="s">
        <v>4</v>
      </c>
      <c r="F24" s="2" t="s">
        <v>5</v>
      </c>
      <c r="G24" s="2" t="s">
        <v>121</v>
      </c>
      <c r="H24" s="2" t="s">
        <v>145</v>
      </c>
      <c r="I24" s="2" t="s">
        <v>3390</v>
      </c>
      <c r="J24" s="3">
        <v>12.43</v>
      </c>
      <c r="K24" s="3">
        <v>12.43</v>
      </c>
      <c r="L24" s="2" t="s">
        <v>3391</v>
      </c>
      <c r="M24" s="2" t="s">
        <v>9</v>
      </c>
      <c r="N24" s="3">
        <v>926</v>
      </c>
      <c r="O24" s="2" t="s">
        <v>3392</v>
      </c>
      <c r="P24" s="2" t="s">
        <v>92</v>
      </c>
      <c r="Q24" s="3"/>
      <c r="R24" s="3"/>
      <c r="S24" s="2" t="s">
        <v>21</v>
      </c>
      <c r="T24" s="4">
        <v>44955</v>
      </c>
      <c r="U24" s="2" t="s">
        <v>159</v>
      </c>
      <c r="V24" s="6">
        <f>(Sales[[#This Row],[Price_retail]]-Sales[[#This Row],[Price_current]])/Sales[[#This Row],[Price_retail]]</f>
        <v>0</v>
      </c>
      <c r="W24" s="3" t="str" cm="1">
        <f t="array" ref="W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5" spans="1:23" x14ac:dyDescent="0.35">
      <c r="A25" s="2" t="s">
        <v>160</v>
      </c>
      <c r="B25" s="2" t="s">
        <v>161</v>
      </c>
      <c r="C25" s="2" t="s">
        <v>65</v>
      </c>
      <c r="D25" s="2" t="s">
        <v>162</v>
      </c>
      <c r="E25" s="2" t="s">
        <v>4</v>
      </c>
      <c r="F25" s="2" t="s">
        <v>17</v>
      </c>
      <c r="G25" s="2" t="s">
        <v>27</v>
      </c>
      <c r="H25" s="2" t="s">
        <v>35</v>
      </c>
      <c r="I25" s="2" t="s">
        <v>3393</v>
      </c>
      <c r="J25" s="3">
        <v>34.82</v>
      </c>
      <c r="K25" s="3">
        <v>34.82</v>
      </c>
      <c r="L25" s="2" t="s">
        <v>3391</v>
      </c>
      <c r="M25" s="2" t="s">
        <v>9</v>
      </c>
      <c r="N25" s="3">
        <v>466</v>
      </c>
      <c r="O25" s="2" t="s">
        <v>3392</v>
      </c>
      <c r="P25" s="2" t="s">
        <v>163</v>
      </c>
      <c r="Q25" s="3"/>
      <c r="R25" s="3"/>
      <c r="S25" s="2" t="s">
        <v>21</v>
      </c>
      <c r="T25" s="4">
        <v>44955</v>
      </c>
      <c r="U25" s="2" t="s">
        <v>164</v>
      </c>
      <c r="V25" s="6">
        <f>(Sales[[#This Row],[Price_retail]]-Sales[[#This Row],[Price_current]])/Sales[[#This Row],[Price_retail]]</f>
        <v>0</v>
      </c>
      <c r="W25" s="3" t="str" cm="1">
        <f t="array" ref="W2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" spans="1:23" x14ac:dyDescent="0.35">
      <c r="A26" s="2" t="s">
        <v>165</v>
      </c>
      <c r="B26" s="2" t="s">
        <v>166</v>
      </c>
      <c r="C26" s="2" t="s">
        <v>108</v>
      </c>
      <c r="D26" s="2" t="s">
        <v>167</v>
      </c>
      <c r="E26" s="2" t="s">
        <v>4</v>
      </c>
      <c r="F26" s="2" t="s">
        <v>17</v>
      </c>
      <c r="G26" s="2" t="s">
        <v>18</v>
      </c>
      <c r="H26" s="2" t="s">
        <v>168</v>
      </c>
      <c r="I26" s="2" t="s">
        <v>3390</v>
      </c>
      <c r="J26" s="3">
        <v>19.190000000000001</v>
      </c>
      <c r="K26" s="3">
        <v>19.190000000000001</v>
      </c>
      <c r="L26" s="2" t="s">
        <v>3391</v>
      </c>
      <c r="M26" s="2" t="s">
        <v>9</v>
      </c>
      <c r="N26" s="3">
        <v>986</v>
      </c>
      <c r="O26" s="2" t="s">
        <v>3392</v>
      </c>
      <c r="P26" s="2" t="s">
        <v>169</v>
      </c>
      <c r="Q26" s="3"/>
      <c r="R26" s="3"/>
      <c r="S26" s="2" t="s">
        <v>21</v>
      </c>
      <c r="T26" s="4">
        <v>44955</v>
      </c>
      <c r="U26" s="2" t="s">
        <v>170</v>
      </c>
      <c r="V26" s="6">
        <f>(Sales[[#This Row],[Price_retail]]-Sales[[#This Row],[Price_current]])/Sales[[#This Row],[Price_retail]]</f>
        <v>0</v>
      </c>
      <c r="W26" s="3" t="str" cm="1">
        <f t="array" ref="W2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" spans="1:23" x14ac:dyDescent="0.35">
      <c r="A27" s="2" t="s">
        <v>171</v>
      </c>
      <c r="B27" s="2" t="s">
        <v>172</v>
      </c>
      <c r="C27" s="2" t="s">
        <v>65</v>
      </c>
      <c r="D27" s="2" t="s">
        <v>173</v>
      </c>
      <c r="E27" s="2" t="s">
        <v>4</v>
      </c>
      <c r="F27" s="2" t="s">
        <v>17</v>
      </c>
      <c r="G27" s="2" t="s">
        <v>67</v>
      </c>
      <c r="H27" s="2" t="s">
        <v>7</v>
      </c>
      <c r="I27" s="2" t="s">
        <v>3395</v>
      </c>
      <c r="J27" s="3">
        <v>25.11</v>
      </c>
      <c r="K27" s="3">
        <v>25.11</v>
      </c>
      <c r="L27" s="2" t="s">
        <v>3391</v>
      </c>
      <c r="M27" s="2" t="s">
        <v>9</v>
      </c>
      <c r="N27" s="3">
        <v>797</v>
      </c>
      <c r="O27" s="2" t="s">
        <v>3392</v>
      </c>
      <c r="P27" s="2" t="s">
        <v>53</v>
      </c>
      <c r="Q27" s="3"/>
      <c r="R27" s="3"/>
      <c r="S27" s="2" t="s">
        <v>21</v>
      </c>
      <c r="T27" s="4">
        <v>44955</v>
      </c>
      <c r="U27" s="2" t="s">
        <v>174</v>
      </c>
      <c r="V27" s="6">
        <f>(Sales[[#This Row],[Price_retail]]-Sales[[#This Row],[Price_current]])/Sales[[#This Row],[Price_retail]]</f>
        <v>0</v>
      </c>
      <c r="W27" s="3" t="str" cm="1">
        <f t="array" ref="W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" spans="1:23" x14ac:dyDescent="0.35">
      <c r="A28" s="2" t="s">
        <v>175</v>
      </c>
      <c r="B28" s="2" t="s">
        <v>176</v>
      </c>
      <c r="C28" s="2" t="s">
        <v>3396</v>
      </c>
      <c r="D28" s="2" t="s">
        <v>66</v>
      </c>
      <c r="E28" s="2" t="s">
        <v>4</v>
      </c>
      <c r="F28" s="2" t="s">
        <v>17</v>
      </c>
      <c r="G28" s="2" t="s">
        <v>18</v>
      </c>
      <c r="H28" s="2" t="s">
        <v>68</v>
      </c>
      <c r="I28" s="2" t="s">
        <v>3389</v>
      </c>
      <c r="J28" s="3">
        <v>13.82</v>
      </c>
      <c r="K28" s="3">
        <v>13.82</v>
      </c>
      <c r="L28" s="2" t="s">
        <v>3391</v>
      </c>
      <c r="M28" s="2" t="s">
        <v>9</v>
      </c>
      <c r="N28" s="3">
        <v>273</v>
      </c>
      <c r="O28" s="2" t="s">
        <v>3392</v>
      </c>
      <c r="P28" s="2" t="s">
        <v>177</v>
      </c>
      <c r="Q28" s="3"/>
      <c r="R28" s="3"/>
      <c r="S28" s="2" t="s">
        <v>21</v>
      </c>
      <c r="T28" s="4">
        <v>44955</v>
      </c>
      <c r="U28" s="2" t="s">
        <v>178</v>
      </c>
      <c r="V28" s="6">
        <f>(Sales[[#This Row],[Price_retail]]-Sales[[#This Row],[Price_current]])/Sales[[#This Row],[Price_retail]]</f>
        <v>0</v>
      </c>
      <c r="W28" s="3" t="str" cm="1">
        <f t="array" ref="W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" spans="1:23" x14ac:dyDescent="0.35">
      <c r="A29" s="2" t="s">
        <v>179</v>
      </c>
      <c r="B29" s="2" t="s">
        <v>180</v>
      </c>
      <c r="C29" s="2" t="s">
        <v>65</v>
      </c>
      <c r="D29" s="2" t="s">
        <v>181</v>
      </c>
      <c r="E29" s="2" t="s">
        <v>4</v>
      </c>
      <c r="F29" s="2" t="s">
        <v>5</v>
      </c>
      <c r="G29" s="2" t="s">
        <v>121</v>
      </c>
      <c r="H29" s="2" t="s">
        <v>68</v>
      </c>
      <c r="I29" s="2" t="s">
        <v>3393</v>
      </c>
      <c r="J29" s="3">
        <v>30.39</v>
      </c>
      <c r="K29" s="3">
        <v>30.39</v>
      </c>
      <c r="L29" s="2" t="s">
        <v>3391</v>
      </c>
      <c r="M29" s="2" t="s">
        <v>9</v>
      </c>
      <c r="N29" s="3">
        <v>374</v>
      </c>
      <c r="O29" s="2" t="s">
        <v>75</v>
      </c>
      <c r="P29" s="2" t="s">
        <v>163</v>
      </c>
      <c r="Q29" s="3"/>
      <c r="R29" s="3"/>
      <c r="S29" s="2" t="s">
        <v>12</v>
      </c>
      <c r="T29" s="4">
        <v>44955</v>
      </c>
      <c r="U29" s="2" t="s">
        <v>182</v>
      </c>
      <c r="V29" s="6">
        <f>(Sales[[#This Row],[Price_retail]]-Sales[[#This Row],[Price_current]])/Sales[[#This Row],[Price_retail]]</f>
        <v>0</v>
      </c>
      <c r="W29" s="3" t="str" cm="1">
        <f t="array" ref="W2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0" spans="1:23" x14ac:dyDescent="0.35">
      <c r="A30" s="2" t="s">
        <v>183</v>
      </c>
      <c r="B30" s="2" t="s">
        <v>184</v>
      </c>
      <c r="C30" s="2" t="s">
        <v>3433</v>
      </c>
      <c r="D30" s="2" t="s">
        <v>3397</v>
      </c>
      <c r="E30" s="2" t="s">
        <v>4</v>
      </c>
      <c r="F30" s="2" t="s">
        <v>5</v>
      </c>
      <c r="G30" s="2" t="s">
        <v>6</v>
      </c>
      <c r="H30" s="2" t="s">
        <v>185</v>
      </c>
      <c r="I30" s="2" t="s">
        <v>3395</v>
      </c>
      <c r="J30" s="3">
        <v>17.760000000000002</v>
      </c>
      <c r="K30" s="3">
        <v>17.760000000000002</v>
      </c>
      <c r="L30" s="2" t="s">
        <v>3391</v>
      </c>
      <c r="M30" s="2" t="s">
        <v>9</v>
      </c>
      <c r="N30" s="3">
        <v>727</v>
      </c>
      <c r="O30" s="2" t="s">
        <v>98</v>
      </c>
      <c r="P30" s="2" t="s">
        <v>186</v>
      </c>
      <c r="Q30" s="3"/>
      <c r="R30" s="3"/>
      <c r="S30" s="2" t="s">
        <v>21</v>
      </c>
      <c r="T30" s="4">
        <v>44955</v>
      </c>
      <c r="U30" s="2" t="s">
        <v>187</v>
      </c>
      <c r="V30" s="6">
        <f>(Sales[[#This Row],[Price_retail]]-Sales[[#This Row],[Price_current]])/Sales[[#This Row],[Price_retail]]</f>
        <v>0</v>
      </c>
      <c r="W30" s="3" t="str" cm="1">
        <f t="array" ref="W3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" spans="1:23" x14ac:dyDescent="0.35">
      <c r="A31" s="2" t="s">
        <v>188</v>
      </c>
      <c r="B31" s="2" t="s">
        <v>189</v>
      </c>
      <c r="C31" s="2" t="s">
        <v>65</v>
      </c>
      <c r="D31" s="2" t="s">
        <v>190</v>
      </c>
      <c r="E31" s="2" t="s">
        <v>4</v>
      </c>
      <c r="F31" s="2" t="s">
        <v>5</v>
      </c>
      <c r="G31" s="2" t="s">
        <v>82</v>
      </c>
      <c r="H31" s="2" t="s">
        <v>134</v>
      </c>
      <c r="I31" s="2" t="s">
        <v>3393</v>
      </c>
      <c r="J31" s="3">
        <v>19.84</v>
      </c>
      <c r="K31" s="3">
        <v>19.84</v>
      </c>
      <c r="L31" s="2" t="s">
        <v>3391</v>
      </c>
      <c r="M31" s="2" t="s">
        <v>9</v>
      </c>
      <c r="N31" s="3">
        <v>380</v>
      </c>
      <c r="O31" s="2" t="s">
        <v>191</v>
      </c>
      <c r="P31" s="2" t="s">
        <v>192</v>
      </c>
      <c r="Q31" s="3"/>
      <c r="R31" s="3"/>
      <c r="S31" s="2" t="s">
        <v>12</v>
      </c>
      <c r="T31" s="4">
        <v>44955</v>
      </c>
      <c r="U31" s="2" t="s">
        <v>193</v>
      </c>
      <c r="V31" s="6">
        <f>(Sales[[#This Row],[Price_retail]]-Sales[[#This Row],[Price_current]])/Sales[[#This Row],[Price_retail]]</f>
        <v>0</v>
      </c>
      <c r="W31" s="3" t="str" cm="1">
        <f t="array" ref="W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" spans="1:23" x14ac:dyDescent="0.35">
      <c r="A32" s="2" t="s">
        <v>194</v>
      </c>
      <c r="B32" s="2" t="s">
        <v>195</v>
      </c>
      <c r="C32" s="2" t="s">
        <v>119</v>
      </c>
      <c r="D32" s="2" t="s">
        <v>196</v>
      </c>
      <c r="E32" s="2" t="s">
        <v>4</v>
      </c>
      <c r="F32" s="2" t="s">
        <v>17</v>
      </c>
      <c r="G32" s="2" t="s">
        <v>50</v>
      </c>
      <c r="H32" s="2" t="s">
        <v>7</v>
      </c>
      <c r="I32" s="2" t="s">
        <v>3390</v>
      </c>
      <c r="J32" s="3">
        <v>21.06</v>
      </c>
      <c r="K32" s="3">
        <v>21.06</v>
      </c>
      <c r="L32" s="2" t="s">
        <v>3391</v>
      </c>
      <c r="M32" s="2" t="s">
        <v>9</v>
      </c>
      <c r="N32" s="3">
        <v>429</v>
      </c>
      <c r="O32" s="2" t="s">
        <v>69</v>
      </c>
      <c r="P32" s="2" t="s">
        <v>70</v>
      </c>
      <c r="Q32" s="3"/>
      <c r="R32" s="3"/>
      <c r="S32" s="2" t="s">
        <v>21</v>
      </c>
      <c r="T32" s="4">
        <v>44955</v>
      </c>
      <c r="U32" s="2" t="s">
        <v>197</v>
      </c>
      <c r="V32" s="6">
        <f>(Sales[[#This Row],[Price_retail]]-Sales[[#This Row],[Price_current]])/Sales[[#This Row],[Price_retail]]</f>
        <v>0</v>
      </c>
      <c r="W32" s="3" t="str" cm="1">
        <f t="array" ref="W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" spans="1:23" x14ac:dyDescent="0.35">
      <c r="A33" s="2" t="s">
        <v>198</v>
      </c>
      <c r="B33" s="2" t="s">
        <v>199</v>
      </c>
      <c r="C33" s="2" t="s">
        <v>200</v>
      </c>
      <c r="D33" s="2" t="s">
        <v>201</v>
      </c>
      <c r="E33" s="2" t="s">
        <v>4</v>
      </c>
      <c r="F33" s="2" t="s">
        <v>5</v>
      </c>
      <c r="G33" s="2" t="s">
        <v>82</v>
      </c>
      <c r="H33" s="2" t="s">
        <v>185</v>
      </c>
      <c r="I33" s="2" t="s">
        <v>3393</v>
      </c>
      <c r="J33" s="3">
        <v>16.829999999999998</v>
      </c>
      <c r="K33" s="3">
        <v>9.9499999999999993</v>
      </c>
      <c r="L33" s="2" t="s">
        <v>8</v>
      </c>
      <c r="M33" s="2" t="s">
        <v>9</v>
      </c>
      <c r="N33" s="3">
        <v>34</v>
      </c>
      <c r="O33" s="2" t="s">
        <v>98</v>
      </c>
      <c r="P33" s="2" t="s">
        <v>30</v>
      </c>
      <c r="Q33" s="3"/>
      <c r="R33" s="3"/>
      <c r="S33" s="2" t="s">
        <v>21</v>
      </c>
      <c r="T33" s="4">
        <v>44955</v>
      </c>
      <c r="U33" s="2" t="s">
        <v>202</v>
      </c>
      <c r="V33" s="6">
        <f>(Sales[[#This Row],[Price_retail]]-Sales[[#This Row],[Price_current]])/Sales[[#This Row],[Price_retail]]</f>
        <v>0.40879382055852642</v>
      </c>
      <c r="W33" s="3" t="str" cm="1">
        <f t="array" ref="W3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4" spans="1:23" x14ac:dyDescent="0.35">
      <c r="A34" s="2" t="s">
        <v>203</v>
      </c>
      <c r="B34" s="2" t="s">
        <v>204</v>
      </c>
      <c r="C34" s="2" t="s">
        <v>114</v>
      </c>
      <c r="D34" s="2" t="s">
        <v>205</v>
      </c>
      <c r="E34" s="2" t="s">
        <v>4</v>
      </c>
      <c r="F34" s="2" t="s">
        <v>17</v>
      </c>
      <c r="G34" s="2" t="s">
        <v>27</v>
      </c>
      <c r="H34" s="2" t="s">
        <v>145</v>
      </c>
      <c r="I34" s="2" t="s">
        <v>3393</v>
      </c>
      <c r="J34" s="3">
        <v>20.82</v>
      </c>
      <c r="K34" s="3">
        <v>20.82</v>
      </c>
      <c r="L34" s="2" t="s">
        <v>3391</v>
      </c>
      <c r="M34" s="2" t="s">
        <v>9</v>
      </c>
      <c r="N34" s="3">
        <v>226</v>
      </c>
      <c r="O34" s="2" t="s">
        <v>75</v>
      </c>
      <c r="P34" s="2" t="s">
        <v>30</v>
      </c>
      <c r="Q34" s="3"/>
      <c r="R34" s="3"/>
      <c r="S34" s="2" t="s">
        <v>21</v>
      </c>
      <c r="T34" s="4">
        <v>44955</v>
      </c>
      <c r="U34" s="2" t="s">
        <v>206</v>
      </c>
      <c r="V34" s="6">
        <f>(Sales[[#This Row],[Price_retail]]-Sales[[#This Row],[Price_current]])/Sales[[#This Row],[Price_retail]]</f>
        <v>0</v>
      </c>
      <c r="W34" s="3" t="str" cm="1">
        <f t="array" ref="W3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5" spans="1:23" x14ac:dyDescent="0.35">
      <c r="A35" s="2" t="s">
        <v>207</v>
      </c>
      <c r="B35" s="2" t="s">
        <v>208</v>
      </c>
      <c r="C35" s="2" t="s">
        <v>2915</v>
      </c>
      <c r="D35" s="2" t="s">
        <v>209</v>
      </c>
      <c r="E35" s="2" t="s">
        <v>4</v>
      </c>
      <c r="F35" s="2" t="s">
        <v>5</v>
      </c>
      <c r="G35" s="2" t="s">
        <v>6</v>
      </c>
      <c r="H35" s="2" t="s">
        <v>35</v>
      </c>
      <c r="I35" s="2" t="s">
        <v>3393</v>
      </c>
      <c r="J35" s="3">
        <v>26.46</v>
      </c>
      <c r="K35" s="3">
        <v>26.46</v>
      </c>
      <c r="L35" s="2" t="s">
        <v>3391</v>
      </c>
      <c r="M35" s="2" t="s">
        <v>9</v>
      </c>
      <c r="N35" s="3">
        <v>937</v>
      </c>
      <c r="O35" s="2" t="s">
        <v>3392</v>
      </c>
      <c r="P35" s="2" t="s">
        <v>37</v>
      </c>
      <c r="Q35" s="3"/>
      <c r="R35" s="3"/>
      <c r="S35" s="2" t="s">
        <v>21</v>
      </c>
      <c r="T35" s="4">
        <v>44955</v>
      </c>
      <c r="U35" s="2" t="s">
        <v>210</v>
      </c>
      <c r="V35" s="6">
        <f>(Sales[[#This Row],[Price_retail]]-Sales[[#This Row],[Price_current]])/Sales[[#This Row],[Price_retail]]</f>
        <v>0</v>
      </c>
      <c r="W35" s="3" t="str" cm="1">
        <f t="array" ref="W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" spans="1:23" x14ac:dyDescent="0.35">
      <c r="A36" s="2" t="s">
        <v>211</v>
      </c>
      <c r="B36" s="2" t="s">
        <v>212</v>
      </c>
      <c r="C36" s="2" t="s">
        <v>213</v>
      </c>
      <c r="D36" s="2" t="s">
        <v>214</v>
      </c>
      <c r="E36" s="2" t="s">
        <v>4</v>
      </c>
      <c r="F36" s="2" t="s">
        <v>5</v>
      </c>
      <c r="G36" s="2" t="s">
        <v>121</v>
      </c>
      <c r="H36" s="2" t="s">
        <v>139</v>
      </c>
      <c r="I36" s="2" t="s">
        <v>3395</v>
      </c>
      <c r="J36" s="3">
        <v>15.22</v>
      </c>
      <c r="K36" s="3">
        <v>7.41</v>
      </c>
      <c r="L36" s="2" t="s">
        <v>8</v>
      </c>
      <c r="M36" s="2" t="s">
        <v>9</v>
      </c>
      <c r="N36" s="3">
        <v>53</v>
      </c>
      <c r="O36" s="2" t="s">
        <v>3392</v>
      </c>
      <c r="P36" s="2" t="s">
        <v>215</v>
      </c>
      <c r="Q36" s="3"/>
      <c r="R36" s="3"/>
      <c r="S36" s="2" t="s">
        <v>21</v>
      </c>
      <c r="T36" s="4">
        <v>44955</v>
      </c>
      <c r="U36" s="2" t="s">
        <v>216</v>
      </c>
      <c r="V36" s="6">
        <f>(Sales[[#This Row],[Price_retail]]-Sales[[#This Row],[Price_current]])/Sales[[#This Row],[Price_retail]]</f>
        <v>0.51314060446780552</v>
      </c>
      <c r="W36" s="3" t="str" cm="1">
        <f t="array" ref="W36">_xlfn.IFS(Sales[[#This Row],[Discount]]=0%,"No Discount",Sales[[#This Row],[Discount]]&lt;=20%,"Light",Sales[[#This Row],[Discount]]&lt;=50%,"Moderate",Sales[[#This Row],[Discount]]&lt;=80%,"High",
TRUE,"Very High")</f>
        <v>High</v>
      </c>
    </row>
    <row r="37" spans="1:23" x14ac:dyDescent="0.35">
      <c r="A37" s="2" t="s">
        <v>217</v>
      </c>
      <c r="B37" s="2" t="s">
        <v>218</v>
      </c>
      <c r="C37" s="2" t="s">
        <v>219</v>
      </c>
      <c r="D37" s="2" t="s">
        <v>220</v>
      </c>
      <c r="E37" s="2" t="s">
        <v>4</v>
      </c>
      <c r="F37" s="2" t="s">
        <v>17</v>
      </c>
      <c r="G37" s="2" t="s">
        <v>27</v>
      </c>
      <c r="H37" s="2" t="s">
        <v>139</v>
      </c>
      <c r="I37" s="2" t="s">
        <v>3393</v>
      </c>
      <c r="J37" s="3">
        <v>8.99</v>
      </c>
      <c r="K37" s="3">
        <v>6.41</v>
      </c>
      <c r="L37" s="2" t="s">
        <v>8</v>
      </c>
      <c r="M37" s="2" t="s">
        <v>9</v>
      </c>
      <c r="N37" s="3">
        <v>922</v>
      </c>
      <c r="O37" s="2" t="s">
        <v>52</v>
      </c>
      <c r="P37" s="2" t="s">
        <v>221</v>
      </c>
      <c r="Q37" s="3"/>
      <c r="R37" s="3"/>
      <c r="S37" s="2" t="s">
        <v>21</v>
      </c>
      <c r="T37" s="4">
        <v>44955</v>
      </c>
      <c r="U37" s="2" t="s">
        <v>222</v>
      </c>
      <c r="V37" s="6">
        <f>(Sales[[#This Row],[Price_retail]]-Sales[[#This Row],[Price_current]])/Sales[[#This Row],[Price_retail]]</f>
        <v>0.28698553948832034</v>
      </c>
      <c r="W37" s="3" t="str" cm="1">
        <f t="array" ref="W3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8" spans="1:23" x14ac:dyDescent="0.35">
      <c r="A38" s="2" t="s">
        <v>223</v>
      </c>
      <c r="B38" s="2" t="s">
        <v>224</v>
      </c>
      <c r="C38" s="2" t="s">
        <v>25</v>
      </c>
      <c r="D38" s="2" t="s">
        <v>225</v>
      </c>
      <c r="E38" s="2" t="s">
        <v>4</v>
      </c>
      <c r="F38" s="2" t="s">
        <v>17</v>
      </c>
      <c r="G38" s="2" t="s">
        <v>67</v>
      </c>
      <c r="H38" s="2" t="s">
        <v>110</v>
      </c>
      <c r="I38" s="2" t="s">
        <v>3393</v>
      </c>
      <c r="J38" s="3">
        <v>18.43</v>
      </c>
      <c r="K38" s="3">
        <v>18.43</v>
      </c>
      <c r="L38" s="2" t="s">
        <v>3391</v>
      </c>
      <c r="M38" s="2" t="s">
        <v>9</v>
      </c>
      <c r="N38" s="3">
        <v>866</v>
      </c>
      <c r="O38" s="2" t="s">
        <v>98</v>
      </c>
      <c r="P38" s="2" t="s">
        <v>30</v>
      </c>
      <c r="Q38" s="3"/>
      <c r="R38" s="3"/>
      <c r="S38" s="2" t="s">
        <v>21</v>
      </c>
      <c r="T38" s="4">
        <v>44955</v>
      </c>
      <c r="U38" s="2" t="s">
        <v>226</v>
      </c>
      <c r="V38" s="6">
        <f>(Sales[[#This Row],[Price_retail]]-Sales[[#This Row],[Price_current]])/Sales[[#This Row],[Price_retail]]</f>
        <v>0</v>
      </c>
      <c r="W38" s="3" t="str" cm="1">
        <f t="array" ref="W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9" spans="1:23" x14ac:dyDescent="0.35">
      <c r="A39" s="2" t="s">
        <v>227</v>
      </c>
      <c r="B39" s="2" t="s">
        <v>228</v>
      </c>
      <c r="C39" s="2" t="s">
        <v>119</v>
      </c>
      <c r="D39" s="2" t="s">
        <v>229</v>
      </c>
      <c r="E39" s="2" t="s">
        <v>4</v>
      </c>
      <c r="F39" s="2" t="s">
        <v>5</v>
      </c>
      <c r="G39" s="2" t="s">
        <v>82</v>
      </c>
      <c r="H39" s="2" t="s">
        <v>168</v>
      </c>
      <c r="I39" s="2" t="s">
        <v>3395</v>
      </c>
      <c r="J39" s="3">
        <v>8.99</v>
      </c>
      <c r="K39" s="3">
        <v>5.17</v>
      </c>
      <c r="L39" s="2" t="s">
        <v>8</v>
      </c>
      <c r="M39" s="2" t="s">
        <v>9</v>
      </c>
      <c r="N39" s="3">
        <v>143</v>
      </c>
      <c r="O39" s="2" t="s">
        <v>75</v>
      </c>
      <c r="P39" s="2" t="s">
        <v>192</v>
      </c>
      <c r="Q39" s="3"/>
      <c r="R39" s="3"/>
      <c r="S39" s="2" t="s">
        <v>21</v>
      </c>
      <c r="T39" s="4">
        <v>44955</v>
      </c>
      <c r="U39" s="2" t="s">
        <v>230</v>
      </c>
      <c r="V39" s="6">
        <f>(Sales[[#This Row],[Price_retail]]-Sales[[#This Row],[Price_current]])/Sales[[#This Row],[Price_retail]]</f>
        <v>0.42491657397107901</v>
      </c>
      <c r="W39" s="3" t="str" cm="1">
        <f t="array" ref="W3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0" spans="1:23" x14ac:dyDescent="0.35">
      <c r="A40" s="2" t="s">
        <v>231</v>
      </c>
      <c r="B40" s="2" t="s">
        <v>232</v>
      </c>
      <c r="C40" s="2" t="s">
        <v>3398</v>
      </c>
      <c r="D40" s="2" t="s">
        <v>181</v>
      </c>
      <c r="E40" s="2" t="s">
        <v>4</v>
      </c>
      <c r="F40" s="2" t="s">
        <v>5</v>
      </c>
      <c r="G40" s="2" t="s">
        <v>121</v>
      </c>
      <c r="H40" s="2" t="s">
        <v>68</v>
      </c>
      <c r="I40" s="2" t="s">
        <v>3390</v>
      </c>
      <c r="J40" s="3">
        <v>18.28</v>
      </c>
      <c r="K40" s="3">
        <v>18.28</v>
      </c>
      <c r="L40" s="2" t="s">
        <v>3391</v>
      </c>
      <c r="M40" s="2" t="s">
        <v>9</v>
      </c>
      <c r="N40" s="3">
        <v>763</v>
      </c>
      <c r="O40" s="2" t="s">
        <v>60</v>
      </c>
      <c r="P40" s="2" t="s">
        <v>37</v>
      </c>
      <c r="Q40" s="3"/>
      <c r="R40" s="3"/>
      <c r="S40" s="2" t="s">
        <v>21</v>
      </c>
      <c r="T40" s="4">
        <v>44955</v>
      </c>
      <c r="U40" s="2" t="s">
        <v>233</v>
      </c>
      <c r="V40" s="6">
        <f>(Sales[[#This Row],[Price_retail]]-Sales[[#This Row],[Price_current]])/Sales[[#This Row],[Price_retail]]</f>
        <v>0</v>
      </c>
      <c r="W40" s="3" t="str" cm="1">
        <f t="array" ref="W4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1" spans="1:23" x14ac:dyDescent="0.35">
      <c r="A41" s="2" t="s">
        <v>234</v>
      </c>
      <c r="B41" s="2" t="s">
        <v>235</v>
      </c>
      <c r="C41" s="2" t="s">
        <v>1743</v>
      </c>
      <c r="D41" s="2" t="s">
        <v>236</v>
      </c>
      <c r="E41" s="2" t="s">
        <v>4</v>
      </c>
      <c r="F41" s="2" t="s">
        <v>17</v>
      </c>
      <c r="G41" s="2" t="s">
        <v>27</v>
      </c>
      <c r="H41" s="2" t="s">
        <v>237</v>
      </c>
      <c r="I41" s="2" t="s">
        <v>3393</v>
      </c>
      <c r="J41" s="3">
        <v>13.41</v>
      </c>
      <c r="K41" s="3">
        <v>8.08</v>
      </c>
      <c r="L41" s="2" t="s">
        <v>8</v>
      </c>
      <c r="M41" s="2" t="s">
        <v>9</v>
      </c>
      <c r="N41" s="3">
        <v>360</v>
      </c>
      <c r="O41" s="2" t="s">
        <v>3392</v>
      </c>
      <c r="P41" s="2" t="s">
        <v>238</v>
      </c>
      <c r="Q41" s="3"/>
      <c r="R41" s="3"/>
      <c r="S41" s="2" t="s">
        <v>12</v>
      </c>
      <c r="T41" s="4">
        <v>44955</v>
      </c>
      <c r="U41" s="2" t="s">
        <v>239</v>
      </c>
      <c r="V41" s="6">
        <f>(Sales[[#This Row],[Price_retail]]-Sales[[#This Row],[Price_current]])/Sales[[#This Row],[Price_retail]]</f>
        <v>0.39746457867263235</v>
      </c>
      <c r="W41" s="3" t="str" cm="1">
        <f t="array" ref="W4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2" spans="1:23" x14ac:dyDescent="0.35">
      <c r="A42" s="2" t="s">
        <v>240</v>
      </c>
      <c r="B42" s="2" t="s">
        <v>241</v>
      </c>
      <c r="C42" s="2" t="s">
        <v>242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3390</v>
      </c>
      <c r="J42" s="3">
        <v>19.22</v>
      </c>
      <c r="K42" s="3">
        <v>19.22</v>
      </c>
      <c r="L42" s="2" t="s">
        <v>3391</v>
      </c>
      <c r="M42" s="2" t="s">
        <v>9</v>
      </c>
      <c r="N42" s="3">
        <v>249</v>
      </c>
      <c r="O42" s="2" t="s">
        <v>43</v>
      </c>
      <c r="P42" s="2" t="s">
        <v>44</v>
      </c>
      <c r="Q42" s="3"/>
      <c r="R42" s="3"/>
      <c r="S42" s="2" t="s">
        <v>21</v>
      </c>
      <c r="T42" s="4">
        <v>44955</v>
      </c>
      <c r="U42" s="2" t="s">
        <v>243</v>
      </c>
      <c r="V42" s="6">
        <f>(Sales[[#This Row],[Price_retail]]-Sales[[#This Row],[Price_current]])/Sales[[#This Row],[Price_retail]]</f>
        <v>0</v>
      </c>
      <c r="W42" s="3" t="str" cm="1">
        <f t="array" ref="W4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" spans="1:23" x14ac:dyDescent="0.35">
      <c r="A43" s="2" t="s">
        <v>244</v>
      </c>
      <c r="B43" s="2" t="s">
        <v>245</v>
      </c>
      <c r="C43" s="2" t="s">
        <v>246</v>
      </c>
      <c r="D43" s="2" t="s">
        <v>247</v>
      </c>
      <c r="E43" s="2" t="s">
        <v>4</v>
      </c>
      <c r="F43" s="2" t="s">
        <v>17</v>
      </c>
      <c r="G43" s="2" t="s">
        <v>67</v>
      </c>
      <c r="H43" s="2" t="s">
        <v>68</v>
      </c>
      <c r="I43" s="2" t="s">
        <v>3393</v>
      </c>
      <c r="J43" s="3">
        <v>6.99</v>
      </c>
      <c r="K43" s="3">
        <v>6.99</v>
      </c>
      <c r="L43" s="2" t="s">
        <v>248</v>
      </c>
      <c r="M43" s="2" t="s">
        <v>9</v>
      </c>
      <c r="N43" s="3">
        <v>355</v>
      </c>
      <c r="O43" s="2" t="s">
        <v>91</v>
      </c>
      <c r="P43" s="2" t="s">
        <v>92</v>
      </c>
      <c r="Q43" s="3"/>
      <c r="R43" s="3"/>
      <c r="S43" s="2" t="s">
        <v>12</v>
      </c>
      <c r="T43" s="4">
        <v>44955</v>
      </c>
      <c r="U43" s="2" t="s">
        <v>249</v>
      </c>
      <c r="V43" s="6">
        <f>(Sales[[#This Row],[Price_retail]]-Sales[[#This Row],[Price_current]])/Sales[[#This Row],[Price_retail]]</f>
        <v>0</v>
      </c>
      <c r="W43" s="3" t="str" cm="1">
        <f t="array" ref="W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4" spans="1:23" x14ac:dyDescent="0.35">
      <c r="A44" s="2" t="s">
        <v>250</v>
      </c>
      <c r="B44" s="2" t="s">
        <v>251</v>
      </c>
      <c r="C44" s="2" t="s">
        <v>252</v>
      </c>
      <c r="D44" s="2" t="s">
        <v>253</v>
      </c>
      <c r="E44" s="2" t="s">
        <v>4</v>
      </c>
      <c r="F44" s="2" t="s">
        <v>5</v>
      </c>
      <c r="G44" s="2" t="s">
        <v>6</v>
      </c>
      <c r="H44" s="2" t="s">
        <v>35</v>
      </c>
      <c r="I44" s="2" t="s">
        <v>3395</v>
      </c>
      <c r="J44" s="3">
        <v>8.99</v>
      </c>
      <c r="K44" s="3">
        <v>6.57</v>
      </c>
      <c r="L44" s="2" t="s">
        <v>8</v>
      </c>
      <c r="M44" s="2" t="s">
        <v>9</v>
      </c>
      <c r="N44" s="3">
        <v>37</v>
      </c>
      <c r="O44" s="2" t="s">
        <v>3392</v>
      </c>
      <c r="P44" s="2" t="s">
        <v>254</v>
      </c>
      <c r="Q44" s="3"/>
      <c r="R44" s="3"/>
      <c r="S44" s="2" t="s">
        <v>21</v>
      </c>
      <c r="T44" s="4">
        <v>44955</v>
      </c>
      <c r="U44" s="2" t="s">
        <v>255</v>
      </c>
      <c r="V44" s="6">
        <f>(Sales[[#This Row],[Price_retail]]-Sales[[#This Row],[Price_current]])/Sales[[#This Row],[Price_retail]]</f>
        <v>0.26918798665183535</v>
      </c>
      <c r="W44" s="3" t="str" cm="1">
        <f t="array" ref="W4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5" spans="1:23" x14ac:dyDescent="0.35">
      <c r="A45" s="2" t="s">
        <v>256</v>
      </c>
      <c r="B45" s="2" t="s">
        <v>257</v>
      </c>
      <c r="C45" s="2" t="s">
        <v>65</v>
      </c>
      <c r="D45" s="2" t="s">
        <v>3399</v>
      </c>
      <c r="E45" s="2" t="s">
        <v>4</v>
      </c>
      <c r="F45" s="2" t="s">
        <v>5</v>
      </c>
      <c r="G45" s="2" t="s">
        <v>82</v>
      </c>
      <c r="H45" s="2" t="s">
        <v>90</v>
      </c>
      <c r="I45" s="2" t="s">
        <v>3395</v>
      </c>
      <c r="J45" s="3">
        <v>12.9</v>
      </c>
      <c r="K45" s="3">
        <v>12.9</v>
      </c>
      <c r="L45" s="2" t="s">
        <v>3391</v>
      </c>
      <c r="M45" s="2" t="s">
        <v>9</v>
      </c>
      <c r="N45" s="3">
        <v>772</v>
      </c>
      <c r="O45" s="2" t="s">
        <v>3392</v>
      </c>
      <c r="P45" s="2" t="s">
        <v>30</v>
      </c>
      <c r="Q45" s="3"/>
      <c r="R45" s="3"/>
      <c r="S45" s="2" t="s">
        <v>21</v>
      </c>
      <c r="T45" s="4">
        <v>44955</v>
      </c>
      <c r="U45" s="2" t="s">
        <v>258</v>
      </c>
      <c r="V45" s="6">
        <f>(Sales[[#This Row],[Price_retail]]-Sales[[#This Row],[Price_current]])/Sales[[#This Row],[Price_retail]]</f>
        <v>0</v>
      </c>
      <c r="W45" s="3" t="str" cm="1">
        <f t="array" ref="W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" spans="1:23" x14ac:dyDescent="0.35">
      <c r="A46" s="2" t="s">
        <v>259</v>
      </c>
      <c r="B46" s="2" t="s">
        <v>260</v>
      </c>
      <c r="C46" s="2" t="s">
        <v>2915</v>
      </c>
      <c r="D46" s="2" t="s">
        <v>115</v>
      </c>
      <c r="E46" s="2" t="s">
        <v>4</v>
      </c>
      <c r="F46" s="2" t="s">
        <v>17</v>
      </c>
      <c r="G46" s="2" t="s">
        <v>18</v>
      </c>
      <c r="H46" s="2" t="s">
        <v>90</v>
      </c>
      <c r="I46" s="2" t="s">
        <v>3393</v>
      </c>
      <c r="J46" s="3">
        <v>8.99</v>
      </c>
      <c r="K46" s="3">
        <v>8.99</v>
      </c>
      <c r="L46" s="2" t="s">
        <v>3391</v>
      </c>
      <c r="M46" s="2" t="s">
        <v>9</v>
      </c>
      <c r="N46" s="3">
        <v>67</v>
      </c>
      <c r="O46" s="2" t="s">
        <v>261</v>
      </c>
      <c r="P46" s="2" t="s">
        <v>44</v>
      </c>
      <c r="Q46" s="3"/>
      <c r="R46" s="3"/>
      <c r="S46" s="2" t="s">
        <v>12</v>
      </c>
      <c r="T46" s="4">
        <v>44955</v>
      </c>
      <c r="U46" s="2" t="s">
        <v>262</v>
      </c>
      <c r="V46" s="6">
        <f>(Sales[[#This Row],[Price_retail]]-Sales[[#This Row],[Price_current]])/Sales[[#This Row],[Price_retail]]</f>
        <v>0</v>
      </c>
      <c r="W46" s="3" t="str" cm="1">
        <f t="array" ref="W4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" spans="1:23" x14ac:dyDescent="0.35">
      <c r="A47" s="2" t="s">
        <v>263</v>
      </c>
      <c r="B47" s="2" t="s">
        <v>264</v>
      </c>
      <c r="C47" s="2" t="s">
        <v>265</v>
      </c>
      <c r="D47" s="2" t="s">
        <v>266</v>
      </c>
      <c r="E47" s="2" t="s">
        <v>4</v>
      </c>
      <c r="F47" s="2" t="s">
        <v>17</v>
      </c>
      <c r="G47" s="2" t="s">
        <v>18</v>
      </c>
      <c r="H47" s="2" t="s">
        <v>237</v>
      </c>
      <c r="I47" s="2" t="s">
        <v>3393</v>
      </c>
      <c r="J47" s="3">
        <v>8.99</v>
      </c>
      <c r="K47" s="3">
        <v>5.17</v>
      </c>
      <c r="L47" s="2" t="s">
        <v>8</v>
      </c>
      <c r="M47" s="2" t="s">
        <v>9</v>
      </c>
      <c r="N47" s="3">
        <v>548</v>
      </c>
      <c r="O47" s="2" t="s">
        <v>267</v>
      </c>
      <c r="P47" s="2" t="s">
        <v>215</v>
      </c>
      <c r="Q47" s="3"/>
      <c r="R47" s="3"/>
      <c r="S47" s="2" t="s">
        <v>21</v>
      </c>
      <c r="T47" s="4">
        <v>44955</v>
      </c>
      <c r="U47" s="2" t="s">
        <v>268</v>
      </c>
      <c r="V47" s="6">
        <f>(Sales[[#This Row],[Price_retail]]-Sales[[#This Row],[Price_current]])/Sales[[#This Row],[Price_retail]]</f>
        <v>0.42491657397107901</v>
      </c>
      <c r="W47" s="3" t="str" cm="1">
        <f t="array" ref="W4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8" spans="1:23" x14ac:dyDescent="0.35">
      <c r="A48" s="2" t="s">
        <v>269</v>
      </c>
      <c r="B48" s="2" t="s">
        <v>270</v>
      </c>
      <c r="C48" s="2" t="s">
        <v>271</v>
      </c>
      <c r="D48" s="2" t="s">
        <v>272</v>
      </c>
      <c r="E48" s="2" t="s">
        <v>4</v>
      </c>
      <c r="F48" s="2" t="s">
        <v>5</v>
      </c>
      <c r="G48" s="2" t="s">
        <v>82</v>
      </c>
      <c r="H48" s="2" t="s">
        <v>51</v>
      </c>
      <c r="I48" s="2" t="s">
        <v>3393</v>
      </c>
      <c r="J48" s="3">
        <v>23.86</v>
      </c>
      <c r="K48" s="3">
        <v>20.64</v>
      </c>
      <c r="L48" s="2" t="s">
        <v>8</v>
      </c>
      <c r="M48" s="2" t="s">
        <v>9</v>
      </c>
      <c r="N48" s="3">
        <v>454</v>
      </c>
      <c r="O48" s="2" t="s">
        <v>36</v>
      </c>
      <c r="P48" s="2" t="s">
        <v>177</v>
      </c>
      <c r="Q48" s="3"/>
      <c r="R48" s="3"/>
      <c r="S48" s="2" t="s">
        <v>21</v>
      </c>
      <c r="T48" s="4">
        <v>44955</v>
      </c>
      <c r="U48" s="2" t="s">
        <v>273</v>
      </c>
      <c r="V48" s="6">
        <f>(Sales[[#This Row],[Price_retail]]-Sales[[#This Row],[Price_current]])/Sales[[#This Row],[Price_retail]]</f>
        <v>0.13495389773679795</v>
      </c>
      <c r="W48" s="3" t="str" cm="1">
        <f t="array" ref="W48">_xlfn.IFS(Sales[[#This Row],[Discount]]=0%,"No Discount",Sales[[#This Row],[Discount]]&lt;=20%,"Light",Sales[[#This Row],[Discount]]&lt;=50%,"Moderate",Sales[[#This Row],[Discount]]&lt;=80%,"High",
TRUE,"Very High")</f>
        <v>Light</v>
      </c>
    </row>
    <row r="49" spans="1:23" x14ac:dyDescent="0.35">
      <c r="A49" s="2" t="s">
        <v>274</v>
      </c>
      <c r="B49" s="2" t="s">
        <v>275</v>
      </c>
      <c r="C49" s="2" t="s">
        <v>1615</v>
      </c>
      <c r="D49" s="2" t="s">
        <v>3</v>
      </c>
      <c r="E49" s="2" t="s">
        <v>4</v>
      </c>
      <c r="F49" s="2" t="s">
        <v>5</v>
      </c>
      <c r="G49" s="2" t="s">
        <v>121</v>
      </c>
      <c r="H49" s="2" t="s">
        <v>7</v>
      </c>
      <c r="I49" s="2" t="s">
        <v>3395</v>
      </c>
      <c r="J49" s="3">
        <v>37.74</v>
      </c>
      <c r="K49" s="3">
        <v>27.53</v>
      </c>
      <c r="L49" s="2" t="s">
        <v>8</v>
      </c>
      <c r="M49" s="2" t="s">
        <v>9</v>
      </c>
      <c r="N49" s="3">
        <v>26</v>
      </c>
      <c r="O49" s="2" t="s">
        <v>140</v>
      </c>
      <c r="P49" s="2" t="s">
        <v>215</v>
      </c>
      <c r="Q49" s="3"/>
      <c r="R49" s="3"/>
      <c r="S49" s="2" t="s">
        <v>21</v>
      </c>
      <c r="T49" s="4">
        <v>44955</v>
      </c>
      <c r="U49" s="2" t="s">
        <v>276</v>
      </c>
      <c r="V49" s="6">
        <f>(Sales[[#This Row],[Price_retail]]-Sales[[#This Row],[Price_current]])/Sales[[#This Row],[Price_retail]]</f>
        <v>0.27053524112347643</v>
      </c>
      <c r="W49" s="3" t="str" cm="1">
        <f t="array" ref="W4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0" spans="1:23" x14ac:dyDescent="0.35">
      <c r="A50" s="2" t="s">
        <v>277</v>
      </c>
      <c r="B50" s="2" t="s">
        <v>278</v>
      </c>
      <c r="C50" s="2" t="s">
        <v>3400</v>
      </c>
      <c r="D50" s="2" t="s">
        <v>279</v>
      </c>
      <c r="E50" s="2" t="s">
        <v>4</v>
      </c>
      <c r="F50" s="2" t="s">
        <v>17</v>
      </c>
      <c r="G50" s="2" t="s">
        <v>27</v>
      </c>
      <c r="H50" s="2" t="s">
        <v>28</v>
      </c>
      <c r="I50" s="2" t="s">
        <v>3393</v>
      </c>
      <c r="J50" s="3">
        <v>10.09</v>
      </c>
      <c r="K50" s="3">
        <v>10.09</v>
      </c>
      <c r="L50" s="2" t="s">
        <v>3391</v>
      </c>
      <c r="M50" s="2" t="s">
        <v>9</v>
      </c>
      <c r="N50" s="3">
        <v>402</v>
      </c>
      <c r="O50" s="2" t="s">
        <v>75</v>
      </c>
      <c r="P50" s="2" t="s">
        <v>53</v>
      </c>
      <c r="Q50" s="3"/>
      <c r="R50" s="3"/>
      <c r="S50" s="2" t="s">
        <v>21</v>
      </c>
      <c r="T50" s="4">
        <v>44955</v>
      </c>
      <c r="U50" s="2" t="s">
        <v>280</v>
      </c>
      <c r="V50" s="6">
        <f>(Sales[[#This Row],[Price_retail]]-Sales[[#This Row],[Price_current]])/Sales[[#This Row],[Price_retail]]</f>
        <v>0</v>
      </c>
      <c r="W50" s="3" t="str" cm="1">
        <f t="array" ref="W5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" spans="1:23" x14ac:dyDescent="0.35">
      <c r="A51" s="2" t="s">
        <v>281</v>
      </c>
      <c r="B51" s="2" t="s">
        <v>282</v>
      </c>
      <c r="C51" s="2" t="s">
        <v>1581</v>
      </c>
      <c r="D51" s="2" t="s">
        <v>3</v>
      </c>
      <c r="E51" s="2" t="s">
        <v>4</v>
      </c>
      <c r="F51" s="2" t="s">
        <v>5</v>
      </c>
      <c r="G51" s="2" t="s">
        <v>121</v>
      </c>
      <c r="H51" s="2" t="s">
        <v>7</v>
      </c>
      <c r="I51" s="2" t="s">
        <v>3393</v>
      </c>
      <c r="J51" s="3">
        <v>15</v>
      </c>
      <c r="K51" s="3">
        <v>15</v>
      </c>
      <c r="L51" s="2" t="s">
        <v>3391</v>
      </c>
      <c r="M51" s="2" t="s">
        <v>9</v>
      </c>
      <c r="N51" s="3">
        <v>227</v>
      </c>
      <c r="O51" s="2" t="s">
        <v>104</v>
      </c>
      <c r="P51" s="2" t="s">
        <v>283</v>
      </c>
      <c r="Q51" s="3"/>
      <c r="R51" s="3"/>
      <c r="S51" s="2" t="s">
        <v>21</v>
      </c>
      <c r="T51" s="4">
        <v>44955</v>
      </c>
      <c r="U51" s="2" t="s">
        <v>284</v>
      </c>
      <c r="V51" s="6">
        <f>(Sales[[#This Row],[Price_retail]]-Sales[[#This Row],[Price_current]])/Sales[[#This Row],[Price_retail]]</f>
        <v>0</v>
      </c>
      <c r="W51" s="3" t="str" cm="1">
        <f t="array" ref="W5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" spans="1:23" x14ac:dyDescent="0.35">
      <c r="A52" s="2" t="s">
        <v>285</v>
      </c>
      <c r="B52" s="2" t="s">
        <v>286</v>
      </c>
      <c r="C52" s="2" t="s">
        <v>242</v>
      </c>
      <c r="D52" s="2" t="s">
        <v>127</v>
      </c>
      <c r="E52" s="2" t="s">
        <v>4</v>
      </c>
      <c r="F52" s="2" t="s">
        <v>5</v>
      </c>
      <c r="G52" s="2" t="s">
        <v>82</v>
      </c>
      <c r="H52" s="2" t="s">
        <v>110</v>
      </c>
      <c r="I52" s="2" t="s">
        <v>3390</v>
      </c>
      <c r="J52" s="3">
        <v>13.21</v>
      </c>
      <c r="K52" s="3">
        <v>13.21</v>
      </c>
      <c r="L52" s="2" t="s">
        <v>3391</v>
      </c>
      <c r="M52" s="2" t="s">
        <v>9</v>
      </c>
      <c r="N52" s="3">
        <v>238</v>
      </c>
      <c r="O52" s="2" t="s">
        <v>287</v>
      </c>
      <c r="P52" s="2" t="s">
        <v>288</v>
      </c>
      <c r="Q52" s="3"/>
      <c r="R52" s="3"/>
      <c r="S52" s="2" t="s">
        <v>21</v>
      </c>
      <c r="T52" s="4">
        <v>44955</v>
      </c>
      <c r="U52" s="2" t="s">
        <v>289</v>
      </c>
      <c r="V52" s="6">
        <f>(Sales[[#This Row],[Price_retail]]-Sales[[#This Row],[Price_current]])/Sales[[#This Row],[Price_retail]]</f>
        <v>0</v>
      </c>
      <c r="W52" s="3" t="str" cm="1">
        <f t="array" ref="W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" spans="1:23" x14ac:dyDescent="0.35">
      <c r="A53" s="2" t="s">
        <v>290</v>
      </c>
      <c r="B53" s="2" t="s">
        <v>291</v>
      </c>
      <c r="C53" s="2" t="s">
        <v>65</v>
      </c>
      <c r="D53" s="2" t="s">
        <v>292</v>
      </c>
      <c r="E53" s="2" t="s">
        <v>4</v>
      </c>
      <c r="F53" s="2" t="s">
        <v>17</v>
      </c>
      <c r="G53" s="2" t="s">
        <v>27</v>
      </c>
      <c r="H53" s="2" t="s">
        <v>145</v>
      </c>
      <c r="I53" s="2" t="s">
        <v>3395</v>
      </c>
      <c r="J53" s="3">
        <v>10.89</v>
      </c>
      <c r="K53" s="3">
        <v>6.83</v>
      </c>
      <c r="L53" s="2" t="s">
        <v>8</v>
      </c>
      <c r="M53" s="2" t="s">
        <v>9</v>
      </c>
      <c r="N53" s="3">
        <v>817</v>
      </c>
      <c r="O53" s="2" t="s">
        <v>98</v>
      </c>
      <c r="P53" s="2" t="s">
        <v>44</v>
      </c>
      <c r="Q53" s="3"/>
      <c r="R53" s="3"/>
      <c r="S53" s="2" t="s">
        <v>21</v>
      </c>
      <c r="T53" s="4">
        <v>44955</v>
      </c>
      <c r="U53" s="2" t="s">
        <v>293</v>
      </c>
      <c r="V53" s="6">
        <f>(Sales[[#This Row],[Price_retail]]-Sales[[#This Row],[Price_current]])/Sales[[#This Row],[Price_retail]]</f>
        <v>0.37281910009182739</v>
      </c>
      <c r="W53" s="3" t="str" cm="1">
        <f t="array" ref="W5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4" spans="1:23" x14ac:dyDescent="0.35">
      <c r="A54" s="2" t="s">
        <v>294</v>
      </c>
      <c r="B54" s="2" t="s">
        <v>295</v>
      </c>
      <c r="C54" s="2" t="s">
        <v>3401</v>
      </c>
      <c r="D54" s="2" t="s">
        <v>296</v>
      </c>
      <c r="E54" s="2" t="s">
        <v>4</v>
      </c>
      <c r="F54" s="2" t="s">
        <v>5</v>
      </c>
      <c r="G54" s="2" t="s">
        <v>121</v>
      </c>
      <c r="H54" s="2" t="s">
        <v>145</v>
      </c>
      <c r="I54" s="2" t="s">
        <v>3390</v>
      </c>
      <c r="J54" s="3">
        <v>22.53</v>
      </c>
      <c r="K54" s="3">
        <v>22.53</v>
      </c>
      <c r="L54" s="2" t="s">
        <v>3391</v>
      </c>
      <c r="M54" s="2" t="s">
        <v>9</v>
      </c>
      <c r="N54" s="3">
        <v>158</v>
      </c>
      <c r="O54" s="2" t="s">
        <v>43</v>
      </c>
      <c r="P54" s="2" t="s">
        <v>192</v>
      </c>
      <c r="Q54" s="3"/>
      <c r="R54" s="3"/>
      <c r="S54" s="2" t="s">
        <v>21</v>
      </c>
      <c r="T54" s="4">
        <v>44955</v>
      </c>
      <c r="U54" s="2" t="s">
        <v>297</v>
      </c>
      <c r="V54" s="6">
        <f>(Sales[[#This Row],[Price_retail]]-Sales[[#This Row],[Price_current]])/Sales[[#This Row],[Price_retail]]</f>
        <v>0</v>
      </c>
      <c r="W54" s="3" t="str" cm="1">
        <f t="array" ref="W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" spans="1:23" x14ac:dyDescent="0.35">
      <c r="A55" s="2" t="s">
        <v>298</v>
      </c>
      <c r="B55" s="2" t="s">
        <v>299</v>
      </c>
      <c r="C55" s="2" t="s">
        <v>300</v>
      </c>
      <c r="D55" s="2" t="s">
        <v>301</v>
      </c>
      <c r="E55" s="2" t="s">
        <v>4</v>
      </c>
      <c r="F55" s="2" t="s">
        <v>17</v>
      </c>
      <c r="G55" s="2" t="s">
        <v>18</v>
      </c>
      <c r="H55" s="2" t="s">
        <v>145</v>
      </c>
      <c r="I55" s="2" t="s">
        <v>3389</v>
      </c>
      <c r="J55" s="3">
        <v>27.26</v>
      </c>
      <c r="K55" s="3">
        <v>27.26</v>
      </c>
      <c r="L55" s="2" t="s">
        <v>248</v>
      </c>
      <c r="M55" s="2" t="s">
        <v>9</v>
      </c>
      <c r="N55" s="3">
        <v>734</v>
      </c>
      <c r="O55" s="2" t="s">
        <v>302</v>
      </c>
      <c r="P55" s="2" t="s">
        <v>3392</v>
      </c>
      <c r="Q55" s="3"/>
      <c r="R55" s="3"/>
      <c r="S55" s="2" t="s">
        <v>21</v>
      </c>
      <c r="T55" s="4">
        <v>44955</v>
      </c>
      <c r="U55" s="2" t="s">
        <v>303</v>
      </c>
      <c r="V55" s="6">
        <f>(Sales[[#This Row],[Price_retail]]-Sales[[#This Row],[Price_current]])/Sales[[#This Row],[Price_retail]]</f>
        <v>0</v>
      </c>
      <c r="W55" s="3" t="str" cm="1">
        <f t="array" ref="W5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" spans="1:23" x14ac:dyDescent="0.35">
      <c r="A56" s="2" t="s">
        <v>304</v>
      </c>
      <c r="B56" s="2" t="s">
        <v>305</v>
      </c>
      <c r="C56" s="2" t="s">
        <v>306</v>
      </c>
      <c r="D56" s="2" t="s">
        <v>307</v>
      </c>
      <c r="E56" s="2" t="s">
        <v>4</v>
      </c>
      <c r="F56" s="2" t="s">
        <v>5</v>
      </c>
      <c r="G56" s="2" t="s">
        <v>6</v>
      </c>
      <c r="H56" s="2" t="s">
        <v>83</v>
      </c>
      <c r="I56" s="2" t="s">
        <v>3393</v>
      </c>
      <c r="J56" s="3">
        <v>9.6999999999999993</v>
      </c>
      <c r="K56" s="3">
        <v>4.88</v>
      </c>
      <c r="L56" s="2" t="s">
        <v>8</v>
      </c>
      <c r="M56" s="2" t="s">
        <v>9</v>
      </c>
      <c r="N56" s="3">
        <v>228</v>
      </c>
      <c r="O56" s="2" t="s">
        <v>91</v>
      </c>
      <c r="P56" s="2" t="s">
        <v>238</v>
      </c>
      <c r="Q56" s="3"/>
      <c r="R56" s="3"/>
      <c r="S56" s="2" t="s">
        <v>21</v>
      </c>
      <c r="T56" s="4">
        <v>44955</v>
      </c>
      <c r="U56" s="2" t="s">
        <v>308</v>
      </c>
      <c r="V56" s="6">
        <f>(Sales[[#This Row],[Price_retail]]-Sales[[#This Row],[Price_current]])/Sales[[#This Row],[Price_retail]]</f>
        <v>0.49690721649484532</v>
      </c>
      <c r="W56" s="3" t="str" cm="1">
        <f t="array" ref="W5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7" spans="1:23" x14ac:dyDescent="0.35">
      <c r="A57" s="2" t="s">
        <v>309</v>
      </c>
      <c r="B57" s="2" t="s">
        <v>310</v>
      </c>
      <c r="C57" s="2" t="s">
        <v>2915</v>
      </c>
      <c r="D57" s="2" t="s">
        <v>42</v>
      </c>
      <c r="E57" s="2" t="s">
        <v>4</v>
      </c>
      <c r="F57" s="2" t="s">
        <v>5</v>
      </c>
      <c r="G57" s="2" t="s">
        <v>82</v>
      </c>
      <c r="H57" s="2"/>
      <c r="I57" s="2" t="s">
        <v>3390</v>
      </c>
      <c r="J57" s="3">
        <v>16.03</v>
      </c>
      <c r="K57" s="3">
        <v>13.1</v>
      </c>
      <c r="L57" s="2" t="s">
        <v>8</v>
      </c>
      <c r="M57" s="2" t="s">
        <v>9</v>
      </c>
      <c r="N57" s="3">
        <v>286</v>
      </c>
      <c r="O57" s="2" t="s">
        <v>43</v>
      </c>
      <c r="P57" s="2" t="s">
        <v>221</v>
      </c>
      <c r="Q57" s="3"/>
      <c r="R57" s="3"/>
      <c r="S57" s="2" t="s">
        <v>21</v>
      </c>
      <c r="T57" s="4">
        <v>44955</v>
      </c>
      <c r="U57" s="2" t="s">
        <v>311</v>
      </c>
      <c r="V57" s="6">
        <f>(Sales[[#This Row],[Price_retail]]-Sales[[#This Row],[Price_current]])/Sales[[#This Row],[Price_retail]]</f>
        <v>0.18278228321896453</v>
      </c>
      <c r="W57" s="3" t="str" cm="1">
        <f t="array" ref="W57">_xlfn.IFS(Sales[[#This Row],[Discount]]=0%,"No Discount",Sales[[#This Row],[Discount]]&lt;=20%,"Light",Sales[[#This Row],[Discount]]&lt;=50%,"Moderate",Sales[[#This Row],[Discount]]&lt;=80%,"High",
TRUE,"Very High")</f>
        <v>Light</v>
      </c>
    </row>
    <row r="58" spans="1:23" x14ac:dyDescent="0.35">
      <c r="A58" s="2" t="s">
        <v>312</v>
      </c>
      <c r="B58" s="2" t="s">
        <v>313</v>
      </c>
      <c r="C58" s="2" t="s">
        <v>25</v>
      </c>
      <c r="D58" s="2" t="s">
        <v>314</v>
      </c>
      <c r="E58" s="2" t="s">
        <v>4</v>
      </c>
      <c r="F58" s="2" t="s">
        <v>17</v>
      </c>
      <c r="G58" s="2" t="s">
        <v>67</v>
      </c>
      <c r="H58" s="2" t="s">
        <v>59</v>
      </c>
      <c r="I58" s="2" t="s">
        <v>3393</v>
      </c>
      <c r="J58" s="3">
        <v>31.71</v>
      </c>
      <c r="K58" s="3">
        <v>18.25</v>
      </c>
      <c r="L58" s="2" t="s">
        <v>8</v>
      </c>
      <c r="M58" s="2" t="s">
        <v>9</v>
      </c>
      <c r="N58" s="3">
        <v>643</v>
      </c>
      <c r="O58" s="2" t="s">
        <v>20</v>
      </c>
      <c r="P58" s="2" t="s">
        <v>177</v>
      </c>
      <c r="Q58" s="3"/>
      <c r="R58" s="3"/>
      <c r="S58" s="2" t="s">
        <v>21</v>
      </c>
      <c r="T58" s="4">
        <v>44955</v>
      </c>
      <c r="U58" s="2" t="s">
        <v>315</v>
      </c>
      <c r="V58" s="6">
        <f>(Sales[[#This Row],[Price_retail]]-Sales[[#This Row],[Price_current]])/Sales[[#This Row],[Price_retail]]</f>
        <v>0.42447177546515297</v>
      </c>
      <c r="W58" s="3" t="str" cm="1">
        <f t="array" ref="W5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9" spans="1:23" x14ac:dyDescent="0.35">
      <c r="A59" s="2" t="s">
        <v>316</v>
      </c>
      <c r="B59" s="2" t="s">
        <v>317</v>
      </c>
      <c r="C59" s="2" t="s">
        <v>318</v>
      </c>
      <c r="D59" s="2" t="s">
        <v>319</v>
      </c>
      <c r="E59" s="2" t="s">
        <v>4</v>
      </c>
      <c r="F59" s="2" t="s">
        <v>5</v>
      </c>
      <c r="G59" s="2" t="s">
        <v>6</v>
      </c>
      <c r="H59" s="2" t="s">
        <v>90</v>
      </c>
      <c r="I59" s="2" t="s">
        <v>3390</v>
      </c>
      <c r="J59" s="3">
        <v>22.85</v>
      </c>
      <c r="K59" s="3">
        <v>22.85</v>
      </c>
      <c r="L59" s="2" t="s">
        <v>3391</v>
      </c>
      <c r="M59" s="2" t="s">
        <v>9</v>
      </c>
      <c r="N59" s="3">
        <v>300</v>
      </c>
      <c r="O59" s="2" t="s">
        <v>267</v>
      </c>
      <c r="P59" s="2" t="s">
        <v>3392</v>
      </c>
      <c r="Q59" s="3"/>
      <c r="R59" s="3"/>
      <c r="S59" s="2" t="s">
        <v>21</v>
      </c>
      <c r="T59" s="4">
        <v>44955</v>
      </c>
      <c r="U59" s="2" t="s">
        <v>320</v>
      </c>
      <c r="V59" s="6">
        <f>(Sales[[#This Row],[Price_retail]]-Sales[[#This Row],[Price_current]])/Sales[[#This Row],[Price_retail]]</f>
        <v>0</v>
      </c>
      <c r="W59" s="3" t="str" cm="1">
        <f t="array" ref="W5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" spans="1:23" x14ac:dyDescent="0.35">
      <c r="A60" s="2" t="s">
        <v>321</v>
      </c>
      <c r="B60" s="2" t="s">
        <v>322</v>
      </c>
      <c r="C60" s="2" t="s">
        <v>323</v>
      </c>
      <c r="D60" s="2" t="s">
        <v>3402</v>
      </c>
      <c r="E60" s="2" t="s">
        <v>4</v>
      </c>
      <c r="F60" s="2" t="s">
        <v>17</v>
      </c>
      <c r="G60" s="2" t="s">
        <v>18</v>
      </c>
      <c r="H60" s="2" t="s">
        <v>28</v>
      </c>
      <c r="I60" s="2" t="s">
        <v>3393</v>
      </c>
      <c r="J60" s="3">
        <v>24.8</v>
      </c>
      <c r="K60" s="3">
        <v>16.8</v>
      </c>
      <c r="L60" s="2" t="s">
        <v>8</v>
      </c>
      <c r="M60" s="2" t="s">
        <v>9</v>
      </c>
      <c r="N60" s="3">
        <v>730</v>
      </c>
      <c r="O60" s="2" t="s">
        <v>60</v>
      </c>
      <c r="P60" s="2" t="s">
        <v>70</v>
      </c>
      <c r="Q60" s="3"/>
      <c r="R60" s="3"/>
      <c r="S60" s="2" t="s">
        <v>21</v>
      </c>
      <c r="T60" s="4">
        <v>44955</v>
      </c>
      <c r="U60" s="2" t="s">
        <v>324</v>
      </c>
      <c r="V60" s="6">
        <f>(Sales[[#This Row],[Price_retail]]-Sales[[#This Row],[Price_current]])/Sales[[#This Row],[Price_retail]]</f>
        <v>0.32258064516129031</v>
      </c>
      <c r="W60" s="3" t="str" cm="1">
        <f t="array" ref="W6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1" spans="1:23" x14ac:dyDescent="0.35">
      <c r="A61" s="2" t="s">
        <v>325</v>
      </c>
      <c r="B61" s="2" t="s">
        <v>326</v>
      </c>
      <c r="C61" s="2" t="s">
        <v>3394</v>
      </c>
      <c r="D61" s="2" t="s">
        <v>327</v>
      </c>
      <c r="E61" s="2" t="s">
        <v>4</v>
      </c>
      <c r="F61" s="2" t="s">
        <v>5</v>
      </c>
      <c r="G61" s="2" t="s">
        <v>121</v>
      </c>
      <c r="H61" s="2" t="s">
        <v>110</v>
      </c>
      <c r="I61" s="2" t="s">
        <v>3393</v>
      </c>
      <c r="J61" s="3">
        <v>33.19</v>
      </c>
      <c r="K61" s="3">
        <v>33.19</v>
      </c>
      <c r="L61" s="2" t="s">
        <v>3391</v>
      </c>
      <c r="M61" s="2" t="s">
        <v>9</v>
      </c>
      <c r="N61" s="3">
        <v>782</v>
      </c>
      <c r="O61" s="2" t="s">
        <v>3392</v>
      </c>
      <c r="P61" s="2" t="s">
        <v>328</v>
      </c>
      <c r="Q61" s="3"/>
      <c r="R61" s="3"/>
      <c r="S61" s="2" t="s">
        <v>21</v>
      </c>
      <c r="T61" s="4">
        <v>44955</v>
      </c>
      <c r="U61" s="2" t="s">
        <v>329</v>
      </c>
      <c r="V61" s="6">
        <f>(Sales[[#This Row],[Price_retail]]-Sales[[#This Row],[Price_current]])/Sales[[#This Row],[Price_retail]]</f>
        <v>0</v>
      </c>
      <c r="W61" s="3" t="str" cm="1">
        <f t="array" ref="W6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2" spans="1:23" x14ac:dyDescent="0.35">
      <c r="A62" s="2" t="s">
        <v>330</v>
      </c>
      <c r="B62" s="2" t="s">
        <v>331</v>
      </c>
      <c r="C62" s="2" t="s">
        <v>2179</v>
      </c>
      <c r="D62" s="2" t="s">
        <v>332</v>
      </c>
      <c r="E62" s="2" t="s">
        <v>4</v>
      </c>
      <c r="F62" s="2" t="s">
        <v>5</v>
      </c>
      <c r="G62" s="2" t="s">
        <v>82</v>
      </c>
      <c r="H62" s="2" t="s">
        <v>333</v>
      </c>
      <c r="I62" s="2" t="s">
        <v>3395</v>
      </c>
      <c r="J62" s="3">
        <v>32.96</v>
      </c>
      <c r="K62" s="3">
        <v>32.96</v>
      </c>
      <c r="L62" s="2" t="s">
        <v>3391</v>
      </c>
      <c r="M62" s="2" t="s">
        <v>9</v>
      </c>
      <c r="N62" s="3">
        <v>678</v>
      </c>
      <c r="O62" s="2" t="s">
        <v>3392</v>
      </c>
      <c r="P62" s="2" t="s">
        <v>334</v>
      </c>
      <c r="Q62" s="3"/>
      <c r="R62" s="3"/>
      <c r="S62" s="2" t="s">
        <v>21</v>
      </c>
      <c r="T62" s="4">
        <v>44955</v>
      </c>
      <c r="U62" s="2" t="s">
        <v>335</v>
      </c>
      <c r="V62" s="6">
        <f>(Sales[[#This Row],[Price_retail]]-Sales[[#This Row],[Price_current]])/Sales[[#This Row],[Price_retail]]</f>
        <v>0</v>
      </c>
      <c r="W62" s="3" t="str" cm="1">
        <f t="array" ref="W6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" spans="1:23" x14ac:dyDescent="0.35">
      <c r="A63" s="2" t="s">
        <v>336</v>
      </c>
      <c r="B63" s="2" t="s">
        <v>337</v>
      </c>
      <c r="C63" s="2" t="s">
        <v>65</v>
      </c>
      <c r="D63" s="2" t="s">
        <v>338</v>
      </c>
      <c r="E63" s="2" t="s">
        <v>4</v>
      </c>
      <c r="F63" s="2" t="s">
        <v>17</v>
      </c>
      <c r="G63" s="2" t="s">
        <v>18</v>
      </c>
      <c r="H63" s="2" t="s">
        <v>90</v>
      </c>
      <c r="I63" s="2" t="s">
        <v>3390</v>
      </c>
      <c r="J63" s="3">
        <v>27.54</v>
      </c>
      <c r="K63" s="3">
        <v>27.54</v>
      </c>
      <c r="L63" s="2" t="s">
        <v>3391</v>
      </c>
      <c r="M63" s="2" t="s">
        <v>9</v>
      </c>
      <c r="N63" s="3">
        <v>297</v>
      </c>
      <c r="O63" s="2" t="s">
        <v>140</v>
      </c>
      <c r="P63" s="2" t="s">
        <v>92</v>
      </c>
      <c r="Q63" s="3"/>
      <c r="R63" s="3"/>
      <c r="S63" s="2" t="s">
        <v>21</v>
      </c>
      <c r="T63" s="4">
        <v>44955</v>
      </c>
      <c r="U63" s="2" t="s">
        <v>339</v>
      </c>
      <c r="V63" s="6">
        <f>(Sales[[#This Row],[Price_retail]]-Sales[[#This Row],[Price_current]])/Sales[[#This Row],[Price_retail]]</f>
        <v>0</v>
      </c>
      <c r="W63" s="3" t="str" cm="1">
        <f t="array" ref="W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" spans="1:23" x14ac:dyDescent="0.35">
      <c r="A64" s="2" t="s">
        <v>340</v>
      </c>
      <c r="B64" s="2" t="s">
        <v>341</v>
      </c>
      <c r="C64" s="2" t="s">
        <v>3433</v>
      </c>
      <c r="D64" s="2" t="s">
        <v>342</v>
      </c>
      <c r="E64" s="2" t="s">
        <v>4</v>
      </c>
      <c r="F64" s="2" t="s">
        <v>17</v>
      </c>
      <c r="G64" s="2" t="s">
        <v>67</v>
      </c>
      <c r="H64" s="2" t="s">
        <v>237</v>
      </c>
      <c r="I64" s="2" t="s">
        <v>3393</v>
      </c>
      <c r="J64" s="3">
        <v>16.940000000000001</v>
      </c>
      <c r="K64" s="3">
        <v>16.940000000000001</v>
      </c>
      <c r="L64" s="2" t="s">
        <v>3391</v>
      </c>
      <c r="M64" s="2" t="s">
        <v>9</v>
      </c>
      <c r="N64" s="3">
        <v>956</v>
      </c>
      <c r="O64" s="2" t="s">
        <v>60</v>
      </c>
      <c r="P64" s="2" t="s">
        <v>53</v>
      </c>
      <c r="Q64" s="3"/>
      <c r="R64" s="3"/>
      <c r="S64" s="2" t="s">
        <v>21</v>
      </c>
      <c r="T64" s="4">
        <v>44955</v>
      </c>
      <c r="U64" s="2" t="s">
        <v>343</v>
      </c>
      <c r="V64" s="6">
        <f>(Sales[[#This Row],[Price_retail]]-Sales[[#This Row],[Price_current]])/Sales[[#This Row],[Price_retail]]</f>
        <v>0</v>
      </c>
      <c r="W64" s="3" t="str" cm="1">
        <f t="array" ref="W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5" spans="1:23" x14ac:dyDescent="0.35">
      <c r="A65" s="2" t="s">
        <v>344</v>
      </c>
      <c r="B65" s="2" t="s">
        <v>345</v>
      </c>
      <c r="C65" s="2" t="s">
        <v>242</v>
      </c>
      <c r="D65" s="2" t="s">
        <v>346</v>
      </c>
      <c r="E65" s="2" t="s">
        <v>4</v>
      </c>
      <c r="F65" s="2" t="s">
        <v>5</v>
      </c>
      <c r="G65" s="2" t="s">
        <v>82</v>
      </c>
      <c r="H65" s="2"/>
      <c r="I65" s="2" t="s">
        <v>3393</v>
      </c>
      <c r="J65" s="3">
        <v>12.68</v>
      </c>
      <c r="K65" s="3">
        <v>10.81</v>
      </c>
      <c r="L65" s="2" t="s">
        <v>8</v>
      </c>
      <c r="M65" s="2" t="s">
        <v>9</v>
      </c>
      <c r="N65" s="3">
        <v>332</v>
      </c>
      <c r="O65" s="2" t="s">
        <v>347</v>
      </c>
      <c r="P65" s="2" t="s">
        <v>37</v>
      </c>
      <c r="Q65" s="3"/>
      <c r="R65" s="3"/>
      <c r="S65" s="2" t="s">
        <v>21</v>
      </c>
      <c r="T65" s="4">
        <v>44955</v>
      </c>
      <c r="U65" s="2" t="s">
        <v>348</v>
      </c>
      <c r="V65" s="6">
        <f>(Sales[[#This Row],[Price_retail]]-Sales[[#This Row],[Price_current]])/Sales[[#This Row],[Price_retail]]</f>
        <v>0.14747634069400625</v>
      </c>
      <c r="W65" s="3" t="str" cm="1">
        <f t="array" ref="W65">_xlfn.IFS(Sales[[#This Row],[Discount]]=0%,"No Discount",Sales[[#This Row],[Discount]]&lt;=20%,"Light",Sales[[#This Row],[Discount]]&lt;=50%,"Moderate",Sales[[#This Row],[Discount]]&lt;=80%,"High",
TRUE,"Very High")</f>
        <v>Light</v>
      </c>
    </row>
    <row r="66" spans="1:23" x14ac:dyDescent="0.35">
      <c r="A66" s="2" t="s">
        <v>349</v>
      </c>
      <c r="B66" s="2" t="s">
        <v>350</v>
      </c>
      <c r="C66" s="2" t="s">
        <v>242</v>
      </c>
      <c r="D66" s="2" t="s">
        <v>3403</v>
      </c>
      <c r="E66" s="2" t="s">
        <v>4</v>
      </c>
      <c r="F66" s="2" t="s">
        <v>5</v>
      </c>
      <c r="G66" s="2" t="s">
        <v>121</v>
      </c>
      <c r="H66" s="2" t="s">
        <v>51</v>
      </c>
      <c r="I66" s="2" t="s">
        <v>3390</v>
      </c>
      <c r="J66" s="3">
        <v>16.559999999999999</v>
      </c>
      <c r="K66" s="3">
        <v>16.559999999999999</v>
      </c>
      <c r="L66" s="2" t="s">
        <v>3391</v>
      </c>
      <c r="M66" s="2" t="s">
        <v>9</v>
      </c>
      <c r="N66" s="3">
        <v>829</v>
      </c>
      <c r="O66" s="2" t="s">
        <v>302</v>
      </c>
      <c r="P66" s="2" t="s">
        <v>53</v>
      </c>
      <c r="Q66" s="3"/>
      <c r="R66" s="3"/>
      <c r="S66" s="2" t="s">
        <v>12</v>
      </c>
      <c r="T66" s="4">
        <v>44955</v>
      </c>
      <c r="U66" s="2" t="s">
        <v>351</v>
      </c>
      <c r="V66" s="6">
        <f>(Sales[[#This Row],[Price_retail]]-Sales[[#This Row],[Price_current]])/Sales[[#This Row],[Price_retail]]</f>
        <v>0</v>
      </c>
      <c r="W66" s="3" t="str" cm="1">
        <f t="array" ref="W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7" spans="1:23" x14ac:dyDescent="0.35">
      <c r="A67" s="2" t="s">
        <v>352</v>
      </c>
      <c r="B67" s="2" t="s">
        <v>353</v>
      </c>
      <c r="C67" s="2" t="s">
        <v>242</v>
      </c>
      <c r="D67" s="2" t="s">
        <v>354</v>
      </c>
      <c r="E67" s="2" t="s">
        <v>4</v>
      </c>
      <c r="F67" s="2" t="s">
        <v>17</v>
      </c>
      <c r="G67" s="2" t="s">
        <v>67</v>
      </c>
      <c r="H67" s="2" t="s">
        <v>90</v>
      </c>
      <c r="I67" s="2" t="s">
        <v>3390</v>
      </c>
      <c r="J67" s="3">
        <v>11.66</v>
      </c>
      <c r="K67" s="3">
        <v>11.66</v>
      </c>
      <c r="L67" s="2" t="s">
        <v>3391</v>
      </c>
      <c r="M67" s="2" t="s">
        <v>9</v>
      </c>
      <c r="N67" s="3">
        <v>225</v>
      </c>
      <c r="O67" s="2" t="s">
        <v>347</v>
      </c>
      <c r="P67" s="2" t="s">
        <v>84</v>
      </c>
      <c r="Q67" s="3"/>
      <c r="R67" s="3"/>
      <c r="S67" s="2" t="s">
        <v>12</v>
      </c>
      <c r="T67" s="4">
        <v>44955</v>
      </c>
      <c r="U67" s="2" t="s">
        <v>355</v>
      </c>
      <c r="V67" s="6">
        <f>(Sales[[#This Row],[Price_retail]]-Sales[[#This Row],[Price_current]])/Sales[[#This Row],[Price_retail]]</f>
        <v>0</v>
      </c>
      <c r="W67" s="3" t="str" cm="1">
        <f t="array" ref="W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" spans="1:23" x14ac:dyDescent="0.35">
      <c r="A68" s="2" t="s">
        <v>356</v>
      </c>
      <c r="B68" s="2" t="s">
        <v>357</v>
      </c>
      <c r="C68" s="2" t="s">
        <v>65</v>
      </c>
      <c r="D68" s="2" t="s">
        <v>358</v>
      </c>
      <c r="E68" s="2" t="s">
        <v>4</v>
      </c>
      <c r="F68" s="2" t="s">
        <v>5</v>
      </c>
      <c r="G68" s="2" t="s">
        <v>6</v>
      </c>
      <c r="H68" s="2" t="s">
        <v>333</v>
      </c>
      <c r="I68" s="2" t="s">
        <v>3395</v>
      </c>
      <c r="J68" s="3">
        <v>8.99</v>
      </c>
      <c r="K68" s="3">
        <v>5.83</v>
      </c>
      <c r="L68" s="2" t="s">
        <v>8</v>
      </c>
      <c r="M68" s="2" t="s">
        <v>9</v>
      </c>
      <c r="N68" s="3">
        <v>533</v>
      </c>
      <c r="O68" s="2" t="s">
        <v>359</v>
      </c>
      <c r="P68" s="2" t="s">
        <v>128</v>
      </c>
      <c r="Q68" s="3"/>
      <c r="R68" s="3"/>
      <c r="S68" s="2" t="s">
        <v>21</v>
      </c>
      <c r="T68" s="4">
        <v>44955</v>
      </c>
      <c r="U68" s="2" t="s">
        <v>360</v>
      </c>
      <c r="V68" s="6">
        <f>(Sales[[#This Row],[Price_retail]]-Sales[[#This Row],[Price_current]])/Sales[[#This Row],[Price_retail]]</f>
        <v>0.3515016685205784</v>
      </c>
      <c r="W68" s="3" t="str" cm="1">
        <f t="array" ref="W6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" spans="1:23" x14ac:dyDescent="0.35">
      <c r="A69" s="2" t="s">
        <v>361</v>
      </c>
      <c r="B69" s="2" t="s">
        <v>362</v>
      </c>
      <c r="C69" s="2" t="s">
        <v>3396</v>
      </c>
      <c r="D69" s="2" t="s">
        <v>363</v>
      </c>
      <c r="E69" s="2" t="s">
        <v>4</v>
      </c>
      <c r="F69" s="2" t="s">
        <v>17</v>
      </c>
      <c r="G69" s="2" t="s">
        <v>18</v>
      </c>
      <c r="H69" s="2" t="s">
        <v>59</v>
      </c>
      <c r="I69" s="2" t="s">
        <v>3390</v>
      </c>
      <c r="J69" s="3">
        <v>13.41</v>
      </c>
      <c r="K69" s="3">
        <v>6.23</v>
      </c>
      <c r="L69" s="2" t="s">
        <v>8</v>
      </c>
      <c r="M69" s="2" t="s">
        <v>9</v>
      </c>
      <c r="N69" s="3">
        <v>818</v>
      </c>
      <c r="O69" s="2" t="s">
        <v>10</v>
      </c>
      <c r="P69" s="2" t="s">
        <v>53</v>
      </c>
      <c r="Q69" s="3"/>
      <c r="R69" s="3"/>
      <c r="S69" s="2" t="s">
        <v>21</v>
      </c>
      <c r="T69" s="4">
        <v>44955</v>
      </c>
      <c r="U69" s="2" t="s">
        <v>364</v>
      </c>
      <c r="V69" s="6">
        <f>(Sales[[#This Row],[Price_retail]]-Sales[[#This Row],[Price_current]])/Sales[[#This Row],[Price_retail]]</f>
        <v>0.53542132736763604</v>
      </c>
      <c r="W69" s="3" t="str" cm="1">
        <f t="array" ref="W69">_xlfn.IFS(Sales[[#This Row],[Discount]]=0%,"No Discount",Sales[[#This Row],[Discount]]&lt;=20%,"Light",Sales[[#This Row],[Discount]]&lt;=50%,"Moderate",Sales[[#This Row],[Discount]]&lt;=80%,"High",
TRUE,"Very High")</f>
        <v>High</v>
      </c>
    </row>
    <row r="70" spans="1:23" x14ac:dyDescent="0.35">
      <c r="A70" s="2" t="s">
        <v>365</v>
      </c>
      <c r="B70" s="2" t="s">
        <v>366</v>
      </c>
      <c r="C70" s="2" t="s">
        <v>367</v>
      </c>
      <c r="D70" s="2" t="s">
        <v>181</v>
      </c>
      <c r="E70" s="2" t="s">
        <v>4</v>
      </c>
      <c r="F70" s="2" t="s">
        <v>5</v>
      </c>
      <c r="G70" s="2" t="s">
        <v>121</v>
      </c>
      <c r="H70" s="2"/>
      <c r="I70" s="2" t="s">
        <v>3395</v>
      </c>
      <c r="J70" s="3">
        <v>19.04</v>
      </c>
      <c r="K70" s="3">
        <v>19.04</v>
      </c>
      <c r="L70" s="2" t="s">
        <v>3391</v>
      </c>
      <c r="M70" s="2" t="s">
        <v>9</v>
      </c>
      <c r="N70" s="3">
        <v>631</v>
      </c>
      <c r="O70" s="2" t="s">
        <v>3392</v>
      </c>
      <c r="P70" s="2" t="s">
        <v>368</v>
      </c>
      <c r="Q70" s="3"/>
      <c r="R70" s="3"/>
      <c r="S70" s="2" t="s">
        <v>21</v>
      </c>
      <c r="T70" s="4">
        <v>44955</v>
      </c>
      <c r="U70" s="2" t="s">
        <v>369</v>
      </c>
      <c r="V70" s="6">
        <f>(Sales[[#This Row],[Price_retail]]-Sales[[#This Row],[Price_current]])/Sales[[#This Row],[Price_retail]]</f>
        <v>0</v>
      </c>
      <c r="W70" s="3" t="str" cm="1">
        <f t="array" ref="W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" spans="1:23" x14ac:dyDescent="0.35">
      <c r="A71" s="2" t="s">
        <v>370</v>
      </c>
      <c r="B71" s="2" t="s">
        <v>371</v>
      </c>
      <c r="C71" s="2" t="s">
        <v>3404</v>
      </c>
      <c r="D71" s="2" t="s">
        <v>372</v>
      </c>
      <c r="E71" s="2" t="s">
        <v>4</v>
      </c>
      <c r="F71" s="2" t="s">
        <v>5</v>
      </c>
      <c r="G71" s="2" t="s">
        <v>6</v>
      </c>
      <c r="H71" s="2" t="s">
        <v>134</v>
      </c>
      <c r="I71" s="2" t="s">
        <v>3393</v>
      </c>
      <c r="J71" s="3">
        <v>11.32</v>
      </c>
      <c r="K71" s="3">
        <v>9.11</v>
      </c>
      <c r="L71" s="2" t="s">
        <v>8</v>
      </c>
      <c r="M71" s="2" t="s">
        <v>9</v>
      </c>
      <c r="N71" s="3">
        <v>15</v>
      </c>
      <c r="O71" s="2" t="s">
        <v>60</v>
      </c>
      <c r="P71" s="2" t="s">
        <v>53</v>
      </c>
      <c r="Q71" s="3"/>
      <c r="R71" s="3"/>
      <c r="S71" s="2" t="s">
        <v>12</v>
      </c>
      <c r="T71" s="4">
        <v>44955</v>
      </c>
      <c r="U71" s="2" t="s">
        <v>373</v>
      </c>
      <c r="V71" s="6">
        <f>(Sales[[#This Row],[Price_retail]]-Sales[[#This Row],[Price_current]])/Sales[[#This Row],[Price_retail]]</f>
        <v>0.19522968197879867</v>
      </c>
      <c r="W71" s="3" t="str" cm="1">
        <f t="array" ref="W71">_xlfn.IFS(Sales[[#This Row],[Discount]]=0%,"No Discount",Sales[[#This Row],[Discount]]&lt;=20%,"Light",Sales[[#This Row],[Discount]]&lt;=50%,"Moderate",Sales[[#This Row],[Discount]]&lt;=80%,"High",
TRUE,"Very High")</f>
        <v>Light</v>
      </c>
    </row>
    <row r="72" spans="1:23" x14ac:dyDescent="0.35">
      <c r="A72" s="2" t="s">
        <v>374</v>
      </c>
      <c r="B72" s="2" t="s">
        <v>375</v>
      </c>
      <c r="C72" s="2" t="s">
        <v>65</v>
      </c>
      <c r="D72" s="2" t="s">
        <v>376</v>
      </c>
      <c r="E72" s="2" t="s">
        <v>4</v>
      </c>
      <c r="F72" s="2" t="s">
        <v>17</v>
      </c>
      <c r="G72" s="2" t="s">
        <v>18</v>
      </c>
      <c r="H72" s="2" t="s">
        <v>168</v>
      </c>
      <c r="I72" s="2" t="s">
        <v>3393</v>
      </c>
      <c r="J72" s="3">
        <v>14.07</v>
      </c>
      <c r="K72" s="3">
        <v>14.07</v>
      </c>
      <c r="L72" s="2" t="s">
        <v>3391</v>
      </c>
      <c r="M72" s="2" t="s">
        <v>9</v>
      </c>
      <c r="N72" s="3">
        <v>437</v>
      </c>
      <c r="O72" s="2" t="s">
        <v>347</v>
      </c>
      <c r="P72" s="2" t="s">
        <v>30</v>
      </c>
      <c r="Q72" s="3"/>
      <c r="R72" s="3"/>
      <c r="S72" s="2" t="s">
        <v>21</v>
      </c>
      <c r="T72" s="4">
        <v>44955</v>
      </c>
      <c r="U72" s="2" t="s">
        <v>377</v>
      </c>
      <c r="V72" s="6">
        <f>(Sales[[#This Row],[Price_retail]]-Sales[[#This Row],[Price_current]])/Sales[[#This Row],[Price_retail]]</f>
        <v>0</v>
      </c>
      <c r="W72" s="3" t="str" cm="1">
        <f t="array" ref="W7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3" spans="1:23" x14ac:dyDescent="0.35">
      <c r="A73" s="2" t="s">
        <v>378</v>
      </c>
      <c r="B73" s="2" t="s">
        <v>379</v>
      </c>
      <c r="C73" s="2" t="s">
        <v>242</v>
      </c>
      <c r="D73" s="2" t="s">
        <v>354</v>
      </c>
      <c r="E73" s="2" t="s">
        <v>4</v>
      </c>
      <c r="F73" s="2" t="s">
        <v>17</v>
      </c>
      <c r="G73" s="2" t="s">
        <v>50</v>
      </c>
      <c r="H73" s="2" t="s">
        <v>90</v>
      </c>
      <c r="I73" s="2" t="s">
        <v>3390</v>
      </c>
      <c r="J73" s="3">
        <v>14.37</v>
      </c>
      <c r="K73" s="3">
        <v>9.82</v>
      </c>
      <c r="L73" s="2" t="s">
        <v>8</v>
      </c>
      <c r="M73" s="2" t="s">
        <v>9</v>
      </c>
      <c r="N73" s="3">
        <v>609</v>
      </c>
      <c r="O73" s="2" t="s">
        <v>347</v>
      </c>
      <c r="P73" s="2" t="s">
        <v>122</v>
      </c>
      <c r="Q73" s="3"/>
      <c r="R73" s="3"/>
      <c r="S73" s="2" t="s">
        <v>21</v>
      </c>
      <c r="T73" s="4">
        <v>44955</v>
      </c>
      <c r="U73" s="2" t="s">
        <v>380</v>
      </c>
      <c r="V73" s="6">
        <f>(Sales[[#This Row],[Price_retail]]-Sales[[#This Row],[Price_current]])/Sales[[#This Row],[Price_retail]]</f>
        <v>0.31663187195546272</v>
      </c>
      <c r="W73" s="3" t="str" cm="1">
        <f t="array" ref="W7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4" spans="1:23" x14ac:dyDescent="0.35">
      <c r="A74" s="2" t="s">
        <v>381</v>
      </c>
      <c r="B74" s="2" t="s">
        <v>382</v>
      </c>
      <c r="C74" s="2" t="s">
        <v>383</v>
      </c>
      <c r="D74" s="2" t="s">
        <v>162</v>
      </c>
      <c r="E74" s="2" t="s">
        <v>4</v>
      </c>
      <c r="F74" s="2" t="s">
        <v>17</v>
      </c>
      <c r="G74" s="2" t="s">
        <v>50</v>
      </c>
      <c r="H74" s="2" t="s">
        <v>35</v>
      </c>
      <c r="I74" s="2" t="s">
        <v>3389</v>
      </c>
      <c r="J74" s="3">
        <v>32.99</v>
      </c>
      <c r="K74" s="3">
        <v>26.01</v>
      </c>
      <c r="L74" s="2" t="s">
        <v>8</v>
      </c>
      <c r="M74" s="2" t="s">
        <v>9</v>
      </c>
      <c r="N74" s="3">
        <v>259</v>
      </c>
      <c r="O74" s="2" t="s">
        <v>43</v>
      </c>
      <c r="P74" s="2" t="s">
        <v>238</v>
      </c>
      <c r="Q74" s="3"/>
      <c r="R74" s="3"/>
      <c r="S74" s="2" t="s">
        <v>12</v>
      </c>
      <c r="T74" s="4">
        <v>44955</v>
      </c>
      <c r="U74" s="2" t="s">
        <v>384</v>
      </c>
      <c r="V74" s="6">
        <f>(Sales[[#This Row],[Price_retail]]-Sales[[#This Row],[Price_current]])/Sales[[#This Row],[Price_retail]]</f>
        <v>0.21157926644437708</v>
      </c>
      <c r="W74" s="3" t="str" cm="1">
        <f t="array" ref="W7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5" spans="1:23" x14ac:dyDescent="0.35">
      <c r="A75" s="2" t="s">
        <v>385</v>
      </c>
      <c r="B75" s="2" t="s">
        <v>386</v>
      </c>
      <c r="C75" s="2" t="s">
        <v>387</v>
      </c>
      <c r="D75" s="2" t="s">
        <v>388</v>
      </c>
      <c r="E75" s="2" t="s">
        <v>4</v>
      </c>
      <c r="F75" s="2" t="s">
        <v>17</v>
      </c>
      <c r="G75" s="2" t="s">
        <v>18</v>
      </c>
      <c r="H75" s="2" t="s">
        <v>168</v>
      </c>
      <c r="I75" s="2" t="s">
        <v>3393</v>
      </c>
      <c r="J75" s="3">
        <v>12.84</v>
      </c>
      <c r="K75" s="3">
        <v>9.32</v>
      </c>
      <c r="L75" s="2" t="s">
        <v>8</v>
      </c>
      <c r="M75" s="2" t="s">
        <v>9</v>
      </c>
      <c r="N75" s="3">
        <v>516</v>
      </c>
      <c r="O75" s="2" t="s">
        <v>3392</v>
      </c>
      <c r="P75" s="2" t="s">
        <v>92</v>
      </c>
      <c r="Q75" s="3"/>
      <c r="R75" s="3"/>
      <c r="S75" s="2" t="s">
        <v>12</v>
      </c>
      <c r="T75" s="4">
        <v>44955</v>
      </c>
      <c r="U75" s="2" t="s">
        <v>389</v>
      </c>
      <c r="V75" s="6">
        <f>(Sales[[#This Row],[Price_retail]]-Sales[[#This Row],[Price_current]])/Sales[[#This Row],[Price_retail]]</f>
        <v>0.27414330218068533</v>
      </c>
      <c r="W75" s="3" t="str" cm="1">
        <f t="array" ref="W7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6" spans="1:23" x14ac:dyDescent="0.35">
      <c r="A76" s="2" t="s">
        <v>390</v>
      </c>
      <c r="B76" s="2" t="s">
        <v>391</v>
      </c>
      <c r="C76" s="2" t="s">
        <v>65</v>
      </c>
      <c r="D76" s="2" t="s">
        <v>392</v>
      </c>
      <c r="E76" s="2" t="s">
        <v>4</v>
      </c>
      <c r="F76" s="2" t="s">
        <v>17</v>
      </c>
      <c r="G76" s="2" t="s">
        <v>50</v>
      </c>
      <c r="H76" s="2" t="s">
        <v>19</v>
      </c>
      <c r="I76" s="2" t="s">
        <v>3395</v>
      </c>
      <c r="J76" s="3">
        <v>32.99</v>
      </c>
      <c r="K76" s="3">
        <v>16.43</v>
      </c>
      <c r="L76" s="2" t="s">
        <v>8</v>
      </c>
      <c r="M76" s="2" t="s">
        <v>9</v>
      </c>
      <c r="N76" s="3">
        <v>598</v>
      </c>
      <c r="O76" s="2" t="s">
        <v>3392</v>
      </c>
      <c r="P76" s="2" t="s">
        <v>44</v>
      </c>
      <c r="Q76" s="3"/>
      <c r="R76" s="3"/>
      <c r="S76" s="2" t="s">
        <v>21</v>
      </c>
      <c r="T76" s="4">
        <v>44955</v>
      </c>
      <c r="U76" s="2" t="s">
        <v>393</v>
      </c>
      <c r="V76" s="6">
        <f>(Sales[[#This Row],[Price_retail]]-Sales[[#This Row],[Price_current]])/Sales[[#This Row],[Price_retail]]</f>
        <v>0.50197029402849347</v>
      </c>
      <c r="W76" s="3" t="str" cm="1">
        <f t="array" ref="W76">_xlfn.IFS(Sales[[#This Row],[Discount]]=0%,"No Discount",Sales[[#This Row],[Discount]]&lt;=20%,"Light",Sales[[#This Row],[Discount]]&lt;=50%,"Moderate",Sales[[#This Row],[Discount]]&lt;=80%,"High",
TRUE,"Very High")</f>
        <v>High</v>
      </c>
    </row>
    <row r="77" spans="1:23" x14ac:dyDescent="0.35">
      <c r="A77" s="2" t="s">
        <v>394</v>
      </c>
      <c r="B77" s="2" t="s">
        <v>395</v>
      </c>
      <c r="C77" s="2" t="s">
        <v>3434</v>
      </c>
      <c r="D77" s="2" t="s">
        <v>49</v>
      </c>
      <c r="E77" s="2" t="s">
        <v>4</v>
      </c>
      <c r="F77" s="2" t="s">
        <v>17</v>
      </c>
      <c r="G77" s="2" t="s">
        <v>18</v>
      </c>
      <c r="H77" s="2" t="s">
        <v>51</v>
      </c>
      <c r="I77" s="2" t="s">
        <v>3390</v>
      </c>
      <c r="J77" s="3">
        <v>8.99</v>
      </c>
      <c r="K77" s="3">
        <v>8.99</v>
      </c>
      <c r="L77" s="2" t="s">
        <v>3391</v>
      </c>
      <c r="M77" s="2" t="s">
        <v>9</v>
      </c>
      <c r="N77" s="3">
        <v>174</v>
      </c>
      <c r="O77" s="2" t="s">
        <v>267</v>
      </c>
      <c r="P77" s="2" t="s">
        <v>177</v>
      </c>
      <c r="Q77" s="3"/>
      <c r="R77" s="3"/>
      <c r="S77" s="2" t="s">
        <v>21</v>
      </c>
      <c r="T77" s="4">
        <v>44955</v>
      </c>
      <c r="U77" s="2" t="s">
        <v>396</v>
      </c>
      <c r="V77" s="6">
        <f>(Sales[[#This Row],[Price_retail]]-Sales[[#This Row],[Price_current]])/Sales[[#This Row],[Price_retail]]</f>
        <v>0</v>
      </c>
      <c r="W77" s="3" t="str" cm="1">
        <f t="array" ref="W7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8" spans="1:23" x14ac:dyDescent="0.35">
      <c r="A78" s="2" t="s">
        <v>397</v>
      </c>
      <c r="B78" s="2" t="s">
        <v>398</v>
      </c>
      <c r="C78" s="2" t="s">
        <v>399</v>
      </c>
      <c r="D78" s="2" t="s">
        <v>400</v>
      </c>
      <c r="E78" s="2" t="s">
        <v>4</v>
      </c>
      <c r="F78" s="2" t="s">
        <v>5</v>
      </c>
      <c r="G78" s="2" t="s">
        <v>121</v>
      </c>
      <c r="H78" s="2" t="s">
        <v>185</v>
      </c>
      <c r="I78" s="2" t="s">
        <v>3395</v>
      </c>
      <c r="J78" s="3">
        <v>32.83</v>
      </c>
      <c r="K78" s="3">
        <v>23.07</v>
      </c>
      <c r="L78" s="2" t="s">
        <v>8</v>
      </c>
      <c r="M78" s="2" t="s">
        <v>9</v>
      </c>
      <c r="N78" s="3">
        <v>487</v>
      </c>
      <c r="O78" s="2" t="s">
        <v>261</v>
      </c>
      <c r="P78" s="2" t="s">
        <v>76</v>
      </c>
      <c r="Q78" s="3"/>
      <c r="R78" s="3"/>
      <c r="S78" s="2" t="s">
        <v>21</v>
      </c>
      <c r="T78" s="4">
        <v>44955</v>
      </c>
      <c r="U78" s="2" t="s">
        <v>401</v>
      </c>
      <c r="V78" s="6">
        <f>(Sales[[#This Row],[Price_retail]]-Sales[[#This Row],[Price_current]])/Sales[[#This Row],[Price_retail]]</f>
        <v>0.29728906487968315</v>
      </c>
      <c r="W78" s="3" t="str" cm="1">
        <f t="array" ref="W7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9" spans="1:23" x14ac:dyDescent="0.35">
      <c r="A79" s="2" t="s">
        <v>402</v>
      </c>
      <c r="B79" s="2" t="s">
        <v>403</v>
      </c>
      <c r="C79" s="2" t="s">
        <v>265</v>
      </c>
      <c r="D79" s="2" t="s">
        <v>404</v>
      </c>
      <c r="E79" s="2" t="s">
        <v>4</v>
      </c>
      <c r="F79" s="2" t="s">
        <v>5</v>
      </c>
      <c r="G79" s="2" t="s">
        <v>6</v>
      </c>
      <c r="H79" s="2" t="s">
        <v>59</v>
      </c>
      <c r="I79" s="2" t="s">
        <v>3390</v>
      </c>
      <c r="J79" s="3">
        <v>31.93</v>
      </c>
      <c r="K79" s="3">
        <v>16.02</v>
      </c>
      <c r="L79" s="2" t="s">
        <v>8</v>
      </c>
      <c r="M79" s="2" t="s">
        <v>9</v>
      </c>
      <c r="N79" s="3">
        <v>971</v>
      </c>
      <c r="O79" s="2" t="s">
        <v>29</v>
      </c>
      <c r="P79" s="2" t="s">
        <v>3392</v>
      </c>
      <c r="Q79" s="3"/>
      <c r="R79" s="3"/>
      <c r="S79" s="2" t="s">
        <v>21</v>
      </c>
      <c r="T79" s="4">
        <v>44955</v>
      </c>
      <c r="U79" s="2" t="s">
        <v>405</v>
      </c>
      <c r="V79" s="6">
        <f>(Sales[[#This Row],[Price_retail]]-Sales[[#This Row],[Price_current]])/Sales[[#This Row],[Price_retail]]</f>
        <v>0.49827748199185717</v>
      </c>
      <c r="W79" s="3" t="str" cm="1">
        <f t="array" ref="W7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0" spans="1:23" x14ac:dyDescent="0.35">
      <c r="A80" s="2" t="s">
        <v>406</v>
      </c>
      <c r="B80" s="2" t="s">
        <v>407</v>
      </c>
      <c r="C80" s="2" t="s">
        <v>157</v>
      </c>
      <c r="D80" s="2" t="s">
        <v>408</v>
      </c>
      <c r="E80" s="2" t="s">
        <v>4</v>
      </c>
      <c r="F80" s="2" t="s">
        <v>5</v>
      </c>
      <c r="G80" s="2" t="s">
        <v>121</v>
      </c>
      <c r="H80" s="2" t="s">
        <v>28</v>
      </c>
      <c r="I80" s="2" t="s">
        <v>3390</v>
      </c>
      <c r="J80" s="3">
        <v>25.69</v>
      </c>
      <c r="K80" s="3">
        <v>13.79</v>
      </c>
      <c r="L80" s="2" t="s">
        <v>8</v>
      </c>
      <c r="M80" s="2" t="s">
        <v>9</v>
      </c>
      <c r="N80" s="3">
        <v>927</v>
      </c>
      <c r="O80" s="2" t="s">
        <v>3392</v>
      </c>
      <c r="P80" s="2" t="s">
        <v>70</v>
      </c>
      <c r="Q80" s="3"/>
      <c r="R80" s="3"/>
      <c r="S80" s="2" t="s">
        <v>21</v>
      </c>
      <c r="T80" s="4">
        <v>44955</v>
      </c>
      <c r="U80" s="2" t="s">
        <v>409</v>
      </c>
      <c r="V80" s="6">
        <f>(Sales[[#This Row],[Price_retail]]-Sales[[#This Row],[Price_current]])/Sales[[#This Row],[Price_retail]]</f>
        <v>0.4632152588555859</v>
      </c>
      <c r="W80" s="3" t="str" cm="1">
        <f t="array" ref="W8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1" spans="1:23" x14ac:dyDescent="0.35">
      <c r="A81" s="2" t="s">
        <v>410</v>
      </c>
      <c r="B81" s="2" t="s">
        <v>411</v>
      </c>
      <c r="C81" s="2" t="s">
        <v>412</v>
      </c>
      <c r="D81" s="2" t="s">
        <v>413</v>
      </c>
      <c r="E81" s="2" t="s">
        <v>4</v>
      </c>
      <c r="F81" s="2" t="s">
        <v>17</v>
      </c>
      <c r="G81" s="2" t="s">
        <v>27</v>
      </c>
      <c r="H81" s="2" t="s">
        <v>19</v>
      </c>
      <c r="I81" s="2" t="s">
        <v>3390</v>
      </c>
      <c r="J81" s="3">
        <v>8.99</v>
      </c>
      <c r="K81" s="3">
        <v>6.41</v>
      </c>
      <c r="L81" s="2" t="s">
        <v>8</v>
      </c>
      <c r="M81" s="2" t="s">
        <v>9</v>
      </c>
      <c r="N81" s="3">
        <v>671</v>
      </c>
      <c r="O81" s="2" t="s">
        <v>3392</v>
      </c>
      <c r="P81" s="2" t="s">
        <v>221</v>
      </c>
      <c r="Q81" s="3"/>
      <c r="R81" s="3"/>
      <c r="S81" s="2" t="s">
        <v>12</v>
      </c>
      <c r="T81" s="4">
        <v>44955</v>
      </c>
      <c r="U81" s="2" t="s">
        <v>414</v>
      </c>
      <c r="V81" s="6">
        <f>(Sales[[#This Row],[Price_retail]]-Sales[[#This Row],[Price_current]])/Sales[[#This Row],[Price_retail]]</f>
        <v>0.28698553948832034</v>
      </c>
      <c r="W81" s="3" t="str" cm="1">
        <f t="array" ref="W8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2" spans="1:23" x14ac:dyDescent="0.35">
      <c r="A82" s="2" t="s">
        <v>415</v>
      </c>
      <c r="B82" s="2" t="s">
        <v>416</v>
      </c>
      <c r="C82" s="2" t="s">
        <v>65</v>
      </c>
      <c r="D82" s="2" t="s">
        <v>417</v>
      </c>
      <c r="E82" s="2" t="s">
        <v>4</v>
      </c>
      <c r="F82" s="2" t="s">
        <v>17</v>
      </c>
      <c r="G82" s="2" t="s">
        <v>18</v>
      </c>
      <c r="H82" s="2" t="s">
        <v>418</v>
      </c>
      <c r="I82" s="2" t="s">
        <v>3393</v>
      </c>
      <c r="J82" s="3">
        <v>27.4</v>
      </c>
      <c r="K82" s="3">
        <v>27.4</v>
      </c>
      <c r="L82" s="2" t="s">
        <v>3391</v>
      </c>
      <c r="M82" s="2" t="s">
        <v>9</v>
      </c>
      <c r="N82" s="3">
        <v>805</v>
      </c>
      <c r="O82" s="2" t="s">
        <v>261</v>
      </c>
      <c r="P82" s="2" t="s">
        <v>419</v>
      </c>
      <c r="Q82" s="3"/>
      <c r="R82" s="3"/>
      <c r="S82" s="2" t="s">
        <v>12</v>
      </c>
      <c r="T82" s="4">
        <v>44955</v>
      </c>
      <c r="U82" s="2" t="s">
        <v>420</v>
      </c>
      <c r="V82" s="6">
        <f>(Sales[[#This Row],[Price_retail]]-Sales[[#This Row],[Price_current]])/Sales[[#This Row],[Price_retail]]</f>
        <v>0</v>
      </c>
      <c r="W82" s="3" t="str" cm="1">
        <f t="array" ref="W8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3" spans="1:23" x14ac:dyDescent="0.35">
      <c r="A83" s="2" t="s">
        <v>421</v>
      </c>
      <c r="B83" s="2" t="s">
        <v>422</v>
      </c>
      <c r="C83" s="2" t="s">
        <v>423</v>
      </c>
      <c r="D83" s="2" t="s">
        <v>424</v>
      </c>
      <c r="E83" s="2" t="s">
        <v>4</v>
      </c>
      <c r="F83" s="2" t="s">
        <v>5</v>
      </c>
      <c r="G83" s="2" t="s">
        <v>6</v>
      </c>
      <c r="H83" s="2" t="s">
        <v>59</v>
      </c>
      <c r="I83" s="2" t="s">
        <v>3393</v>
      </c>
      <c r="J83" s="3">
        <v>15.22</v>
      </c>
      <c r="K83" s="3">
        <v>15.22</v>
      </c>
      <c r="L83" s="2" t="s">
        <v>3391</v>
      </c>
      <c r="M83" s="2" t="s">
        <v>9</v>
      </c>
      <c r="N83" s="3">
        <v>288</v>
      </c>
      <c r="O83" s="2" t="s">
        <v>302</v>
      </c>
      <c r="P83" s="2" t="s">
        <v>37</v>
      </c>
      <c r="Q83" s="3"/>
      <c r="R83" s="3"/>
      <c r="S83" s="2" t="s">
        <v>21</v>
      </c>
      <c r="T83" s="4">
        <v>44955</v>
      </c>
      <c r="U83" s="2" t="s">
        <v>425</v>
      </c>
      <c r="V83" s="6">
        <f>(Sales[[#This Row],[Price_retail]]-Sales[[#This Row],[Price_current]])/Sales[[#This Row],[Price_retail]]</f>
        <v>0</v>
      </c>
      <c r="W83" s="3" t="str" cm="1">
        <f t="array" ref="W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" spans="1:23" x14ac:dyDescent="0.35">
      <c r="A84" s="2" t="s">
        <v>426</v>
      </c>
      <c r="B84" s="2" t="s">
        <v>427</v>
      </c>
      <c r="C84" s="2" t="s">
        <v>65</v>
      </c>
      <c r="D84" s="2" t="s">
        <v>428</v>
      </c>
      <c r="E84" s="2" t="s">
        <v>4</v>
      </c>
      <c r="F84" s="2" t="s">
        <v>5</v>
      </c>
      <c r="G84" s="2" t="s">
        <v>6</v>
      </c>
      <c r="H84" s="2" t="s">
        <v>333</v>
      </c>
      <c r="I84" s="2" t="s">
        <v>3393</v>
      </c>
      <c r="J84" s="3">
        <v>8.99</v>
      </c>
      <c r="K84" s="3">
        <v>6.57</v>
      </c>
      <c r="L84" s="2" t="s">
        <v>8</v>
      </c>
      <c r="M84" s="2" t="s">
        <v>9</v>
      </c>
      <c r="N84" s="3">
        <v>485</v>
      </c>
      <c r="O84" s="2" t="s">
        <v>75</v>
      </c>
      <c r="P84" s="2" t="s">
        <v>53</v>
      </c>
      <c r="Q84" s="3"/>
      <c r="R84" s="3"/>
      <c r="S84" s="2" t="s">
        <v>12</v>
      </c>
      <c r="T84" s="4">
        <v>44955</v>
      </c>
      <c r="U84" s="2" t="s">
        <v>429</v>
      </c>
      <c r="V84" s="6">
        <f>(Sales[[#This Row],[Price_retail]]-Sales[[#This Row],[Price_current]])/Sales[[#This Row],[Price_retail]]</f>
        <v>0.26918798665183535</v>
      </c>
      <c r="W84" s="3" t="str" cm="1">
        <f t="array" ref="W8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5" spans="1:23" x14ac:dyDescent="0.35">
      <c r="A85" s="2" t="s">
        <v>430</v>
      </c>
      <c r="B85" s="2" t="s">
        <v>431</v>
      </c>
      <c r="C85" s="2" t="s">
        <v>3405</v>
      </c>
      <c r="D85" s="2" t="s">
        <v>432</v>
      </c>
      <c r="E85" s="2" t="s">
        <v>4</v>
      </c>
      <c r="F85" s="2" t="s">
        <v>5</v>
      </c>
      <c r="G85" s="2" t="s">
        <v>82</v>
      </c>
      <c r="H85" s="2" t="s">
        <v>35</v>
      </c>
      <c r="I85" s="2" t="s">
        <v>3393</v>
      </c>
      <c r="J85" s="3">
        <v>31.94</v>
      </c>
      <c r="K85" s="3">
        <v>24.83</v>
      </c>
      <c r="L85" s="2" t="s">
        <v>8</v>
      </c>
      <c r="M85" s="2" t="s">
        <v>9</v>
      </c>
      <c r="N85" s="3">
        <v>648</v>
      </c>
      <c r="O85" s="2" t="s">
        <v>3392</v>
      </c>
      <c r="P85" s="2" t="s">
        <v>169</v>
      </c>
      <c r="Q85" s="3"/>
      <c r="R85" s="3"/>
      <c r="S85" s="2" t="s">
        <v>21</v>
      </c>
      <c r="T85" s="4">
        <v>44955</v>
      </c>
      <c r="U85" s="2" t="s">
        <v>433</v>
      </c>
      <c r="V85" s="6">
        <f>(Sales[[#This Row],[Price_retail]]-Sales[[#This Row],[Price_current]])/Sales[[#This Row],[Price_retail]]</f>
        <v>0.22260488415779595</v>
      </c>
      <c r="W85" s="3" t="str" cm="1">
        <f t="array" ref="W8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6" spans="1:23" x14ac:dyDescent="0.35">
      <c r="A86" s="2" t="s">
        <v>434</v>
      </c>
      <c r="B86" s="2" t="s">
        <v>435</v>
      </c>
      <c r="C86" s="2" t="s">
        <v>721</v>
      </c>
      <c r="D86" s="2" t="s">
        <v>149</v>
      </c>
      <c r="E86" s="2" t="s">
        <v>4</v>
      </c>
      <c r="F86" s="2" t="s">
        <v>5</v>
      </c>
      <c r="G86" s="2" t="s">
        <v>6</v>
      </c>
      <c r="H86" s="2" t="s">
        <v>28</v>
      </c>
      <c r="I86" s="2" t="s">
        <v>3390</v>
      </c>
      <c r="J86" s="3">
        <v>34.619999999999997</v>
      </c>
      <c r="K86" s="3">
        <v>27.06</v>
      </c>
      <c r="L86" s="2" t="s">
        <v>8</v>
      </c>
      <c r="M86" s="2" t="s">
        <v>9</v>
      </c>
      <c r="N86" s="3">
        <v>294</v>
      </c>
      <c r="O86" s="2" t="s">
        <v>267</v>
      </c>
      <c r="P86" s="2" t="s">
        <v>92</v>
      </c>
      <c r="Q86" s="3"/>
      <c r="R86" s="3"/>
      <c r="S86" s="2" t="s">
        <v>12</v>
      </c>
      <c r="T86" s="4">
        <v>44955</v>
      </c>
      <c r="U86" s="2" t="s">
        <v>436</v>
      </c>
      <c r="V86" s="6">
        <f>(Sales[[#This Row],[Price_retail]]-Sales[[#This Row],[Price_current]])/Sales[[#This Row],[Price_retail]]</f>
        <v>0.21837088388214904</v>
      </c>
      <c r="W86" s="3" t="str" cm="1">
        <f t="array" ref="W8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7" spans="1:23" x14ac:dyDescent="0.35">
      <c r="A87" s="2" t="s">
        <v>437</v>
      </c>
      <c r="B87" s="2" t="s">
        <v>438</v>
      </c>
      <c r="C87" s="2" t="s">
        <v>126</v>
      </c>
      <c r="D87" s="2" t="s">
        <v>220</v>
      </c>
      <c r="E87" s="2" t="s">
        <v>4</v>
      </c>
      <c r="F87" s="2" t="s">
        <v>17</v>
      </c>
      <c r="G87" s="2" t="s">
        <v>27</v>
      </c>
      <c r="H87" s="2" t="s">
        <v>139</v>
      </c>
      <c r="I87" s="2" t="s">
        <v>3393</v>
      </c>
      <c r="J87" s="3">
        <v>8.99</v>
      </c>
      <c r="K87" s="3">
        <v>5.64</v>
      </c>
      <c r="L87" s="2" t="s">
        <v>8</v>
      </c>
      <c r="M87" s="2" t="s">
        <v>9</v>
      </c>
      <c r="N87" s="3">
        <v>244</v>
      </c>
      <c r="O87" s="2" t="s">
        <v>287</v>
      </c>
      <c r="P87" s="2" t="s">
        <v>37</v>
      </c>
      <c r="Q87" s="3"/>
      <c r="R87" s="3"/>
      <c r="S87" s="2" t="s">
        <v>12</v>
      </c>
      <c r="T87" s="4">
        <v>44955</v>
      </c>
      <c r="U87" s="2" t="s">
        <v>439</v>
      </c>
      <c r="V87" s="6">
        <f>(Sales[[#This Row],[Price_retail]]-Sales[[#This Row],[Price_current]])/Sales[[#This Row],[Price_retail]]</f>
        <v>0.37263626251390441</v>
      </c>
      <c r="W87" s="3" t="str" cm="1">
        <f t="array" ref="W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8" spans="1:23" x14ac:dyDescent="0.35">
      <c r="A88" s="2" t="s">
        <v>440</v>
      </c>
      <c r="B88" s="2" t="s">
        <v>441</v>
      </c>
      <c r="C88" s="2" t="s">
        <v>3394</v>
      </c>
      <c r="D88" s="2" t="s">
        <v>442</v>
      </c>
      <c r="E88" s="2" t="s">
        <v>4</v>
      </c>
      <c r="F88" s="2" t="s">
        <v>5</v>
      </c>
      <c r="G88" s="2" t="s">
        <v>82</v>
      </c>
      <c r="H88" s="2" t="s">
        <v>59</v>
      </c>
      <c r="I88" s="2" t="s">
        <v>3393</v>
      </c>
      <c r="J88" s="3">
        <v>17.23</v>
      </c>
      <c r="K88" s="3">
        <v>17.23</v>
      </c>
      <c r="L88" s="2" t="s">
        <v>3391</v>
      </c>
      <c r="M88" s="2" t="s">
        <v>9</v>
      </c>
      <c r="N88" s="3">
        <v>783</v>
      </c>
      <c r="O88" s="2" t="s">
        <v>36</v>
      </c>
      <c r="P88" s="2" t="s">
        <v>215</v>
      </c>
      <c r="Q88" s="3"/>
      <c r="R88" s="3"/>
      <c r="S88" s="2" t="s">
        <v>21</v>
      </c>
      <c r="T88" s="4">
        <v>44955</v>
      </c>
      <c r="U88" s="2" t="s">
        <v>443</v>
      </c>
      <c r="V88" s="6">
        <f>(Sales[[#This Row],[Price_retail]]-Sales[[#This Row],[Price_current]])/Sales[[#This Row],[Price_retail]]</f>
        <v>0</v>
      </c>
      <c r="W88" s="3" t="str" cm="1">
        <f t="array" ref="W8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9" spans="1:23" x14ac:dyDescent="0.35">
      <c r="A89" s="2" t="s">
        <v>444</v>
      </c>
      <c r="B89" s="2" t="s">
        <v>445</v>
      </c>
      <c r="C89" s="2" t="s">
        <v>3406</v>
      </c>
      <c r="D89" s="2" t="s">
        <v>446</v>
      </c>
      <c r="E89" s="2" t="s">
        <v>4</v>
      </c>
      <c r="F89" s="2" t="s">
        <v>17</v>
      </c>
      <c r="G89" s="2" t="s">
        <v>67</v>
      </c>
      <c r="H89" s="2" t="s">
        <v>145</v>
      </c>
      <c r="I89" s="2" t="s">
        <v>3390</v>
      </c>
      <c r="J89" s="3">
        <v>33.57</v>
      </c>
      <c r="K89" s="3">
        <v>22.57</v>
      </c>
      <c r="L89" s="2" t="s">
        <v>8</v>
      </c>
      <c r="M89" s="2" t="s">
        <v>9</v>
      </c>
      <c r="N89" s="3">
        <v>621</v>
      </c>
      <c r="O89" s="2" t="s">
        <v>163</v>
      </c>
      <c r="P89" s="2" t="s">
        <v>186</v>
      </c>
      <c r="Q89" s="3"/>
      <c r="R89" s="3"/>
      <c r="S89" s="2" t="s">
        <v>21</v>
      </c>
      <c r="T89" s="4">
        <v>44955</v>
      </c>
      <c r="U89" s="2" t="s">
        <v>447</v>
      </c>
      <c r="V89" s="6">
        <f>(Sales[[#This Row],[Price_retail]]-Sales[[#This Row],[Price_current]])/Sales[[#This Row],[Price_retail]]</f>
        <v>0.32767351802204348</v>
      </c>
      <c r="W89" s="3" t="str" cm="1">
        <f t="array" ref="W8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0" spans="1:23" x14ac:dyDescent="0.35">
      <c r="A90" s="2" t="s">
        <v>448</v>
      </c>
      <c r="B90" s="2" t="s">
        <v>449</v>
      </c>
      <c r="C90" s="2" t="s">
        <v>65</v>
      </c>
      <c r="D90" s="2" t="s">
        <v>450</v>
      </c>
      <c r="E90" s="2" t="s">
        <v>4</v>
      </c>
      <c r="F90" s="2" t="s">
        <v>5</v>
      </c>
      <c r="G90" s="2" t="s">
        <v>6</v>
      </c>
      <c r="H90" s="2" t="s">
        <v>59</v>
      </c>
      <c r="I90" s="2" t="s">
        <v>3390</v>
      </c>
      <c r="J90" s="3">
        <v>30.77</v>
      </c>
      <c r="K90" s="3">
        <v>22.92</v>
      </c>
      <c r="L90" s="2" t="s">
        <v>8</v>
      </c>
      <c r="M90" s="2" t="s">
        <v>9</v>
      </c>
      <c r="N90" s="3">
        <v>987</v>
      </c>
      <c r="O90" s="2" t="s">
        <v>69</v>
      </c>
      <c r="P90" s="2" t="s">
        <v>128</v>
      </c>
      <c r="Q90" s="3"/>
      <c r="R90" s="3"/>
      <c r="S90" s="2" t="s">
        <v>21</v>
      </c>
      <c r="T90" s="4">
        <v>44955</v>
      </c>
      <c r="U90" s="2" t="s">
        <v>451</v>
      </c>
      <c r="V90" s="6">
        <f>(Sales[[#This Row],[Price_retail]]-Sales[[#This Row],[Price_current]])/Sales[[#This Row],[Price_retail]]</f>
        <v>0.25511862203444907</v>
      </c>
      <c r="W90" s="3" t="str" cm="1">
        <f t="array" ref="W9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1" spans="1:23" x14ac:dyDescent="0.35">
      <c r="A91" s="2" t="s">
        <v>452</v>
      </c>
      <c r="B91" s="2" t="s">
        <v>453</v>
      </c>
      <c r="C91" s="2" t="s">
        <v>454</v>
      </c>
      <c r="D91" s="2" t="s">
        <v>346</v>
      </c>
      <c r="E91" s="2" t="s">
        <v>4</v>
      </c>
      <c r="F91" s="2" t="s">
        <v>5</v>
      </c>
      <c r="G91" s="2" t="s">
        <v>121</v>
      </c>
      <c r="H91" s="2" t="s">
        <v>110</v>
      </c>
      <c r="I91" s="2" t="s">
        <v>3390</v>
      </c>
      <c r="J91" s="3">
        <v>24.77</v>
      </c>
      <c r="K91" s="3">
        <v>24.77</v>
      </c>
      <c r="L91" s="2" t="s">
        <v>3391</v>
      </c>
      <c r="M91" s="2" t="s">
        <v>9</v>
      </c>
      <c r="N91" s="3">
        <v>932</v>
      </c>
      <c r="O91" s="2" t="s">
        <v>347</v>
      </c>
      <c r="P91" s="2" t="s">
        <v>76</v>
      </c>
      <c r="Q91" s="3"/>
      <c r="R91" s="3"/>
      <c r="S91" s="2" t="s">
        <v>21</v>
      </c>
      <c r="T91" s="4">
        <v>44955</v>
      </c>
      <c r="U91" s="2" t="s">
        <v>455</v>
      </c>
      <c r="V91" s="6">
        <f>(Sales[[#This Row],[Price_retail]]-Sales[[#This Row],[Price_current]])/Sales[[#This Row],[Price_retail]]</f>
        <v>0</v>
      </c>
      <c r="W91" s="3" t="str" cm="1">
        <f t="array" ref="W9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" spans="1:23" x14ac:dyDescent="0.35">
      <c r="A92" s="2" t="s">
        <v>456</v>
      </c>
      <c r="B92" s="2" t="s">
        <v>457</v>
      </c>
      <c r="C92" s="2" t="s">
        <v>3407</v>
      </c>
      <c r="D92" s="2" t="s">
        <v>392</v>
      </c>
      <c r="E92" s="2" t="s">
        <v>4</v>
      </c>
      <c r="F92" s="2" t="s">
        <v>17</v>
      </c>
      <c r="G92" s="2" t="s">
        <v>67</v>
      </c>
      <c r="H92" s="2" t="s">
        <v>19</v>
      </c>
      <c r="I92" s="2" t="s">
        <v>3393</v>
      </c>
      <c r="J92" s="3">
        <v>8.99</v>
      </c>
      <c r="K92" s="3">
        <v>7.69</v>
      </c>
      <c r="L92" s="2" t="s">
        <v>8</v>
      </c>
      <c r="M92" s="2" t="s">
        <v>9</v>
      </c>
      <c r="N92" s="3">
        <v>410</v>
      </c>
      <c r="O92" s="2" t="s">
        <v>191</v>
      </c>
      <c r="P92" s="2" t="s">
        <v>419</v>
      </c>
      <c r="Q92" s="3"/>
      <c r="R92" s="3"/>
      <c r="S92" s="2" t="s">
        <v>21</v>
      </c>
      <c r="T92" s="4">
        <v>44955</v>
      </c>
      <c r="U92" s="2" t="s">
        <v>458</v>
      </c>
      <c r="V92" s="6">
        <f>(Sales[[#This Row],[Price_retail]]-Sales[[#This Row],[Price_current]])/Sales[[#This Row],[Price_retail]]</f>
        <v>0.14460511679644047</v>
      </c>
      <c r="W92" s="3" t="str" cm="1">
        <f t="array" ref="W92">_xlfn.IFS(Sales[[#This Row],[Discount]]=0%,"No Discount",Sales[[#This Row],[Discount]]&lt;=20%,"Light",Sales[[#This Row],[Discount]]&lt;=50%,"Moderate",Sales[[#This Row],[Discount]]&lt;=80%,"High",
TRUE,"Very High")</f>
        <v>Light</v>
      </c>
    </row>
    <row r="93" spans="1:23" x14ac:dyDescent="0.35">
      <c r="A93" s="2" t="s">
        <v>459</v>
      </c>
      <c r="B93" s="2" t="s">
        <v>460</v>
      </c>
      <c r="C93" s="2" t="s">
        <v>461</v>
      </c>
      <c r="D93" s="2" t="s">
        <v>319</v>
      </c>
      <c r="E93" s="2" t="s">
        <v>4</v>
      </c>
      <c r="F93" s="2" t="s">
        <v>5</v>
      </c>
      <c r="G93" s="2" t="s">
        <v>121</v>
      </c>
      <c r="H93" s="2" t="s">
        <v>90</v>
      </c>
      <c r="I93" s="2" t="s">
        <v>3390</v>
      </c>
      <c r="J93" s="3">
        <v>23.37</v>
      </c>
      <c r="K93" s="3">
        <v>23.37</v>
      </c>
      <c r="L93" s="2" t="s">
        <v>3391</v>
      </c>
      <c r="M93" s="2" t="s">
        <v>9</v>
      </c>
      <c r="N93" s="3">
        <v>448</v>
      </c>
      <c r="O93" s="2" t="s">
        <v>69</v>
      </c>
      <c r="P93" s="2" t="s">
        <v>76</v>
      </c>
      <c r="Q93" s="3"/>
      <c r="R93" s="3"/>
      <c r="S93" s="2" t="s">
        <v>12</v>
      </c>
      <c r="T93" s="4">
        <v>44955</v>
      </c>
      <c r="U93" s="2" t="s">
        <v>462</v>
      </c>
      <c r="V93" s="6">
        <f>(Sales[[#This Row],[Price_retail]]-Sales[[#This Row],[Price_current]])/Sales[[#This Row],[Price_retail]]</f>
        <v>0</v>
      </c>
      <c r="W93" s="3" t="str" cm="1">
        <f t="array" ref="W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" spans="1:23" x14ac:dyDescent="0.35">
      <c r="A94" s="2" t="s">
        <v>463</v>
      </c>
      <c r="B94" s="2" t="s">
        <v>464</v>
      </c>
      <c r="C94" s="2" t="s">
        <v>242</v>
      </c>
      <c r="D94" s="2" t="s">
        <v>465</v>
      </c>
      <c r="E94" s="2" t="s">
        <v>4</v>
      </c>
      <c r="F94" s="2" t="s">
        <v>17</v>
      </c>
      <c r="G94" s="2" t="s">
        <v>18</v>
      </c>
      <c r="H94" s="2" t="s">
        <v>139</v>
      </c>
      <c r="I94" s="2" t="s">
        <v>3395</v>
      </c>
      <c r="J94" s="3">
        <v>13.87</v>
      </c>
      <c r="K94" s="3">
        <v>9.1199999999999992</v>
      </c>
      <c r="L94" s="2" t="s">
        <v>8</v>
      </c>
      <c r="M94" s="2" t="s">
        <v>9</v>
      </c>
      <c r="N94" s="3">
        <v>617</v>
      </c>
      <c r="O94" s="2" t="s">
        <v>104</v>
      </c>
      <c r="P94" s="2" t="s">
        <v>44</v>
      </c>
      <c r="Q94" s="3"/>
      <c r="R94" s="3"/>
      <c r="S94" s="2" t="s">
        <v>21</v>
      </c>
      <c r="T94" s="4">
        <v>44955</v>
      </c>
      <c r="U94" s="2" t="s">
        <v>466</v>
      </c>
      <c r="V94" s="6">
        <f>(Sales[[#This Row],[Price_retail]]-Sales[[#This Row],[Price_current]])/Sales[[#This Row],[Price_retail]]</f>
        <v>0.34246575342465757</v>
      </c>
      <c r="W94" s="3" t="str" cm="1">
        <f t="array" ref="W9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" spans="1:23" x14ac:dyDescent="0.35">
      <c r="A95" s="2" t="s">
        <v>467</v>
      </c>
      <c r="B95" s="2" t="s">
        <v>468</v>
      </c>
      <c r="C95" s="2" t="s">
        <v>469</v>
      </c>
      <c r="D95" s="2" t="s">
        <v>470</v>
      </c>
      <c r="E95" s="2" t="s">
        <v>4</v>
      </c>
      <c r="F95" s="2" t="s">
        <v>17</v>
      </c>
      <c r="G95" s="2" t="s">
        <v>18</v>
      </c>
      <c r="H95" s="2" t="s">
        <v>185</v>
      </c>
      <c r="I95" s="2" t="s">
        <v>3390</v>
      </c>
      <c r="J95" s="3">
        <v>27.05</v>
      </c>
      <c r="K95" s="3">
        <v>2705</v>
      </c>
      <c r="L95" s="2" t="s">
        <v>3391</v>
      </c>
      <c r="M95" s="2" t="s">
        <v>9</v>
      </c>
      <c r="N95" s="3">
        <v>14</v>
      </c>
      <c r="O95" s="2" t="s">
        <v>10</v>
      </c>
      <c r="P95" s="2" t="s">
        <v>192</v>
      </c>
      <c r="Q95" s="3"/>
      <c r="R95" s="3"/>
      <c r="S95" s="2" t="s">
        <v>12</v>
      </c>
      <c r="T95" s="4">
        <v>44955</v>
      </c>
      <c r="U95" s="2" t="s">
        <v>471</v>
      </c>
      <c r="V95" s="6">
        <f>(Sales[[#This Row],[Price_retail]]-Sales[[#This Row],[Price_current]])/Sales[[#This Row],[Price_retail]]</f>
        <v>-98.999999999999986</v>
      </c>
      <c r="W95" s="3" t="str" cm="1">
        <f t="array" ref="W95">_xlfn.IFS(Sales[[#This Row],[Discount]]=0%,"No Discount",Sales[[#This Row],[Discount]]&lt;=20%,"Light",Sales[[#This Row],[Discount]]&lt;=50%,"Moderate",Sales[[#This Row],[Discount]]&lt;=80%,"High",
TRUE,"Very High")</f>
        <v>Light</v>
      </c>
    </row>
    <row r="96" spans="1:23" x14ac:dyDescent="0.35">
      <c r="A96" s="2" t="s">
        <v>472</v>
      </c>
      <c r="B96" s="2" t="s">
        <v>473</v>
      </c>
      <c r="C96" s="2" t="s">
        <v>25</v>
      </c>
      <c r="D96" s="2" t="s">
        <v>474</v>
      </c>
      <c r="E96" s="2" t="s">
        <v>4</v>
      </c>
      <c r="F96" s="2" t="s">
        <v>17</v>
      </c>
      <c r="G96" s="2" t="s">
        <v>18</v>
      </c>
      <c r="H96" s="2" t="s">
        <v>83</v>
      </c>
      <c r="I96" s="2" t="s">
        <v>3390</v>
      </c>
      <c r="J96" s="3">
        <v>18.010000000000002</v>
      </c>
      <c r="K96" s="3">
        <v>13.08</v>
      </c>
      <c r="L96" s="2" t="s">
        <v>8</v>
      </c>
      <c r="M96" s="2" t="s">
        <v>9</v>
      </c>
      <c r="N96" s="3">
        <v>952</v>
      </c>
      <c r="O96" s="2" t="s">
        <v>104</v>
      </c>
      <c r="P96" s="2" t="s">
        <v>128</v>
      </c>
      <c r="Q96" s="3"/>
      <c r="R96" s="3"/>
      <c r="S96" s="2" t="s">
        <v>21</v>
      </c>
      <c r="T96" s="4">
        <v>44955</v>
      </c>
      <c r="U96" s="2" t="s">
        <v>475</v>
      </c>
      <c r="V96" s="6">
        <f>(Sales[[#This Row],[Price_retail]]-Sales[[#This Row],[Price_current]])/Sales[[#This Row],[Price_retail]]</f>
        <v>0.27373681288173241</v>
      </c>
      <c r="W96" s="3" t="str" cm="1">
        <f t="array" ref="W9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7" spans="1:23" x14ac:dyDescent="0.35">
      <c r="A97" s="2" t="s">
        <v>476</v>
      </c>
      <c r="B97" s="2" t="s">
        <v>477</v>
      </c>
      <c r="C97" s="2" t="s">
        <v>126</v>
      </c>
      <c r="D97" s="2" t="s">
        <v>354</v>
      </c>
      <c r="E97" s="2" t="s">
        <v>4</v>
      </c>
      <c r="F97" s="2" t="s">
        <v>17</v>
      </c>
      <c r="G97" s="2" t="s">
        <v>50</v>
      </c>
      <c r="H97" s="2" t="s">
        <v>90</v>
      </c>
      <c r="I97" s="2" t="s">
        <v>3393</v>
      </c>
      <c r="J97" s="3">
        <v>15.47</v>
      </c>
      <c r="K97" s="3">
        <v>10.73</v>
      </c>
      <c r="L97" s="2" t="s">
        <v>8</v>
      </c>
      <c r="M97" s="2" t="s">
        <v>9</v>
      </c>
      <c r="N97" s="3">
        <v>717</v>
      </c>
      <c r="O97" s="2" t="s">
        <v>191</v>
      </c>
      <c r="P97" s="2" t="s">
        <v>92</v>
      </c>
      <c r="Q97" s="3"/>
      <c r="R97" s="3"/>
      <c r="S97" s="2" t="s">
        <v>21</v>
      </c>
      <c r="T97" s="4">
        <v>44955</v>
      </c>
      <c r="U97" s="2" t="s">
        <v>478</v>
      </c>
      <c r="V97" s="6">
        <f>(Sales[[#This Row],[Price_retail]]-Sales[[#This Row],[Price_current]])/Sales[[#This Row],[Price_retail]]</f>
        <v>0.30639948287007113</v>
      </c>
      <c r="W97" s="3" t="str" cm="1">
        <f t="array" ref="W9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8" spans="1:23" x14ac:dyDescent="0.35">
      <c r="A98" s="2" t="s">
        <v>479</v>
      </c>
      <c r="B98" s="2" t="s">
        <v>480</v>
      </c>
      <c r="C98" s="2" t="s">
        <v>412</v>
      </c>
      <c r="D98" s="2" t="s">
        <v>266</v>
      </c>
      <c r="E98" s="2" t="s">
        <v>4</v>
      </c>
      <c r="F98" s="2" t="s">
        <v>17</v>
      </c>
      <c r="G98" s="2" t="s">
        <v>18</v>
      </c>
      <c r="H98" s="2" t="s">
        <v>237</v>
      </c>
      <c r="I98" s="2" t="s">
        <v>3395</v>
      </c>
      <c r="J98" s="3">
        <v>29.27</v>
      </c>
      <c r="K98" s="3">
        <v>29.27</v>
      </c>
      <c r="L98" s="2" t="s">
        <v>3391</v>
      </c>
      <c r="M98" s="2" t="s">
        <v>9</v>
      </c>
      <c r="N98" s="3">
        <v>683</v>
      </c>
      <c r="O98" s="2" t="s">
        <v>43</v>
      </c>
      <c r="P98" s="2" t="s">
        <v>186</v>
      </c>
      <c r="Q98" s="3"/>
      <c r="R98" s="3"/>
      <c r="S98" s="2" t="s">
        <v>21</v>
      </c>
      <c r="T98" s="4">
        <v>44955</v>
      </c>
      <c r="U98" s="2" t="s">
        <v>481</v>
      </c>
      <c r="V98" s="6">
        <f>(Sales[[#This Row],[Price_retail]]-Sales[[#This Row],[Price_current]])/Sales[[#This Row],[Price_retail]]</f>
        <v>0</v>
      </c>
      <c r="W98" s="3" t="str" cm="1">
        <f t="array" ref="W9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9" spans="1:23" x14ac:dyDescent="0.35">
      <c r="A99" s="2" t="s">
        <v>482</v>
      </c>
      <c r="B99" s="2" t="s">
        <v>483</v>
      </c>
      <c r="C99" s="2" t="s">
        <v>484</v>
      </c>
      <c r="D99" s="2" t="s">
        <v>485</v>
      </c>
      <c r="E99" s="2" t="s">
        <v>4</v>
      </c>
      <c r="F99" s="2" t="s">
        <v>17</v>
      </c>
      <c r="G99" s="2" t="s">
        <v>27</v>
      </c>
      <c r="H99" s="2" t="s">
        <v>185</v>
      </c>
      <c r="I99" s="2" t="s">
        <v>3395</v>
      </c>
      <c r="J99" s="3">
        <v>24.66</v>
      </c>
      <c r="K99" s="3">
        <v>24.66</v>
      </c>
      <c r="L99" s="2" t="s">
        <v>3391</v>
      </c>
      <c r="M99" s="2" t="s">
        <v>9</v>
      </c>
      <c r="N99" s="3">
        <v>42</v>
      </c>
      <c r="O99" s="2" t="s">
        <v>347</v>
      </c>
      <c r="P99" s="2" t="s">
        <v>44</v>
      </c>
      <c r="Q99" s="3"/>
      <c r="R99" s="3"/>
      <c r="S99" s="2" t="s">
        <v>21</v>
      </c>
      <c r="T99" s="4">
        <v>44955</v>
      </c>
      <c r="U99" s="2" t="s">
        <v>486</v>
      </c>
      <c r="V99" s="6">
        <f>(Sales[[#This Row],[Price_retail]]-Sales[[#This Row],[Price_current]])/Sales[[#This Row],[Price_retail]]</f>
        <v>0</v>
      </c>
      <c r="W99" s="3" t="str" cm="1">
        <f t="array" ref="W9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0" spans="1:23" x14ac:dyDescent="0.35">
      <c r="A100" s="2" t="s">
        <v>487</v>
      </c>
      <c r="B100" s="2" t="s">
        <v>488</v>
      </c>
      <c r="C100" s="2" t="s">
        <v>489</v>
      </c>
      <c r="D100" s="2" t="s">
        <v>490</v>
      </c>
      <c r="E100" s="2" t="s">
        <v>4</v>
      </c>
      <c r="F100" s="2" t="s">
        <v>17</v>
      </c>
      <c r="G100" s="2" t="s">
        <v>18</v>
      </c>
      <c r="H100" s="2" t="s">
        <v>185</v>
      </c>
      <c r="I100" s="2" t="s">
        <v>3390</v>
      </c>
      <c r="J100" s="3">
        <v>30.92</v>
      </c>
      <c r="K100" s="3">
        <v>30.92</v>
      </c>
      <c r="L100" s="2" t="s">
        <v>3391</v>
      </c>
      <c r="M100" s="2" t="s">
        <v>9</v>
      </c>
      <c r="N100" s="3">
        <v>867</v>
      </c>
      <c r="O100" s="2" t="s">
        <v>29</v>
      </c>
      <c r="P100" s="2" t="s">
        <v>44</v>
      </c>
      <c r="Q100" s="3"/>
      <c r="R100" s="3"/>
      <c r="S100" s="2" t="s">
        <v>21</v>
      </c>
      <c r="T100" s="4">
        <v>44955</v>
      </c>
      <c r="U100" s="2" t="s">
        <v>491</v>
      </c>
      <c r="V100" s="6">
        <f>(Sales[[#This Row],[Price_retail]]-Sales[[#This Row],[Price_current]])/Sales[[#This Row],[Price_retail]]</f>
        <v>0</v>
      </c>
      <c r="W100" s="3" t="str" cm="1">
        <f t="array" ref="W10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1" spans="1:23" x14ac:dyDescent="0.35">
      <c r="A101" s="2" t="s">
        <v>492</v>
      </c>
      <c r="B101" s="2" t="s">
        <v>493</v>
      </c>
      <c r="C101" s="2" t="s">
        <v>721</v>
      </c>
      <c r="D101" s="2" t="s">
        <v>494</v>
      </c>
      <c r="E101" s="2" t="s">
        <v>4</v>
      </c>
      <c r="F101" s="2" t="s">
        <v>17</v>
      </c>
      <c r="G101" s="2" t="s">
        <v>18</v>
      </c>
      <c r="H101" s="2" t="s">
        <v>83</v>
      </c>
      <c r="I101" s="2" t="s">
        <v>3390</v>
      </c>
      <c r="J101" s="3">
        <v>11.53</v>
      </c>
      <c r="K101" s="3">
        <v>11.53</v>
      </c>
      <c r="L101" s="2" t="s">
        <v>3391</v>
      </c>
      <c r="M101" s="2" t="s">
        <v>9</v>
      </c>
      <c r="N101" s="3">
        <v>676</v>
      </c>
      <c r="O101" s="2" t="s">
        <v>104</v>
      </c>
      <c r="P101" s="2" t="s">
        <v>192</v>
      </c>
      <c r="Q101" s="3"/>
      <c r="R101" s="3"/>
      <c r="S101" s="2" t="s">
        <v>21</v>
      </c>
      <c r="T101" s="4">
        <v>44955</v>
      </c>
      <c r="U101" s="2" t="s">
        <v>495</v>
      </c>
      <c r="V101" s="6">
        <f>(Sales[[#This Row],[Price_retail]]-Sales[[#This Row],[Price_current]])/Sales[[#This Row],[Price_retail]]</f>
        <v>0</v>
      </c>
      <c r="W101" s="3" t="str" cm="1">
        <f t="array" ref="W10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2" spans="1:23" x14ac:dyDescent="0.35">
      <c r="A102" s="2" t="s">
        <v>496</v>
      </c>
      <c r="B102" s="2" t="s">
        <v>497</v>
      </c>
      <c r="C102" s="2" t="s">
        <v>3407</v>
      </c>
      <c r="D102" s="2" t="s">
        <v>3408</v>
      </c>
      <c r="E102" s="2" t="s">
        <v>4</v>
      </c>
      <c r="F102" s="2" t="s">
        <v>5</v>
      </c>
      <c r="G102" s="2" t="s">
        <v>82</v>
      </c>
      <c r="H102" s="2" t="s">
        <v>59</v>
      </c>
      <c r="I102" s="2" t="s">
        <v>3395</v>
      </c>
      <c r="J102" s="3">
        <v>8.99</v>
      </c>
      <c r="K102" s="3">
        <v>8.99</v>
      </c>
      <c r="L102" s="2" t="s">
        <v>3391</v>
      </c>
      <c r="M102" s="2" t="s">
        <v>9</v>
      </c>
      <c r="N102" s="3">
        <v>879</v>
      </c>
      <c r="O102" s="2" t="s">
        <v>69</v>
      </c>
      <c r="P102" s="2" t="s">
        <v>76</v>
      </c>
      <c r="Q102" s="3"/>
      <c r="R102" s="3"/>
      <c r="S102" s="2" t="s">
        <v>12</v>
      </c>
      <c r="T102" s="4">
        <v>44955</v>
      </c>
      <c r="U102" s="2" t="s">
        <v>498</v>
      </c>
      <c r="V102" s="6">
        <f>(Sales[[#This Row],[Price_retail]]-Sales[[#This Row],[Price_current]])/Sales[[#This Row],[Price_retail]]</f>
        <v>0</v>
      </c>
      <c r="W102" s="3" t="str" cm="1">
        <f t="array" ref="W10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3" spans="1:23" x14ac:dyDescent="0.35">
      <c r="A103" s="2" t="s">
        <v>499</v>
      </c>
      <c r="B103" s="2" t="s">
        <v>500</v>
      </c>
      <c r="C103" s="2" t="s">
        <v>65</v>
      </c>
      <c r="D103" s="2" t="s">
        <v>501</v>
      </c>
      <c r="E103" s="2" t="s">
        <v>4</v>
      </c>
      <c r="F103" s="2" t="s">
        <v>17</v>
      </c>
      <c r="G103" s="2" t="s">
        <v>27</v>
      </c>
      <c r="H103" s="2" t="s">
        <v>83</v>
      </c>
      <c r="I103" s="2" t="s">
        <v>3390</v>
      </c>
      <c r="J103" s="3">
        <v>21.38</v>
      </c>
      <c r="K103" s="3">
        <v>21.38</v>
      </c>
      <c r="L103" s="2" t="s">
        <v>3391</v>
      </c>
      <c r="M103" s="2" t="s">
        <v>9</v>
      </c>
      <c r="N103" s="3">
        <v>562</v>
      </c>
      <c r="O103" s="2" t="s">
        <v>287</v>
      </c>
      <c r="P103" s="2" t="s">
        <v>53</v>
      </c>
      <c r="Q103" s="3"/>
      <c r="R103" s="3"/>
      <c r="S103" s="2" t="s">
        <v>12</v>
      </c>
      <c r="T103" s="4">
        <v>44955</v>
      </c>
      <c r="U103" s="2" t="s">
        <v>502</v>
      </c>
      <c r="V103" s="6">
        <f>(Sales[[#This Row],[Price_retail]]-Sales[[#This Row],[Price_current]])/Sales[[#This Row],[Price_retail]]</f>
        <v>0</v>
      </c>
      <c r="W103" s="3" t="str" cm="1">
        <f t="array" ref="W10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4" spans="1:23" x14ac:dyDescent="0.35">
      <c r="A104" s="2" t="s">
        <v>503</v>
      </c>
      <c r="B104" s="2" t="s">
        <v>504</v>
      </c>
      <c r="C104" s="2" t="s">
        <v>505</v>
      </c>
      <c r="D104" s="2" t="s">
        <v>506</v>
      </c>
      <c r="E104" s="2" t="s">
        <v>4</v>
      </c>
      <c r="F104" s="2" t="s">
        <v>5</v>
      </c>
      <c r="G104" s="2" t="s">
        <v>6</v>
      </c>
      <c r="H104" s="2" t="s">
        <v>237</v>
      </c>
      <c r="I104" s="2" t="s">
        <v>3393</v>
      </c>
      <c r="J104" s="3">
        <v>10.039999999999999</v>
      </c>
      <c r="K104" s="3">
        <v>10.039999999999999</v>
      </c>
      <c r="L104" s="2" t="s">
        <v>3391</v>
      </c>
      <c r="M104" s="2" t="s">
        <v>9</v>
      </c>
      <c r="N104" s="3">
        <v>51</v>
      </c>
      <c r="O104" s="2" t="s">
        <v>52</v>
      </c>
      <c r="P104" s="2" t="s">
        <v>53</v>
      </c>
      <c r="Q104" s="3"/>
      <c r="R104" s="3"/>
      <c r="S104" s="2" t="s">
        <v>21</v>
      </c>
      <c r="T104" s="4">
        <v>44955</v>
      </c>
      <c r="U104" s="2" t="s">
        <v>507</v>
      </c>
      <c r="V104" s="6">
        <f>(Sales[[#This Row],[Price_retail]]-Sales[[#This Row],[Price_current]])/Sales[[#This Row],[Price_retail]]</f>
        <v>0</v>
      </c>
      <c r="W104" s="3" t="str" cm="1">
        <f t="array" ref="W10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5" spans="1:23" x14ac:dyDescent="0.35">
      <c r="A105" s="2" t="s">
        <v>508</v>
      </c>
      <c r="B105" s="2" t="s">
        <v>509</v>
      </c>
      <c r="C105" s="2" t="s">
        <v>510</v>
      </c>
      <c r="D105" s="2" t="s">
        <v>511</v>
      </c>
      <c r="E105" s="2" t="s">
        <v>4</v>
      </c>
      <c r="F105" s="2" t="s">
        <v>5</v>
      </c>
      <c r="G105" s="2" t="s">
        <v>82</v>
      </c>
      <c r="H105" s="2" t="s">
        <v>7</v>
      </c>
      <c r="I105" s="2" t="s">
        <v>3389</v>
      </c>
      <c r="J105" s="3">
        <v>14.01</v>
      </c>
      <c r="K105" s="3">
        <v>14.01</v>
      </c>
      <c r="L105" s="2" t="s">
        <v>3391</v>
      </c>
      <c r="M105" s="2" t="s">
        <v>9</v>
      </c>
      <c r="N105" s="3">
        <v>837</v>
      </c>
      <c r="O105" s="2" t="s">
        <v>91</v>
      </c>
      <c r="P105" s="2" t="s">
        <v>44</v>
      </c>
      <c r="Q105" s="3"/>
      <c r="R105" s="3"/>
      <c r="S105" s="2" t="s">
        <v>21</v>
      </c>
      <c r="T105" s="4">
        <v>44955</v>
      </c>
      <c r="U105" s="2" t="s">
        <v>512</v>
      </c>
      <c r="V105" s="6">
        <f>(Sales[[#This Row],[Price_retail]]-Sales[[#This Row],[Price_current]])/Sales[[#This Row],[Price_retail]]</f>
        <v>0</v>
      </c>
      <c r="W105" s="3" t="str" cm="1">
        <f t="array" ref="W10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6" spans="1:23" x14ac:dyDescent="0.35">
      <c r="A106" s="2" t="s">
        <v>513</v>
      </c>
      <c r="B106" s="2" t="s">
        <v>514</v>
      </c>
      <c r="C106" s="2" t="s">
        <v>3409</v>
      </c>
      <c r="D106" s="2" t="s">
        <v>296</v>
      </c>
      <c r="E106" s="2" t="s">
        <v>4</v>
      </c>
      <c r="F106" s="2" t="s">
        <v>5</v>
      </c>
      <c r="G106" s="2" t="s">
        <v>121</v>
      </c>
      <c r="H106" s="2" t="s">
        <v>145</v>
      </c>
      <c r="I106" s="2" t="s">
        <v>3389</v>
      </c>
      <c r="J106" s="3">
        <v>18.32</v>
      </c>
      <c r="K106" s="3">
        <v>18.32</v>
      </c>
      <c r="L106" s="2" t="s">
        <v>3391</v>
      </c>
      <c r="M106" s="2" t="s">
        <v>9</v>
      </c>
      <c r="N106" s="3">
        <v>623</v>
      </c>
      <c r="O106" s="2" t="s">
        <v>163</v>
      </c>
      <c r="P106" s="2" t="s">
        <v>3392</v>
      </c>
      <c r="Q106" s="3"/>
      <c r="R106" s="3"/>
      <c r="S106" s="2" t="s">
        <v>12</v>
      </c>
      <c r="T106" s="4">
        <v>44955</v>
      </c>
      <c r="U106" s="2" t="s">
        <v>515</v>
      </c>
      <c r="V106" s="6">
        <f>(Sales[[#This Row],[Price_retail]]-Sales[[#This Row],[Price_current]])/Sales[[#This Row],[Price_retail]]</f>
        <v>0</v>
      </c>
      <c r="W106" s="3" t="str" cm="1">
        <f t="array" ref="W1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7" spans="1:23" x14ac:dyDescent="0.35">
      <c r="A107" s="2" t="s">
        <v>516</v>
      </c>
      <c r="B107" s="2" t="s">
        <v>517</v>
      </c>
      <c r="C107" s="2" t="s">
        <v>1090</v>
      </c>
      <c r="D107" s="2" t="s">
        <v>181</v>
      </c>
      <c r="E107" s="2" t="s">
        <v>4</v>
      </c>
      <c r="F107" s="2" t="s">
        <v>5</v>
      </c>
      <c r="G107" s="2" t="s">
        <v>121</v>
      </c>
      <c r="H107" s="2" t="s">
        <v>68</v>
      </c>
      <c r="I107" s="2" t="s">
        <v>3390</v>
      </c>
      <c r="J107" s="3">
        <v>8.99</v>
      </c>
      <c r="K107" s="3">
        <v>8.99</v>
      </c>
      <c r="L107" s="2" t="s">
        <v>3391</v>
      </c>
      <c r="M107" s="2" t="s">
        <v>9</v>
      </c>
      <c r="N107" s="3">
        <v>887</v>
      </c>
      <c r="O107" s="2" t="s">
        <v>140</v>
      </c>
      <c r="P107" s="2" t="s">
        <v>192</v>
      </c>
      <c r="Q107" s="3"/>
      <c r="R107" s="3"/>
      <c r="S107" s="2" t="s">
        <v>12</v>
      </c>
      <c r="T107" s="4">
        <v>44955</v>
      </c>
      <c r="U107" s="2" t="s">
        <v>518</v>
      </c>
      <c r="V107" s="6">
        <f>(Sales[[#This Row],[Price_retail]]-Sales[[#This Row],[Price_current]])/Sales[[#This Row],[Price_retail]]</f>
        <v>0</v>
      </c>
      <c r="W107" s="3" t="str" cm="1">
        <f t="array" ref="W10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8" spans="1:23" x14ac:dyDescent="0.35">
      <c r="A108" s="2" t="s">
        <v>519</v>
      </c>
      <c r="B108" s="2" t="s">
        <v>520</v>
      </c>
      <c r="C108" s="2" t="s">
        <v>65</v>
      </c>
      <c r="D108" s="2" t="s">
        <v>521</v>
      </c>
      <c r="E108" s="2" t="s">
        <v>4</v>
      </c>
      <c r="F108" s="2" t="s">
        <v>5</v>
      </c>
      <c r="G108" s="2" t="s">
        <v>6</v>
      </c>
      <c r="H108" s="2"/>
      <c r="I108" s="2" t="s">
        <v>3393</v>
      </c>
      <c r="J108" s="3">
        <v>8.99</v>
      </c>
      <c r="K108" s="3">
        <v>8.99</v>
      </c>
      <c r="L108" s="2" t="s">
        <v>3391</v>
      </c>
      <c r="M108" s="2" t="s">
        <v>9</v>
      </c>
      <c r="N108" s="3">
        <v>640</v>
      </c>
      <c r="O108" s="2" t="s">
        <v>52</v>
      </c>
      <c r="P108" s="2" t="s">
        <v>76</v>
      </c>
      <c r="Q108" s="3"/>
      <c r="R108" s="3"/>
      <c r="S108" s="2" t="s">
        <v>21</v>
      </c>
      <c r="T108" s="4">
        <v>44955</v>
      </c>
      <c r="U108" s="2" t="s">
        <v>522</v>
      </c>
      <c r="V108" s="6">
        <f>(Sales[[#This Row],[Price_retail]]-Sales[[#This Row],[Price_current]])/Sales[[#This Row],[Price_retail]]</f>
        <v>0</v>
      </c>
      <c r="W108" s="3" t="str" cm="1">
        <f t="array" ref="W10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09" spans="1:23" x14ac:dyDescent="0.35">
      <c r="A109" s="2" t="s">
        <v>523</v>
      </c>
      <c r="B109" s="2" t="s">
        <v>524</v>
      </c>
      <c r="C109" s="2" t="s">
        <v>525</v>
      </c>
      <c r="D109" s="2" t="s">
        <v>526</v>
      </c>
      <c r="E109" s="2" t="s">
        <v>4</v>
      </c>
      <c r="F109" s="2" t="s">
        <v>5</v>
      </c>
      <c r="G109" s="2" t="s">
        <v>121</v>
      </c>
      <c r="H109" s="2" t="s">
        <v>59</v>
      </c>
      <c r="I109" s="2" t="s">
        <v>3393</v>
      </c>
      <c r="J109" s="3">
        <v>13.27</v>
      </c>
      <c r="K109" s="3">
        <v>11.33</v>
      </c>
      <c r="L109" s="2" t="s">
        <v>8</v>
      </c>
      <c r="M109" s="2" t="s">
        <v>9</v>
      </c>
      <c r="N109" s="3">
        <v>697</v>
      </c>
      <c r="O109" s="2" t="s">
        <v>36</v>
      </c>
      <c r="P109" s="2" t="s">
        <v>70</v>
      </c>
      <c r="Q109" s="3"/>
      <c r="R109" s="3"/>
      <c r="S109" s="2" t="s">
        <v>12</v>
      </c>
      <c r="T109" s="4">
        <v>44955</v>
      </c>
      <c r="U109" s="2" t="s">
        <v>527</v>
      </c>
      <c r="V109" s="6">
        <f>(Sales[[#This Row],[Price_retail]]-Sales[[#This Row],[Price_current]])/Sales[[#This Row],[Price_retail]]</f>
        <v>0.14619442351168044</v>
      </c>
      <c r="W109" s="3" t="str" cm="1">
        <f t="array" ref="W109">_xlfn.IFS(Sales[[#This Row],[Discount]]=0%,"No Discount",Sales[[#This Row],[Discount]]&lt;=20%,"Light",Sales[[#This Row],[Discount]]&lt;=50%,"Moderate",Sales[[#This Row],[Discount]]&lt;=80%,"High",
TRUE,"Very High")</f>
        <v>Light</v>
      </c>
    </row>
    <row r="110" spans="1:23" x14ac:dyDescent="0.35">
      <c r="A110" s="2" t="s">
        <v>528</v>
      </c>
      <c r="B110" s="2" t="s">
        <v>529</v>
      </c>
      <c r="C110" s="2" t="s">
        <v>65</v>
      </c>
      <c r="D110" s="2" t="s">
        <v>190</v>
      </c>
      <c r="E110" s="2" t="s">
        <v>4</v>
      </c>
      <c r="F110" s="2" t="s">
        <v>5</v>
      </c>
      <c r="G110" s="2" t="s">
        <v>82</v>
      </c>
      <c r="H110" s="2" t="s">
        <v>134</v>
      </c>
      <c r="I110" s="2" t="s">
        <v>3390</v>
      </c>
      <c r="J110" s="3">
        <v>20.09</v>
      </c>
      <c r="K110" s="3">
        <v>20.09</v>
      </c>
      <c r="L110" s="2" t="s">
        <v>3391</v>
      </c>
      <c r="M110" s="2" t="s">
        <v>9</v>
      </c>
      <c r="N110" s="3">
        <v>447</v>
      </c>
      <c r="O110" s="2" t="s">
        <v>29</v>
      </c>
      <c r="P110" s="2" t="s">
        <v>92</v>
      </c>
      <c r="Q110" s="3"/>
      <c r="R110" s="3"/>
      <c r="S110" s="2" t="s">
        <v>21</v>
      </c>
      <c r="T110" s="4">
        <v>44955</v>
      </c>
      <c r="U110" s="2" t="s">
        <v>530</v>
      </c>
      <c r="V110" s="6">
        <f>(Sales[[#This Row],[Price_retail]]-Sales[[#This Row],[Price_current]])/Sales[[#This Row],[Price_retail]]</f>
        <v>0</v>
      </c>
      <c r="W110" s="3" t="str" cm="1">
        <f t="array" ref="W1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11" spans="1:23" x14ac:dyDescent="0.35">
      <c r="A111" s="2" t="s">
        <v>531</v>
      </c>
      <c r="B111" s="2" t="s">
        <v>532</v>
      </c>
      <c r="C111" s="2" t="s">
        <v>387</v>
      </c>
      <c r="D111" s="2" t="s">
        <v>533</v>
      </c>
      <c r="E111" s="2" t="s">
        <v>4</v>
      </c>
      <c r="F111" s="2" t="s">
        <v>17</v>
      </c>
      <c r="G111" s="2" t="s">
        <v>27</v>
      </c>
      <c r="H111" s="2" t="s">
        <v>59</v>
      </c>
      <c r="I111" s="2" t="s">
        <v>3395</v>
      </c>
      <c r="J111" s="3">
        <v>23.55</v>
      </c>
      <c r="K111" s="3">
        <v>9.2899999999999991</v>
      </c>
      <c r="L111" s="2" t="s">
        <v>8</v>
      </c>
      <c r="M111" s="2" t="s">
        <v>9</v>
      </c>
      <c r="N111" s="3">
        <v>983</v>
      </c>
      <c r="O111" s="2" t="s">
        <v>43</v>
      </c>
      <c r="P111" s="2" t="s">
        <v>186</v>
      </c>
      <c r="Q111" s="3"/>
      <c r="R111" s="3"/>
      <c r="S111" s="2" t="s">
        <v>21</v>
      </c>
      <c r="T111" s="4">
        <v>44955</v>
      </c>
      <c r="U111" s="2" t="s">
        <v>534</v>
      </c>
      <c r="V111" s="6">
        <f>(Sales[[#This Row],[Price_retail]]-Sales[[#This Row],[Price_current]])/Sales[[#This Row],[Price_retail]]</f>
        <v>0.60552016985138013</v>
      </c>
      <c r="W111" s="3" t="str" cm="1">
        <f t="array" ref="W111">_xlfn.IFS(Sales[[#This Row],[Discount]]=0%,"No Discount",Sales[[#This Row],[Discount]]&lt;=20%,"Light",Sales[[#This Row],[Discount]]&lt;=50%,"Moderate",Sales[[#This Row],[Discount]]&lt;=80%,"High",
TRUE,"Very High")</f>
        <v>High</v>
      </c>
    </row>
    <row r="112" spans="1:23" x14ac:dyDescent="0.35">
      <c r="A112" s="2" t="s">
        <v>535</v>
      </c>
      <c r="B112" s="2" t="s">
        <v>536</v>
      </c>
      <c r="C112" s="2" t="s">
        <v>65</v>
      </c>
      <c r="D112" s="2" t="s">
        <v>537</v>
      </c>
      <c r="E112" s="2" t="s">
        <v>4</v>
      </c>
      <c r="F112" s="2" t="s">
        <v>5</v>
      </c>
      <c r="G112" s="2" t="s">
        <v>82</v>
      </c>
      <c r="H112" s="2" t="s">
        <v>145</v>
      </c>
      <c r="I112" s="2" t="s">
        <v>3390</v>
      </c>
      <c r="J112" s="3">
        <v>8.99</v>
      </c>
      <c r="K112" s="3">
        <v>6.57</v>
      </c>
      <c r="L112" s="2" t="s">
        <v>8</v>
      </c>
      <c r="M112" s="2" t="s">
        <v>9</v>
      </c>
      <c r="N112" s="3">
        <v>180</v>
      </c>
      <c r="O112" s="2" t="s">
        <v>29</v>
      </c>
      <c r="P112" s="2" t="s">
        <v>221</v>
      </c>
      <c r="Q112" s="3"/>
      <c r="R112" s="3"/>
      <c r="S112" s="2" t="s">
        <v>21</v>
      </c>
      <c r="T112" s="4">
        <v>44955</v>
      </c>
      <c r="U112" s="2" t="s">
        <v>538</v>
      </c>
      <c r="V112" s="6">
        <f>(Sales[[#This Row],[Price_retail]]-Sales[[#This Row],[Price_current]])/Sales[[#This Row],[Price_retail]]</f>
        <v>0.26918798665183535</v>
      </c>
      <c r="W112" s="3" t="str" cm="1">
        <f t="array" ref="W11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13" spans="1:23" x14ac:dyDescent="0.35">
      <c r="A113" s="2" t="s">
        <v>539</v>
      </c>
      <c r="B113" s="2" t="s">
        <v>540</v>
      </c>
      <c r="C113" s="2" t="s">
        <v>541</v>
      </c>
      <c r="D113" s="2" t="s">
        <v>542</v>
      </c>
      <c r="E113" s="2" t="s">
        <v>4</v>
      </c>
      <c r="F113" s="2" t="s">
        <v>17</v>
      </c>
      <c r="G113" s="2" t="s">
        <v>50</v>
      </c>
      <c r="H113" s="2" t="s">
        <v>333</v>
      </c>
      <c r="I113" s="2" t="s">
        <v>3390</v>
      </c>
      <c r="J113" s="3">
        <v>22.2</v>
      </c>
      <c r="K113" s="3">
        <v>21.09</v>
      </c>
      <c r="L113" s="2" t="s">
        <v>8</v>
      </c>
      <c r="M113" s="2" t="s">
        <v>9</v>
      </c>
      <c r="N113" s="3">
        <v>276</v>
      </c>
      <c r="O113" s="2" t="s">
        <v>104</v>
      </c>
      <c r="P113" s="2" t="s">
        <v>11</v>
      </c>
      <c r="Q113" s="3"/>
      <c r="R113" s="3"/>
      <c r="S113" s="2" t="s">
        <v>21</v>
      </c>
      <c r="T113" s="4">
        <v>44955</v>
      </c>
      <c r="U113" s="2" t="s">
        <v>543</v>
      </c>
      <c r="V113" s="6">
        <f>(Sales[[#This Row],[Price_retail]]-Sales[[#This Row],[Price_current]])/Sales[[#This Row],[Price_retail]]</f>
        <v>4.9999999999999975E-2</v>
      </c>
      <c r="W113" s="3" t="str" cm="1">
        <f t="array" ref="W113">_xlfn.IFS(Sales[[#This Row],[Discount]]=0%,"No Discount",Sales[[#This Row],[Discount]]&lt;=20%,"Light",Sales[[#This Row],[Discount]]&lt;=50%,"Moderate",Sales[[#This Row],[Discount]]&lt;=80%,"High",
TRUE,"Very High")</f>
        <v>Light</v>
      </c>
    </row>
    <row r="114" spans="1:23" x14ac:dyDescent="0.35">
      <c r="A114" s="2" t="s">
        <v>544</v>
      </c>
      <c r="B114" s="2" t="s">
        <v>545</v>
      </c>
      <c r="C114" s="2" t="s">
        <v>546</v>
      </c>
      <c r="D114" s="2" t="s">
        <v>485</v>
      </c>
      <c r="E114" s="2" t="s">
        <v>4</v>
      </c>
      <c r="F114" s="2" t="s">
        <v>17</v>
      </c>
      <c r="G114" s="2" t="s">
        <v>27</v>
      </c>
      <c r="H114" s="2"/>
      <c r="I114" s="2" t="s">
        <v>3390</v>
      </c>
      <c r="J114" s="3">
        <v>13.67</v>
      </c>
      <c r="K114" s="3">
        <v>13.67</v>
      </c>
      <c r="L114" s="2" t="s">
        <v>248</v>
      </c>
      <c r="M114" s="2" t="s">
        <v>9</v>
      </c>
      <c r="N114" s="3">
        <v>24</v>
      </c>
      <c r="O114" s="2" t="s">
        <v>91</v>
      </c>
      <c r="P114" s="2" t="s">
        <v>53</v>
      </c>
      <c r="Q114" s="3"/>
      <c r="R114" s="3"/>
      <c r="S114" s="2" t="s">
        <v>12</v>
      </c>
      <c r="T114" s="4">
        <v>44955</v>
      </c>
      <c r="U114" s="2" t="s">
        <v>547</v>
      </c>
      <c r="V114" s="6">
        <f>(Sales[[#This Row],[Price_retail]]-Sales[[#This Row],[Price_current]])/Sales[[#This Row],[Price_retail]]</f>
        <v>0</v>
      </c>
      <c r="W114" s="3" t="str" cm="1">
        <f t="array" ref="W1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15" spans="1:23" x14ac:dyDescent="0.35">
      <c r="A115" s="2" t="s">
        <v>548</v>
      </c>
      <c r="B115" s="2" t="s">
        <v>549</v>
      </c>
      <c r="C115" s="2" t="s">
        <v>484</v>
      </c>
      <c r="D115" s="2" t="s">
        <v>196</v>
      </c>
      <c r="E115" s="2" t="s">
        <v>4</v>
      </c>
      <c r="F115" s="2" t="s">
        <v>17</v>
      </c>
      <c r="G115" s="2" t="s">
        <v>67</v>
      </c>
      <c r="H115" s="2" t="s">
        <v>7</v>
      </c>
      <c r="I115" s="2" t="s">
        <v>3390</v>
      </c>
      <c r="J115" s="3">
        <v>9.6199999999999992</v>
      </c>
      <c r="K115" s="3">
        <v>8.1199999999999992</v>
      </c>
      <c r="L115" s="2" t="s">
        <v>8</v>
      </c>
      <c r="M115" s="2" t="s">
        <v>9</v>
      </c>
      <c r="N115" s="3">
        <v>415</v>
      </c>
      <c r="O115" s="2" t="s">
        <v>20</v>
      </c>
      <c r="P115" s="2" t="s">
        <v>238</v>
      </c>
      <c r="Q115" s="3"/>
      <c r="R115" s="3"/>
      <c r="S115" s="2" t="s">
        <v>21</v>
      </c>
      <c r="T115" s="4">
        <v>44955</v>
      </c>
      <c r="U115" s="2" t="s">
        <v>550</v>
      </c>
      <c r="V115" s="6">
        <f>(Sales[[#This Row],[Price_retail]]-Sales[[#This Row],[Price_current]])/Sales[[#This Row],[Price_retail]]</f>
        <v>0.15592515592515593</v>
      </c>
      <c r="W115" s="3" t="str" cm="1">
        <f t="array" ref="W115">_xlfn.IFS(Sales[[#This Row],[Discount]]=0%,"No Discount",Sales[[#This Row],[Discount]]&lt;=20%,"Light",Sales[[#This Row],[Discount]]&lt;=50%,"Moderate",Sales[[#This Row],[Discount]]&lt;=80%,"High",
TRUE,"Very High")</f>
        <v>Light</v>
      </c>
    </row>
    <row r="116" spans="1:23" x14ac:dyDescent="0.35">
      <c r="A116" s="2" t="s">
        <v>551</v>
      </c>
      <c r="B116" s="2" t="s">
        <v>552</v>
      </c>
      <c r="C116" s="2" t="s">
        <v>3394</v>
      </c>
      <c r="D116" s="2" t="s">
        <v>400</v>
      </c>
      <c r="E116" s="2" t="s">
        <v>4</v>
      </c>
      <c r="F116" s="2" t="s">
        <v>5</v>
      </c>
      <c r="G116" s="2" t="s">
        <v>82</v>
      </c>
      <c r="H116" s="2" t="s">
        <v>185</v>
      </c>
      <c r="I116" s="2" t="s">
        <v>3395</v>
      </c>
      <c r="J116" s="3">
        <v>10.95</v>
      </c>
      <c r="K116" s="3">
        <v>10.95</v>
      </c>
      <c r="L116" s="2" t="s">
        <v>3391</v>
      </c>
      <c r="M116" s="2" t="s">
        <v>9</v>
      </c>
      <c r="N116" s="3">
        <v>200</v>
      </c>
      <c r="O116" s="2" t="s">
        <v>60</v>
      </c>
      <c r="P116" s="2" t="s">
        <v>553</v>
      </c>
      <c r="Q116" s="3"/>
      <c r="R116" s="3"/>
      <c r="S116" s="2" t="s">
        <v>21</v>
      </c>
      <c r="T116" s="4">
        <v>44955</v>
      </c>
      <c r="U116" s="2" t="s">
        <v>554</v>
      </c>
      <c r="V116" s="6">
        <f>(Sales[[#This Row],[Price_retail]]-Sales[[#This Row],[Price_current]])/Sales[[#This Row],[Price_retail]]</f>
        <v>0</v>
      </c>
      <c r="W116" s="3" t="str" cm="1">
        <f t="array" ref="W11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17" spans="1:23" x14ac:dyDescent="0.35">
      <c r="A117" s="2" t="s">
        <v>555</v>
      </c>
      <c r="B117" s="2" t="s">
        <v>556</v>
      </c>
      <c r="C117" s="2" t="s">
        <v>65</v>
      </c>
      <c r="D117" s="2" t="s">
        <v>557</v>
      </c>
      <c r="E117" s="2" t="s">
        <v>4</v>
      </c>
      <c r="F117" s="2" t="s">
        <v>5</v>
      </c>
      <c r="G117" s="2" t="s">
        <v>82</v>
      </c>
      <c r="H117" s="2" t="s">
        <v>28</v>
      </c>
      <c r="I117" s="2" t="s">
        <v>3393</v>
      </c>
      <c r="J117" s="3">
        <v>24.31</v>
      </c>
      <c r="K117" s="3">
        <v>24.31</v>
      </c>
      <c r="L117" s="2" t="s">
        <v>3391</v>
      </c>
      <c r="M117" s="2" t="s">
        <v>9</v>
      </c>
      <c r="N117" s="3">
        <v>827</v>
      </c>
      <c r="O117" s="2" t="s">
        <v>20</v>
      </c>
      <c r="P117" s="2" t="s">
        <v>70</v>
      </c>
      <c r="Q117" s="3"/>
      <c r="R117" s="3"/>
      <c r="S117" s="2" t="s">
        <v>21</v>
      </c>
      <c r="T117" s="4">
        <v>44955</v>
      </c>
      <c r="U117" s="2" t="s">
        <v>558</v>
      </c>
      <c r="V117" s="6">
        <f>(Sales[[#This Row],[Price_retail]]-Sales[[#This Row],[Price_current]])/Sales[[#This Row],[Price_retail]]</f>
        <v>0</v>
      </c>
      <c r="W117" s="3" t="str" cm="1">
        <f t="array" ref="W11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18" spans="1:23" x14ac:dyDescent="0.35">
      <c r="A118" s="2" t="s">
        <v>559</v>
      </c>
      <c r="B118" s="2" t="s">
        <v>560</v>
      </c>
      <c r="C118" s="2" t="s">
        <v>561</v>
      </c>
      <c r="D118" s="2" t="s">
        <v>247</v>
      </c>
      <c r="E118" s="2" t="s">
        <v>4</v>
      </c>
      <c r="F118" s="2" t="s">
        <v>17</v>
      </c>
      <c r="G118" s="2" t="s">
        <v>27</v>
      </c>
      <c r="H118" s="2" t="s">
        <v>68</v>
      </c>
      <c r="I118" s="2" t="s">
        <v>3395</v>
      </c>
      <c r="J118" s="3">
        <v>18.190000000000001</v>
      </c>
      <c r="K118" s="3">
        <v>6.76</v>
      </c>
      <c r="L118" s="2" t="s">
        <v>8</v>
      </c>
      <c r="M118" s="2" t="s">
        <v>9</v>
      </c>
      <c r="N118" s="3">
        <v>893</v>
      </c>
      <c r="O118" s="2" t="s">
        <v>29</v>
      </c>
      <c r="P118" s="2" t="s">
        <v>221</v>
      </c>
      <c r="Q118" s="3"/>
      <c r="R118" s="3"/>
      <c r="S118" s="2" t="s">
        <v>21</v>
      </c>
      <c r="T118" s="4">
        <v>44955</v>
      </c>
      <c r="U118" s="2" t="s">
        <v>562</v>
      </c>
      <c r="V118" s="6">
        <f>(Sales[[#This Row],[Price_retail]]-Sales[[#This Row],[Price_current]])/Sales[[#This Row],[Price_retail]]</f>
        <v>0.62836723474436507</v>
      </c>
      <c r="W118" s="3" t="str" cm="1">
        <f t="array" ref="W118">_xlfn.IFS(Sales[[#This Row],[Discount]]=0%,"No Discount",Sales[[#This Row],[Discount]]&lt;=20%,"Light",Sales[[#This Row],[Discount]]&lt;=50%,"Moderate",Sales[[#This Row],[Discount]]&lt;=80%,"High",
TRUE,"Very High")</f>
        <v>High</v>
      </c>
    </row>
    <row r="119" spans="1:23" x14ac:dyDescent="0.35">
      <c r="A119" s="2" t="s">
        <v>563</v>
      </c>
      <c r="B119" s="2" t="s">
        <v>564</v>
      </c>
      <c r="C119" s="2" t="s">
        <v>565</v>
      </c>
      <c r="D119" s="2" t="s">
        <v>417</v>
      </c>
      <c r="E119" s="2" t="s">
        <v>4</v>
      </c>
      <c r="F119" s="2" t="s">
        <v>17</v>
      </c>
      <c r="G119" s="2" t="s">
        <v>50</v>
      </c>
      <c r="H119" s="2" t="s">
        <v>418</v>
      </c>
      <c r="I119" s="2" t="s">
        <v>3393</v>
      </c>
      <c r="J119" s="3">
        <v>16.079999999999998</v>
      </c>
      <c r="K119" s="3">
        <v>12.13</v>
      </c>
      <c r="L119" s="2" t="s">
        <v>8</v>
      </c>
      <c r="M119" s="2" t="s">
        <v>9</v>
      </c>
      <c r="N119" s="3">
        <v>953</v>
      </c>
      <c r="O119" s="2" t="s">
        <v>43</v>
      </c>
      <c r="P119" s="2" t="s">
        <v>76</v>
      </c>
      <c r="Q119" s="3"/>
      <c r="R119" s="3"/>
      <c r="S119" s="2" t="s">
        <v>21</v>
      </c>
      <c r="T119" s="4">
        <v>44955</v>
      </c>
      <c r="U119" s="2" t="s">
        <v>566</v>
      </c>
      <c r="V119" s="6">
        <f>(Sales[[#This Row],[Price_retail]]-Sales[[#This Row],[Price_current]])/Sales[[#This Row],[Price_retail]]</f>
        <v>0.2456467661691541</v>
      </c>
      <c r="W119" s="3" t="str" cm="1">
        <f t="array" ref="W11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20" spans="1:23" x14ac:dyDescent="0.35">
      <c r="A120" s="2" t="s">
        <v>567</v>
      </c>
      <c r="B120" s="2" t="s">
        <v>568</v>
      </c>
      <c r="C120" s="2" t="s">
        <v>569</v>
      </c>
      <c r="D120" s="2" t="s">
        <v>521</v>
      </c>
      <c r="E120" s="2" t="s">
        <v>4</v>
      </c>
      <c r="F120" s="2" t="s">
        <v>5</v>
      </c>
      <c r="G120" s="2" t="s">
        <v>82</v>
      </c>
      <c r="H120" s="2" t="s">
        <v>19</v>
      </c>
      <c r="I120" s="2" t="s">
        <v>3395</v>
      </c>
      <c r="J120" s="3">
        <v>17.88</v>
      </c>
      <c r="K120" s="3">
        <v>17.88</v>
      </c>
      <c r="L120" s="2" t="s">
        <v>3391</v>
      </c>
      <c r="M120" s="2" t="s">
        <v>9</v>
      </c>
      <c r="N120" s="3">
        <v>865</v>
      </c>
      <c r="O120" s="2" t="s">
        <v>163</v>
      </c>
      <c r="P120" s="2" t="s">
        <v>186</v>
      </c>
      <c r="Q120" s="3"/>
      <c r="R120" s="3"/>
      <c r="S120" s="2" t="s">
        <v>12</v>
      </c>
      <c r="T120" s="4">
        <v>44955</v>
      </c>
      <c r="U120" s="2" t="s">
        <v>570</v>
      </c>
      <c r="V120" s="6">
        <f>(Sales[[#This Row],[Price_retail]]-Sales[[#This Row],[Price_current]])/Sales[[#This Row],[Price_retail]]</f>
        <v>0</v>
      </c>
      <c r="W120" s="3" t="str" cm="1">
        <f t="array" ref="W12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1" spans="1:23" x14ac:dyDescent="0.35">
      <c r="A121" s="2" t="s">
        <v>571</v>
      </c>
      <c r="B121" s="2" t="s">
        <v>572</v>
      </c>
      <c r="C121" s="2" t="s">
        <v>2915</v>
      </c>
      <c r="D121" s="2" t="s">
        <v>573</v>
      </c>
      <c r="E121" s="2" t="s">
        <v>4</v>
      </c>
      <c r="F121" s="2" t="s">
        <v>5</v>
      </c>
      <c r="G121" s="2" t="s">
        <v>6</v>
      </c>
      <c r="H121" s="2" t="s">
        <v>68</v>
      </c>
      <c r="I121" s="2" t="s">
        <v>3390</v>
      </c>
      <c r="J121" s="3">
        <v>26.06</v>
      </c>
      <c r="K121" s="3">
        <v>26.06</v>
      </c>
      <c r="L121" s="2" t="s">
        <v>3391</v>
      </c>
      <c r="M121" s="2" t="s">
        <v>9</v>
      </c>
      <c r="N121" s="3">
        <v>395</v>
      </c>
      <c r="O121" s="2" t="s">
        <v>287</v>
      </c>
      <c r="P121" s="2" t="s">
        <v>192</v>
      </c>
      <c r="Q121" s="3"/>
      <c r="R121" s="3"/>
      <c r="S121" s="2" t="s">
        <v>21</v>
      </c>
      <c r="T121" s="4">
        <v>44955</v>
      </c>
      <c r="U121" s="2" t="s">
        <v>574</v>
      </c>
      <c r="V121" s="6">
        <f>(Sales[[#This Row],[Price_retail]]-Sales[[#This Row],[Price_current]])/Sales[[#This Row],[Price_retail]]</f>
        <v>0</v>
      </c>
      <c r="W121" s="3" t="str" cm="1">
        <f t="array" ref="W1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2" spans="1:23" x14ac:dyDescent="0.35">
      <c r="A122" s="2" t="s">
        <v>575</v>
      </c>
      <c r="B122" s="2" t="s">
        <v>576</v>
      </c>
      <c r="C122" s="2" t="s">
        <v>102</v>
      </c>
      <c r="D122" s="2" t="s">
        <v>577</v>
      </c>
      <c r="E122" s="2" t="s">
        <v>4</v>
      </c>
      <c r="F122" s="2" t="s">
        <v>5</v>
      </c>
      <c r="G122" s="2" t="s">
        <v>121</v>
      </c>
      <c r="H122" s="2" t="s">
        <v>168</v>
      </c>
      <c r="I122" s="2" t="s">
        <v>3390</v>
      </c>
      <c r="J122" s="3">
        <v>28.28</v>
      </c>
      <c r="K122" s="3">
        <v>28.28</v>
      </c>
      <c r="L122" s="2" t="s">
        <v>3391</v>
      </c>
      <c r="M122" s="2" t="s">
        <v>9</v>
      </c>
      <c r="N122" s="3">
        <v>880</v>
      </c>
      <c r="O122" s="2" t="s">
        <v>347</v>
      </c>
      <c r="P122" s="2" t="s">
        <v>283</v>
      </c>
      <c r="Q122" s="3"/>
      <c r="R122" s="3"/>
      <c r="S122" s="2" t="s">
        <v>21</v>
      </c>
      <c r="T122" s="4">
        <v>44955</v>
      </c>
      <c r="U122" s="2" t="s">
        <v>578</v>
      </c>
      <c r="V122" s="6">
        <f>(Sales[[#This Row],[Price_retail]]-Sales[[#This Row],[Price_current]])/Sales[[#This Row],[Price_retail]]</f>
        <v>0</v>
      </c>
      <c r="W122" s="3" t="str" cm="1">
        <f t="array" ref="W12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3" spans="1:23" x14ac:dyDescent="0.35">
      <c r="A123" s="2" t="s">
        <v>579</v>
      </c>
      <c r="B123" s="2" t="s">
        <v>580</v>
      </c>
      <c r="C123" s="2" t="s">
        <v>3433</v>
      </c>
      <c r="D123" s="2" t="s">
        <v>581</v>
      </c>
      <c r="E123" s="2" t="s">
        <v>4</v>
      </c>
      <c r="F123" s="2" t="s">
        <v>17</v>
      </c>
      <c r="G123" s="2" t="s">
        <v>27</v>
      </c>
      <c r="H123" s="2" t="s">
        <v>7</v>
      </c>
      <c r="I123" s="2" t="s">
        <v>3390</v>
      </c>
      <c r="J123" s="3">
        <v>16.12</v>
      </c>
      <c r="K123" s="3">
        <v>8.56</v>
      </c>
      <c r="L123" s="2" t="s">
        <v>8</v>
      </c>
      <c r="M123" s="2" t="s">
        <v>9</v>
      </c>
      <c r="N123" s="3">
        <v>66</v>
      </c>
      <c r="O123" s="2" t="s">
        <v>191</v>
      </c>
      <c r="P123" s="2" t="s">
        <v>221</v>
      </c>
      <c r="Q123" s="3"/>
      <c r="R123" s="3"/>
      <c r="S123" s="2" t="s">
        <v>21</v>
      </c>
      <c r="T123" s="4">
        <v>44955</v>
      </c>
      <c r="U123" s="2" t="s">
        <v>582</v>
      </c>
      <c r="V123" s="6">
        <f>(Sales[[#This Row],[Price_retail]]-Sales[[#This Row],[Price_current]])/Sales[[#This Row],[Price_retail]]</f>
        <v>0.46898263027295284</v>
      </c>
      <c r="W123" s="3" t="str" cm="1">
        <f t="array" ref="W12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24" spans="1:23" x14ac:dyDescent="0.35">
      <c r="A124" s="2" t="s">
        <v>583</v>
      </c>
      <c r="B124" s="2" t="s">
        <v>584</v>
      </c>
      <c r="C124" s="2" t="s">
        <v>585</v>
      </c>
      <c r="D124" s="2" t="s">
        <v>586</v>
      </c>
      <c r="E124" s="2" t="s">
        <v>4</v>
      </c>
      <c r="F124" s="2" t="s">
        <v>5</v>
      </c>
      <c r="G124" s="2" t="s">
        <v>121</v>
      </c>
      <c r="H124" s="2" t="s">
        <v>83</v>
      </c>
      <c r="I124" s="2" t="s">
        <v>3393</v>
      </c>
      <c r="J124" s="3">
        <v>29.25</v>
      </c>
      <c r="K124" s="3">
        <v>29.25</v>
      </c>
      <c r="L124" s="2" t="s">
        <v>3391</v>
      </c>
      <c r="M124" s="2" t="s">
        <v>9</v>
      </c>
      <c r="N124" s="3">
        <v>620</v>
      </c>
      <c r="O124" s="2" t="s">
        <v>98</v>
      </c>
      <c r="P124" s="2" t="s">
        <v>70</v>
      </c>
      <c r="Q124" s="3"/>
      <c r="R124" s="3"/>
      <c r="S124" s="2" t="s">
        <v>21</v>
      </c>
      <c r="T124" s="4">
        <v>44955</v>
      </c>
      <c r="U124" s="2" t="s">
        <v>587</v>
      </c>
      <c r="V124" s="6">
        <f>(Sales[[#This Row],[Price_retail]]-Sales[[#This Row],[Price_current]])/Sales[[#This Row],[Price_retail]]</f>
        <v>0</v>
      </c>
      <c r="W124" s="3" t="str" cm="1">
        <f t="array" ref="W1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5" spans="1:23" x14ac:dyDescent="0.35">
      <c r="A125" s="2" t="s">
        <v>588</v>
      </c>
      <c r="B125" s="2" t="s">
        <v>589</v>
      </c>
      <c r="C125" s="2" t="s">
        <v>3394</v>
      </c>
      <c r="D125" s="2" t="s">
        <v>590</v>
      </c>
      <c r="E125" s="2" t="s">
        <v>4</v>
      </c>
      <c r="F125" s="2" t="s">
        <v>5</v>
      </c>
      <c r="G125" s="2" t="s">
        <v>121</v>
      </c>
      <c r="H125" s="2" t="s">
        <v>90</v>
      </c>
      <c r="I125" s="2" t="s">
        <v>3390</v>
      </c>
      <c r="J125" s="3">
        <v>13.03</v>
      </c>
      <c r="K125" s="3">
        <v>8.5399999999999991</v>
      </c>
      <c r="L125" s="2" t="s">
        <v>8</v>
      </c>
      <c r="M125" s="2" t="s">
        <v>9</v>
      </c>
      <c r="N125" s="3">
        <v>371</v>
      </c>
      <c r="O125" s="2" t="s">
        <v>267</v>
      </c>
      <c r="P125" s="2" t="s">
        <v>76</v>
      </c>
      <c r="Q125" s="3"/>
      <c r="R125" s="3"/>
      <c r="S125" s="2" t="s">
        <v>12</v>
      </c>
      <c r="T125" s="4">
        <v>44955</v>
      </c>
      <c r="U125" s="2" t="s">
        <v>591</v>
      </c>
      <c r="V125" s="6">
        <f>(Sales[[#This Row],[Price_retail]]-Sales[[#This Row],[Price_current]])/Sales[[#This Row],[Price_retail]]</f>
        <v>0.34458940905602459</v>
      </c>
      <c r="W125" s="3" t="str" cm="1">
        <f t="array" ref="W12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26" spans="1:23" x14ac:dyDescent="0.35">
      <c r="A126" s="2" t="s">
        <v>592</v>
      </c>
      <c r="B126" s="2" t="s">
        <v>593</v>
      </c>
      <c r="C126" s="2" t="s">
        <v>306</v>
      </c>
      <c r="D126" s="2" t="s">
        <v>501</v>
      </c>
      <c r="E126" s="2" t="s">
        <v>4</v>
      </c>
      <c r="F126" s="2" t="s">
        <v>17</v>
      </c>
      <c r="G126" s="2" t="s">
        <v>67</v>
      </c>
      <c r="H126" s="2" t="s">
        <v>83</v>
      </c>
      <c r="I126" s="2" t="s">
        <v>3390</v>
      </c>
      <c r="J126" s="3">
        <v>21.98</v>
      </c>
      <c r="K126" s="3">
        <v>21.98</v>
      </c>
      <c r="L126" s="2" t="s">
        <v>3391</v>
      </c>
      <c r="M126" s="2" t="s">
        <v>9</v>
      </c>
      <c r="N126" s="3">
        <v>427</v>
      </c>
      <c r="O126" s="2" t="s">
        <v>3392</v>
      </c>
      <c r="P126" s="2" t="s">
        <v>169</v>
      </c>
      <c r="Q126" s="3"/>
      <c r="R126" s="3"/>
      <c r="S126" s="2" t="s">
        <v>21</v>
      </c>
      <c r="T126" s="4">
        <v>44955</v>
      </c>
      <c r="U126" s="2" t="s">
        <v>594</v>
      </c>
      <c r="V126" s="6">
        <f>(Sales[[#This Row],[Price_retail]]-Sales[[#This Row],[Price_current]])/Sales[[#This Row],[Price_retail]]</f>
        <v>0</v>
      </c>
      <c r="W126" s="3" t="str" cm="1">
        <f t="array" ref="W12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7" spans="1:23" x14ac:dyDescent="0.35">
      <c r="A127" s="2" t="s">
        <v>595</v>
      </c>
      <c r="B127" s="2" t="s">
        <v>596</v>
      </c>
      <c r="C127" s="2" t="s">
        <v>454</v>
      </c>
      <c r="D127" s="2" t="s">
        <v>470</v>
      </c>
      <c r="E127" s="2" t="s">
        <v>4</v>
      </c>
      <c r="F127" s="2" t="s">
        <v>17</v>
      </c>
      <c r="G127" s="2" t="s">
        <v>50</v>
      </c>
      <c r="H127" s="2" t="s">
        <v>185</v>
      </c>
      <c r="I127" s="2" t="s">
        <v>3389</v>
      </c>
      <c r="J127" s="3">
        <v>11.86</v>
      </c>
      <c r="K127" s="3">
        <v>8.64</v>
      </c>
      <c r="L127" s="2" t="s">
        <v>8</v>
      </c>
      <c r="M127" s="2" t="s">
        <v>9</v>
      </c>
      <c r="N127" s="3">
        <v>632</v>
      </c>
      <c r="O127" s="2" t="s">
        <v>3392</v>
      </c>
      <c r="P127" s="2" t="s">
        <v>169</v>
      </c>
      <c r="Q127" s="3"/>
      <c r="R127" s="3"/>
      <c r="S127" s="2" t="s">
        <v>12</v>
      </c>
      <c r="T127" s="4">
        <v>44955</v>
      </c>
      <c r="U127" s="2" t="s">
        <v>597</v>
      </c>
      <c r="V127" s="6">
        <f>(Sales[[#This Row],[Price_retail]]-Sales[[#This Row],[Price_current]])/Sales[[#This Row],[Price_retail]]</f>
        <v>0.27150084317032031</v>
      </c>
      <c r="W127" s="3" t="str" cm="1">
        <f t="array" ref="W12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28" spans="1:23" x14ac:dyDescent="0.35">
      <c r="A128" s="2" t="s">
        <v>598</v>
      </c>
      <c r="B128" s="2" t="s">
        <v>599</v>
      </c>
      <c r="C128" s="2" t="s">
        <v>3394</v>
      </c>
      <c r="D128" s="2" t="s">
        <v>600</v>
      </c>
      <c r="E128" s="2" t="s">
        <v>4</v>
      </c>
      <c r="F128" s="2" t="s">
        <v>17</v>
      </c>
      <c r="G128" s="2" t="s">
        <v>67</v>
      </c>
      <c r="H128" s="2" t="s">
        <v>134</v>
      </c>
      <c r="I128" s="2" t="s">
        <v>3390</v>
      </c>
      <c r="J128" s="3">
        <v>12.44</v>
      </c>
      <c r="K128" s="3">
        <v>12.44</v>
      </c>
      <c r="L128" s="2" t="s">
        <v>3391</v>
      </c>
      <c r="M128" s="2" t="s">
        <v>9</v>
      </c>
      <c r="N128" s="3">
        <v>585</v>
      </c>
      <c r="O128" s="2" t="s">
        <v>20</v>
      </c>
      <c r="P128" s="2" t="s">
        <v>283</v>
      </c>
      <c r="Q128" s="3"/>
      <c r="R128" s="3"/>
      <c r="S128" s="2" t="s">
        <v>12</v>
      </c>
      <c r="T128" s="4">
        <v>44955</v>
      </c>
      <c r="U128" s="2" t="s">
        <v>601</v>
      </c>
      <c r="V128" s="6">
        <f>(Sales[[#This Row],[Price_retail]]-Sales[[#This Row],[Price_current]])/Sales[[#This Row],[Price_retail]]</f>
        <v>0</v>
      </c>
      <c r="W128" s="3" t="str" cm="1">
        <f t="array" ref="W1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29" spans="1:23" x14ac:dyDescent="0.35">
      <c r="A129" s="2" t="s">
        <v>602</v>
      </c>
      <c r="B129" s="2" t="s">
        <v>603</v>
      </c>
      <c r="C129" s="2" t="s">
        <v>65</v>
      </c>
      <c r="D129" s="2" t="s">
        <v>604</v>
      </c>
      <c r="E129" s="2" t="s">
        <v>4</v>
      </c>
      <c r="F129" s="2" t="s">
        <v>5</v>
      </c>
      <c r="G129" s="2" t="s">
        <v>82</v>
      </c>
      <c r="H129" s="2" t="s">
        <v>418</v>
      </c>
      <c r="I129" s="2" t="s">
        <v>3393</v>
      </c>
      <c r="J129" s="3">
        <v>21.02</v>
      </c>
      <c r="K129" s="3">
        <v>21.02</v>
      </c>
      <c r="L129" s="2" t="s">
        <v>3391</v>
      </c>
      <c r="M129" s="2" t="s">
        <v>9</v>
      </c>
      <c r="N129" s="3">
        <v>329</v>
      </c>
      <c r="O129" s="2" t="s">
        <v>140</v>
      </c>
      <c r="P129" s="2" t="s">
        <v>3392</v>
      </c>
      <c r="Q129" s="3"/>
      <c r="R129" s="3"/>
      <c r="S129" s="2" t="s">
        <v>21</v>
      </c>
      <c r="T129" s="4">
        <v>44955</v>
      </c>
      <c r="U129" s="2" t="s">
        <v>605</v>
      </c>
      <c r="V129" s="6">
        <f>(Sales[[#This Row],[Price_retail]]-Sales[[#This Row],[Price_current]])/Sales[[#This Row],[Price_retail]]</f>
        <v>0</v>
      </c>
      <c r="W129" s="3" t="str" cm="1">
        <f t="array" ref="W12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30" spans="1:23" x14ac:dyDescent="0.35">
      <c r="A130" s="2" t="s">
        <v>606</v>
      </c>
      <c r="B130" s="2" t="s">
        <v>607</v>
      </c>
      <c r="C130" s="2" t="s">
        <v>200</v>
      </c>
      <c r="D130" s="2" t="s">
        <v>608</v>
      </c>
      <c r="E130" s="2" t="s">
        <v>4</v>
      </c>
      <c r="F130" s="2" t="s">
        <v>17</v>
      </c>
      <c r="G130" s="2" t="s">
        <v>67</v>
      </c>
      <c r="H130" s="2"/>
      <c r="I130" s="2" t="s">
        <v>3393</v>
      </c>
      <c r="J130" s="3">
        <v>20.77</v>
      </c>
      <c r="K130" s="3">
        <v>11.98</v>
      </c>
      <c r="L130" s="2" t="s">
        <v>8</v>
      </c>
      <c r="M130" s="2" t="s">
        <v>9</v>
      </c>
      <c r="N130" s="3">
        <v>863</v>
      </c>
      <c r="O130" s="2" t="s">
        <v>287</v>
      </c>
      <c r="P130" s="2" t="s">
        <v>92</v>
      </c>
      <c r="Q130" s="3"/>
      <c r="R130" s="3"/>
      <c r="S130" s="2" t="s">
        <v>12</v>
      </c>
      <c r="T130" s="4">
        <v>44955</v>
      </c>
      <c r="U130" s="2" t="s">
        <v>609</v>
      </c>
      <c r="V130" s="6">
        <f>(Sales[[#This Row],[Price_retail]]-Sales[[#This Row],[Price_current]])/Sales[[#This Row],[Price_retail]]</f>
        <v>0.42320654790563311</v>
      </c>
      <c r="W130" s="3" t="str" cm="1">
        <f t="array" ref="W13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31" spans="1:23" x14ac:dyDescent="0.35">
      <c r="A131" s="2" t="s">
        <v>610</v>
      </c>
      <c r="B131" s="2" t="s">
        <v>611</v>
      </c>
      <c r="C131" s="2" t="s">
        <v>367</v>
      </c>
      <c r="D131" s="2" t="s">
        <v>612</v>
      </c>
      <c r="E131" s="2" t="s">
        <v>4</v>
      </c>
      <c r="F131" s="2" t="s">
        <v>17</v>
      </c>
      <c r="G131" s="2" t="s">
        <v>18</v>
      </c>
      <c r="H131" s="2" t="s">
        <v>59</v>
      </c>
      <c r="I131" s="2" t="s">
        <v>3395</v>
      </c>
      <c r="J131" s="3">
        <v>30.17</v>
      </c>
      <c r="K131" s="3">
        <v>30.17</v>
      </c>
      <c r="L131" s="2" t="s">
        <v>3391</v>
      </c>
      <c r="M131" s="2" t="s">
        <v>9</v>
      </c>
      <c r="N131" s="3">
        <v>469</v>
      </c>
      <c r="O131" s="2" t="s">
        <v>3392</v>
      </c>
      <c r="P131" s="2" t="s">
        <v>186</v>
      </c>
      <c r="Q131" s="3"/>
      <c r="R131" s="3"/>
      <c r="S131" s="2" t="s">
        <v>21</v>
      </c>
      <c r="T131" s="4">
        <v>44955</v>
      </c>
      <c r="U131" s="2" t="s">
        <v>613</v>
      </c>
      <c r="V131" s="6">
        <f>(Sales[[#This Row],[Price_retail]]-Sales[[#This Row],[Price_current]])/Sales[[#This Row],[Price_retail]]</f>
        <v>0</v>
      </c>
      <c r="W131" s="3" t="str" cm="1">
        <f t="array" ref="W1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32" spans="1:23" x14ac:dyDescent="0.35">
      <c r="A132" s="2" t="s">
        <v>614</v>
      </c>
      <c r="B132" s="2" t="s">
        <v>615</v>
      </c>
      <c r="C132" s="2" t="s">
        <v>616</v>
      </c>
      <c r="D132" s="2" t="s">
        <v>617</v>
      </c>
      <c r="E132" s="2" t="s">
        <v>4</v>
      </c>
      <c r="F132" s="2" t="s">
        <v>5</v>
      </c>
      <c r="G132" s="2" t="s">
        <v>82</v>
      </c>
      <c r="H132" s="2" t="s">
        <v>83</v>
      </c>
      <c r="I132" s="2" t="s">
        <v>3390</v>
      </c>
      <c r="J132" s="3">
        <v>16.5</v>
      </c>
      <c r="K132" s="3">
        <v>16.5</v>
      </c>
      <c r="L132" s="2" t="s">
        <v>3391</v>
      </c>
      <c r="M132" s="2" t="s">
        <v>9</v>
      </c>
      <c r="N132" s="3">
        <v>658</v>
      </c>
      <c r="O132" s="2" t="s">
        <v>29</v>
      </c>
      <c r="P132" s="2" t="s">
        <v>37</v>
      </c>
      <c r="Q132" s="3"/>
      <c r="R132" s="3"/>
      <c r="S132" s="2" t="s">
        <v>21</v>
      </c>
      <c r="T132" s="4">
        <v>44955</v>
      </c>
      <c r="U132" s="2" t="s">
        <v>618</v>
      </c>
      <c r="V132" s="6">
        <f>(Sales[[#This Row],[Price_retail]]-Sales[[#This Row],[Price_current]])/Sales[[#This Row],[Price_retail]]</f>
        <v>0</v>
      </c>
      <c r="W132" s="3" t="str" cm="1">
        <f t="array" ref="W1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33" spans="1:23" x14ac:dyDescent="0.35">
      <c r="A133" s="2" t="s">
        <v>619</v>
      </c>
      <c r="B133" s="2" t="s">
        <v>620</v>
      </c>
      <c r="C133" s="2" t="s">
        <v>1743</v>
      </c>
      <c r="D133" s="2" t="s">
        <v>621</v>
      </c>
      <c r="E133" s="2" t="s">
        <v>4</v>
      </c>
      <c r="F133" s="2" t="s">
        <v>17</v>
      </c>
      <c r="G133" s="2" t="s">
        <v>18</v>
      </c>
      <c r="H133" s="2" t="s">
        <v>68</v>
      </c>
      <c r="I133" s="2" t="s">
        <v>3390</v>
      </c>
      <c r="J133" s="3">
        <v>8.99</v>
      </c>
      <c r="K133" s="3">
        <v>8.99</v>
      </c>
      <c r="L133" s="2" t="s">
        <v>3391</v>
      </c>
      <c r="M133" s="2" t="s">
        <v>9</v>
      </c>
      <c r="N133" s="3">
        <v>287</v>
      </c>
      <c r="O133" s="2" t="s">
        <v>3392</v>
      </c>
      <c r="P133" s="2" t="s">
        <v>221</v>
      </c>
      <c r="Q133" s="3"/>
      <c r="R133" s="3"/>
      <c r="S133" s="2" t="s">
        <v>21</v>
      </c>
      <c r="T133" s="4">
        <v>44955</v>
      </c>
      <c r="U133" s="2" t="s">
        <v>622</v>
      </c>
      <c r="V133" s="6">
        <f>(Sales[[#This Row],[Price_retail]]-Sales[[#This Row],[Price_current]])/Sales[[#This Row],[Price_retail]]</f>
        <v>0</v>
      </c>
      <c r="W133" s="3" t="str" cm="1">
        <f t="array" ref="W1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34" spans="1:23" x14ac:dyDescent="0.35">
      <c r="A134" s="2" t="s">
        <v>623</v>
      </c>
      <c r="B134" s="2" t="s">
        <v>624</v>
      </c>
      <c r="C134" s="2" t="s">
        <v>41</v>
      </c>
      <c r="D134" s="2" t="s">
        <v>625</v>
      </c>
      <c r="E134" s="2" t="s">
        <v>4</v>
      </c>
      <c r="F134" s="2" t="s">
        <v>17</v>
      </c>
      <c r="G134" s="2" t="s">
        <v>67</v>
      </c>
      <c r="H134" s="2" t="s">
        <v>333</v>
      </c>
      <c r="I134" s="2" t="s">
        <v>3395</v>
      </c>
      <c r="J134" s="3">
        <v>22.14</v>
      </c>
      <c r="K134" s="3">
        <v>21.03</v>
      </c>
      <c r="L134" s="2" t="s">
        <v>8</v>
      </c>
      <c r="M134" s="2" t="s">
        <v>9</v>
      </c>
      <c r="N134" s="3">
        <v>912</v>
      </c>
      <c r="O134" s="2" t="s">
        <v>69</v>
      </c>
      <c r="P134" s="2" t="s">
        <v>70</v>
      </c>
      <c r="Q134" s="3"/>
      <c r="R134" s="3"/>
      <c r="S134" s="2" t="s">
        <v>21</v>
      </c>
      <c r="T134" s="4">
        <v>44955</v>
      </c>
      <c r="U134" s="2" t="s">
        <v>626</v>
      </c>
      <c r="V134" s="6">
        <f>(Sales[[#This Row],[Price_retail]]-Sales[[#This Row],[Price_current]])/Sales[[#This Row],[Price_retail]]</f>
        <v>5.0135501355013525E-2</v>
      </c>
      <c r="W134" s="3" t="str" cm="1">
        <f t="array" ref="W134">_xlfn.IFS(Sales[[#This Row],[Discount]]=0%,"No Discount",Sales[[#This Row],[Discount]]&lt;=20%,"Light",Sales[[#This Row],[Discount]]&lt;=50%,"Moderate",Sales[[#This Row],[Discount]]&lt;=80%,"High",
TRUE,"Very High")</f>
        <v>Light</v>
      </c>
    </row>
    <row r="135" spans="1:23" x14ac:dyDescent="0.35">
      <c r="A135" s="2" t="s">
        <v>627</v>
      </c>
      <c r="B135" s="2" t="s">
        <v>628</v>
      </c>
      <c r="C135" s="2" t="s">
        <v>3433</v>
      </c>
      <c r="D135" s="2" t="s">
        <v>103</v>
      </c>
      <c r="E135" s="2" t="s">
        <v>4</v>
      </c>
      <c r="F135" s="2" t="s">
        <v>17</v>
      </c>
      <c r="G135" s="2" t="s">
        <v>67</v>
      </c>
      <c r="H135" s="2" t="s">
        <v>19</v>
      </c>
      <c r="I135" s="2" t="s">
        <v>3390</v>
      </c>
      <c r="J135" s="3">
        <v>60.32</v>
      </c>
      <c r="K135" s="3">
        <v>50.85</v>
      </c>
      <c r="L135" s="2" t="s">
        <v>8</v>
      </c>
      <c r="M135" s="2" t="s">
        <v>9</v>
      </c>
      <c r="N135" s="3">
        <v>263</v>
      </c>
      <c r="O135" s="2" t="s">
        <v>3392</v>
      </c>
      <c r="P135" s="2" t="s">
        <v>629</v>
      </c>
      <c r="Q135" s="3"/>
      <c r="R135" s="3"/>
      <c r="S135" s="2" t="s">
        <v>12</v>
      </c>
      <c r="T135" s="4">
        <v>44955</v>
      </c>
      <c r="U135" s="2" t="s">
        <v>630</v>
      </c>
      <c r="V135" s="6">
        <f>(Sales[[#This Row],[Price_retail]]-Sales[[#This Row],[Price_current]])/Sales[[#This Row],[Price_retail]]</f>
        <v>0.15699602122015913</v>
      </c>
      <c r="W135" s="3" t="str" cm="1">
        <f t="array" ref="W135">_xlfn.IFS(Sales[[#This Row],[Discount]]=0%,"No Discount",Sales[[#This Row],[Discount]]&lt;=20%,"Light",Sales[[#This Row],[Discount]]&lt;=50%,"Moderate",Sales[[#This Row],[Discount]]&lt;=80%,"High",
TRUE,"Very High")</f>
        <v>Light</v>
      </c>
    </row>
    <row r="136" spans="1:23" x14ac:dyDescent="0.35">
      <c r="A136" s="2" t="s">
        <v>631</v>
      </c>
      <c r="B136" s="2" t="s">
        <v>632</v>
      </c>
      <c r="C136" s="2" t="s">
        <v>242</v>
      </c>
      <c r="D136" s="2" t="s">
        <v>633</v>
      </c>
      <c r="E136" s="2" t="s">
        <v>4</v>
      </c>
      <c r="F136" s="2" t="s">
        <v>5</v>
      </c>
      <c r="G136" s="2" t="s">
        <v>6</v>
      </c>
      <c r="H136" s="2" t="s">
        <v>90</v>
      </c>
      <c r="I136" s="2" t="s">
        <v>3393</v>
      </c>
      <c r="J136" s="3">
        <v>16.61</v>
      </c>
      <c r="K136" s="3">
        <v>16.61</v>
      </c>
      <c r="L136" s="2" t="s">
        <v>3391</v>
      </c>
      <c r="M136" s="2" t="s">
        <v>9</v>
      </c>
      <c r="N136" s="3">
        <v>939</v>
      </c>
      <c r="O136" s="2" t="s">
        <v>52</v>
      </c>
      <c r="P136" s="2" t="s">
        <v>70</v>
      </c>
      <c r="Q136" s="3"/>
      <c r="R136" s="3"/>
      <c r="S136" s="2" t="s">
        <v>21</v>
      </c>
      <c r="T136" s="4">
        <v>44955</v>
      </c>
      <c r="U136" s="2" t="s">
        <v>634</v>
      </c>
      <c r="V136" s="6">
        <f>(Sales[[#This Row],[Price_retail]]-Sales[[#This Row],[Price_current]])/Sales[[#This Row],[Price_retail]]</f>
        <v>0</v>
      </c>
      <c r="W136" s="3" t="str" cm="1">
        <f t="array" ref="W13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37" spans="1:23" x14ac:dyDescent="0.35">
      <c r="A137" s="2" t="s">
        <v>635</v>
      </c>
      <c r="B137" s="2" t="s">
        <v>636</v>
      </c>
      <c r="C137" s="2" t="s">
        <v>41</v>
      </c>
      <c r="D137" s="2" t="s">
        <v>144</v>
      </c>
      <c r="E137" s="2" t="s">
        <v>4</v>
      </c>
      <c r="F137" s="2" t="s">
        <v>17</v>
      </c>
      <c r="G137" s="2" t="s">
        <v>50</v>
      </c>
      <c r="H137" s="2" t="s">
        <v>145</v>
      </c>
      <c r="I137" s="2" t="s">
        <v>3390</v>
      </c>
      <c r="J137" s="3">
        <v>8.99</v>
      </c>
      <c r="K137" s="3">
        <v>6.55</v>
      </c>
      <c r="L137" s="2" t="s">
        <v>8</v>
      </c>
      <c r="M137" s="2" t="s">
        <v>9</v>
      </c>
      <c r="N137" s="3">
        <v>323</v>
      </c>
      <c r="O137" s="2" t="s">
        <v>91</v>
      </c>
      <c r="P137" s="2" t="s">
        <v>11</v>
      </c>
      <c r="Q137" s="3"/>
      <c r="R137" s="3"/>
      <c r="S137" s="2" t="s">
        <v>21</v>
      </c>
      <c r="T137" s="4">
        <v>44955</v>
      </c>
      <c r="U137" s="2" t="s">
        <v>637</v>
      </c>
      <c r="V137" s="6">
        <f>(Sales[[#This Row],[Price_retail]]-Sales[[#This Row],[Price_current]])/Sales[[#This Row],[Price_retail]]</f>
        <v>0.27141268075639602</v>
      </c>
      <c r="W137" s="3" t="str" cm="1">
        <f t="array" ref="W13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38" spans="1:23" x14ac:dyDescent="0.35">
      <c r="A138" s="2" t="s">
        <v>638</v>
      </c>
      <c r="B138" s="2" t="s">
        <v>639</v>
      </c>
      <c r="C138" s="2" t="s">
        <v>1594</v>
      </c>
      <c r="D138" s="2" t="s">
        <v>640</v>
      </c>
      <c r="E138" s="2" t="s">
        <v>4</v>
      </c>
      <c r="F138" s="2" t="s">
        <v>17</v>
      </c>
      <c r="G138" s="2" t="s">
        <v>18</v>
      </c>
      <c r="H138" s="2" t="s">
        <v>139</v>
      </c>
      <c r="I138" s="2" t="s">
        <v>3390</v>
      </c>
      <c r="J138" s="3">
        <v>31.33</v>
      </c>
      <c r="K138" s="3">
        <v>31.33</v>
      </c>
      <c r="L138" s="2" t="s">
        <v>3391</v>
      </c>
      <c r="M138" s="2" t="s">
        <v>9</v>
      </c>
      <c r="N138" s="3">
        <v>257</v>
      </c>
      <c r="O138" s="2" t="s">
        <v>104</v>
      </c>
      <c r="P138" s="2" t="s">
        <v>192</v>
      </c>
      <c r="Q138" s="3"/>
      <c r="R138" s="3"/>
      <c r="S138" s="2" t="s">
        <v>21</v>
      </c>
      <c r="T138" s="4">
        <v>44955</v>
      </c>
      <c r="U138" s="2" t="s">
        <v>641</v>
      </c>
      <c r="V138" s="6">
        <f>(Sales[[#This Row],[Price_retail]]-Sales[[#This Row],[Price_current]])/Sales[[#This Row],[Price_retail]]</f>
        <v>0</v>
      </c>
      <c r="W138" s="3" t="str" cm="1">
        <f t="array" ref="W1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39" spans="1:23" x14ac:dyDescent="0.35">
      <c r="A139" s="2" t="s">
        <v>642</v>
      </c>
      <c r="B139" s="2" t="s">
        <v>643</v>
      </c>
      <c r="C139" s="2" t="s">
        <v>200</v>
      </c>
      <c r="D139" s="2" t="s">
        <v>586</v>
      </c>
      <c r="E139" s="2" t="s">
        <v>4</v>
      </c>
      <c r="F139" s="2" t="s">
        <v>5</v>
      </c>
      <c r="G139" s="2" t="s">
        <v>82</v>
      </c>
      <c r="H139" s="2" t="s">
        <v>83</v>
      </c>
      <c r="I139" s="2" t="s">
        <v>3390</v>
      </c>
      <c r="J139" s="3">
        <v>15.62</v>
      </c>
      <c r="K139" s="3">
        <v>15.62</v>
      </c>
      <c r="L139" s="2" t="s">
        <v>3391</v>
      </c>
      <c r="M139" s="2" t="s">
        <v>9</v>
      </c>
      <c r="N139" s="3">
        <v>351</v>
      </c>
      <c r="O139" s="2" t="s">
        <v>98</v>
      </c>
      <c r="P139" s="2" t="s">
        <v>221</v>
      </c>
      <c r="Q139" s="3"/>
      <c r="R139" s="3"/>
      <c r="S139" s="2" t="s">
        <v>21</v>
      </c>
      <c r="T139" s="4">
        <v>44955</v>
      </c>
      <c r="U139" s="2" t="s">
        <v>644</v>
      </c>
      <c r="V139" s="6">
        <f>(Sales[[#This Row],[Price_retail]]-Sales[[#This Row],[Price_current]])/Sales[[#This Row],[Price_retail]]</f>
        <v>0</v>
      </c>
      <c r="W139" s="3" t="str" cm="1">
        <f t="array" ref="W13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40" spans="1:23" x14ac:dyDescent="0.35">
      <c r="A140" s="2" t="s">
        <v>645</v>
      </c>
      <c r="B140" s="2" t="s">
        <v>646</v>
      </c>
      <c r="C140" s="2" t="s">
        <v>3394</v>
      </c>
      <c r="D140" s="2" t="s">
        <v>138</v>
      </c>
      <c r="E140" s="2" t="s">
        <v>4</v>
      </c>
      <c r="F140" s="2" t="s">
        <v>5</v>
      </c>
      <c r="G140" s="2" t="s">
        <v>82</v>
      </c>
      <c r="H140" s="2" t="s">
        <v>139</v>
      </c>
      <c r="I140" s="2" t="s">
        <v>3395</v>
      </c>
      <c r="J140" s="3">
        <v>14.91</v>
      </c>
      <c r="K140" s="3">
        <v>11.03</v>
      </c>
      <c r="L140" s="2" t="s">
        <v>8</v>
      </c>
      <c r="M140" s="2" t="s">
        <v>9</v>
      </c>
      <c r="N140" s="3">
        <v>430</v>
      </c>
      <c r="O140" s="2" t="s">
        <v>3392</v>
      </c>
      <c r="P140" s="2" t="s">
        <v>215</v>
      </c>
      <c r="Q140" s="3"/>
      <c r="R140" s="3"/>
      <c r="S140" s="2" t="s">
        <v>21</v>
      </c>
      <c r="T140" s="4">
        <v>44955</v>
      </c>
      <c r="U140" s="2" t="s">
        <v>647</v>
      </c>
      <c r="V140" s="6">
        <f>(Sales[[#This Row],[Price_retail]]-Sales[[#This Row],[Price_current]])/Sales[[#This Row],[Price_retail]]</f>
        <v>0.26022803487592228</v>
      </c>
      <c r="W140" s="3" t="str" cm="1">
        <f t="array" ref="W14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41" spans="1:23" x14ac:dyDescent="0.35">
      <c r="A141" s="2" t="s">
        <v>648</v>
      </c>
      <c r="B141" s="2" t="s">
        <v>649</v>
      </c>
      <c r="C141" s="2" t="s">
        <v>242</v>
      </c>
      <c r="D141" s="2" t="s">
        <v>196</v>
      </c>
      <c r="E141" s="2" t="s">
        <v>4</v>
      </c>
      <c r="F141" s="2" t="s">
        <v>17</v>
      </c>
      <c r="G141" s="2" t="s">
        <v>67</v>
      </c>
      <c r="H141" s="2" t="s">
        <v>7</v>
      </c>
      <c r="I141" s="2" t="s">
        <v>3390</v>
      </c>
      <c r="J141" s="3">
        <v>26.31</v>
      </c>
      <c r="K141" s="3">
        <v>26.31</v>
      </c>
      <c r="L141" s="2" t="s">
        <v>3391</v>
      </c>
      <c r="M141" s="2" t="s">
        <v>9</v>
      </c>
      <c r="N141" s="3">
        <v>633</v>
      </c>
      <c r="O141" s="2" t="s">
        <v>267</v>
      </c>
      <c r="P141" s="2" t="s">
        <v>419</v>
      </c>
      <c r="Q141" s="3"/>
      <c r="R141" s="3"/>
      <c r="S141" s="2" t="s">
        <v>12</v>
      </c>
      <c r="T141" s="4">
        <v>44955</v>
      </c>
      <c r="U141" s="2" t="s">
        <v>650</v>
      </c>
      <c r="V141" s="6">
        <f>(Sales[[#This Row],[Price_retail]]-Sales[[#This Row],[Price_current]])/Sales[[#This Row],[Price_retail]]</f>
        <v>0</v>
      </c>
      <c r="W141" s="3" t="str" cm="1">
        <f t="array" ref="W1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42" spans="1:23" x14ac:dyDescent="0.35">
      <c r="A142" s="2" t="s">
        <v>651</v>
      </c>
      <c r="B142" s="2" t="s">
        <v>652</v>
      </c>
      <c r="C142" s="2" t="s">
        <v>3394</v>
      </c>
      <c r="D142" s="2" t="s">
        <v>653</v>
      </c>
      <c r="E142" s="2" t="s">
        <v>4</v>
      </c>
      <c r="F142" s="2" t="s">
        <v>17</v>
      </c>
      <c r="G142" s="2" t="s">
        <v>27</v>
      </c>
      <c r="H142" s="2" t="s">
        <v>110</v>
      </c>
      <c r="I142" s="2" t="s">
        <v>3393</v>
      </c>
      <c r="J142" s="3">
        <v>33.380000000000003</v>
      </c>
      <c r="K142" s="3">
        <v>18.940000000000001</v>
      </c>
      <c r="L142" s="2" t="s">
        <v>8</v>
      </c>
      <c r="M142" s="2" t="s">
        <v>9</v>
      </c>
      <c r="N142" s="3">
        <v>307</v>
      </c>
      <c r="O142" s="2" t="s">
        <v>20</v>
      </c>
      <c r="P142" s="2" t="s">
        <v>3392</v>
      </c>
      <c r="Q142" s="3"/>
      <c r="R142" s="3"/>
      <c r="S142" s="2" t="s">
        <v>12</v>
      </c>
      <c r="T142" s="4">
        <v>44955</v>
      </c>
      <c r="U142" s="2" t="s">
        <v>654</v>
      </c>
      <c r="V142" s="6">
        <f>(Sales[[#This Row],[Price_retail]]-Sales[[#This Row],[Price_current]])/Sales[[#This Row],[Price_retail]]</f>
        <v>0.43259436788496108</v>
      </c>
      <c r="W142" s="3" t="str" cm="1">
        <f t="array" ref="W14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43" spans="1:23" x14ac:dyDescent="0.35">
      <c r="A143" s="2" t="s">
        <v>655</v>
      </c>
      <c r="B143" s="2" t="s">
        <v>656</v>
      </c>
      <c r="C143" s="2" t="s">
        <v>561</v>
      </c>
      <c r="D143" s="2" t="s">
        <v>372</v>
      </c>
      <c r="E143" s="2" t="s">
        <v>4</v>
      </c>
      <c r="F143" s="2" t="s">
        <v>5</v>
      </c>
      <c r="G143" s="2" t="s">
        <v>82</v>
      </c>
      <c r="H143" s="2" t="s">
        <v>134</v>
      </c>
      <c r="I143" s="2" t="s">
        <v>3393</v>
      </c>
      <c r="J143" s="3">
        <v>22.78</v>
      </c>
      <c r="K143" s="3">
        <v>22.78</v>
      </c>
      <c r="L143" s="2" t="s">
        <v>3391</v>
      </c>
      <c r="M143" s="2" t="s">
        <v>9</v>
      </c>
      <c r="N143" s="3">
        <v>711</v>
      </c>
      <c r="O143" s="2" t="s">
        <v>91</v>
      </c>
      <c r="P143" s="2" t="s">
        <v>238</v>
      </c>
      <c r="Q143" s="3"/>
      <c r="R143" s="3"/>
      <c r="S143" s="2" t="s">
        <v>21</v>
      </c>
      <c r="T143" s="4">
        <v>44955</v>
      </c>
      <c r="U143" s="2" t="s">
        <v>657</v>
      </c>
      <c r="V143" s="6">
        <f>(Sales[[#This Row],[Price_retail]]-Sales[[#This Row],[Price_current]])/Sales[[#This Row],[Price_retail]]</f>
        <v>0</v>
      </c>
      <c r="W143" s="3" t="str" cm="1">
        <f t="array" ref="W1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44" spans="1:23" x14ac:dyDescent="0.35">
      <c r="A144" s="2" t="s">
        <v>658</v>
      </c>
      <c r="B144" s="2" t="s">
        <v>659</v>
      </c>
      <c r="C144" s="2" t="s">
        <v>3406</v>
      </c>
      <c r="D144" s="2" t="s">
        <v>660</v>
      </c>
      <c r="E144" s="2" t="s">
        <v>4</v>
      </c>
      <c r="F144" s="2" t="s">
        <v>5</v>
      </c>
      <c r="G144" s="2" t="s">
        <v>6</v>
      </c>
      <c r="H144" s="2" t="s">
        <v>237</v>
      </c>
      <c r="I144" s="2" t="s">
        <v>3393</v>
      </c>
      <c r="J144" s="3">
        <v>14.54</v>
      </c>
      <c r="K144" s="3">
        <v>9.51</v>
      </c>
      <c r="L144" s="2" t="s">
        <v>8</v>
      </c>
      <c r="M144" s="2" t="s">
        <v>9</v>
      </c>
      <c r="N144" s="3">
        <v>482</v>
      </c>
      <c r="O144" s="2" t="s">
        <v>60</v>
      </c>
      <c r="P144" s="2" t="s">
        <v>3392</v>
      </c>
      <c r="Q144" s="3"/>
      <c r="R144" s="3"/>
      <c r="S144" s="2" t="s">
        <v>12</v>
      </c>
      <c r="T144" s="4">
        <v>44955</v>
      </c>
      <c r="U144" s="2" t="s">
        <v>661</v>
      </c>
      <c r="V144" s="6">
        <f>(Sales[[#This Row],[Price_retail]]-Sales[[#This Row],[Price_current]])/Sales[[#This Row],[Price_retail]]</f>
        <v>0.34594222833562582</v>
      </c>
      <c r="W144" s="3" t="str" cm="1">
        <f t="array" ref="W14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45" spans="1:23" x14ac:dyDescent="0.35">
      <c r="A145" s="2" t="s">
        <v>662</v>
      </c>
      <c r="B145" s="2" t="s">
        <v>663</v>
      </c>
      <c r="C145" s="2" t="s">
        <v>3407</v>
      </c>
      <c r="D145" s="2" t="s">
        <v>608</v>
      </c>
      <c r="E145" s="2" t="s">
        <v>4</v>
      </c>
      <c r="F145" s="2" t="s">
        <v>17</v>
      </c>
      <c r="G145" s="2" t="s">
        <v>18</v>
      </c>
      <c r="H145" s="2" t="s">
        <v>51</v>
      </c>
      <c r="I145" s="2" t="s">
        <v>3393</v>
      </c>
      <c r="J145" s="3">
        <v>29.05</v>
      </c>
      <c r="K145" s="3">
        <v>29.05</v>
      </c>
      <c r="L145" s="2" t="s">
        <v>3391</v>
      </c>
      <c r="M145" s="2" t="s">
        <v>9</v>
      </c>
      <c r="N145" s="3">
        <v>431</v>
      </c>
      <c r="O145" s="2" t="s">
        <v>664</v>
      </c>
      <c r="P145" s="2" t="s">
        <v>61</v>
      </c>
      <c r="Q145" s="3"/>
      <c r="R145" s="3"/>
      <c r="S145" s="2" t="s">
        <v>12</v>
      </c>
      <c r="T145" s="4">
        <v>44955</v>
      </c>
      <c r="U145" s="2" t="s">
        <v>665</v>
      </c>
      <c r="V145" s="6">
        <f>(Sales[[#This Row],[Price_retail]]-Sales[[#This Row],[Price_current]])/Sales[[#This Row],[Price_retail]]</f>
        <v>0</v>
      </c>
      <c r="W145" s="3" t="str" cm="1">
        <f t="array" ref="W1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46" spans="1:23" x14ac:dyDescent="0.35">
      <c r="A146" s="2" t="s">
        <v>666</v>
      </c>
      <c r="B146" s="2" t="s">
        <v>667</v>
      </c>
      <c r="C146" s="2" t="s">
        <v>318</v>
      </c>
      <c r="D146" s="2" t="s">
        <v>660</v>
      </c>
      <c r="E146" s="2" t="s">
        <v>4</v>
      </c>
      <c r="F146" s="2" t="s">
        <v>5</v>
      </c>
      <c r="G146" s="2" t="s">
        <v>6</v>
      </c>
      <c r="H146" s="2" t="s">
        <v>237</v>
      </c>
      <c r="I146" s="2" t="s">
        <v>3390</v>
      </c>
      <c r="J146" s="3">
        <v>8.99</v>
      </c>
      <c r="K146" s="3">
        <v>4.59</v>
      </c>
      <c r="L146" s="2" t="s">
        <v>8</v>
      </c>
      <c r="M146" s="2" t="s">
        <v>9</v>
      </c>
      <c r="N146" s="3">
        <v>267</v>
      </c>
      <c r="O146" s="2" t="s">
        <v>140</v>
      </c>
      <c r="P146" s="2" t="s">
        <v>328</v>
      </c>
      <c r="Q146" s="3"/>
      <c r="R146" s="3"/>
      <c r="S146" s="2" t="s">
        <v>21</v>
      </c>
      <c r="T146" s="4">
        <v>44955</v>
      </c>
      <c r="U146" s="2" t="s">
        <v>668</v>
      </c>
      <c r="V146" s="6">
        <f>(Sales[[#This Row],[Price_retail]]-Sales[[#This Row],[Price_current]])/Sales[[#This Row],[Price_retail]]</f>
        <v>0.48943270300333708</v>
      </c>
      <c r="W146" s="3" t="str" cm="1">
        <f t="array" ref="W14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47" spans="1:23" x14ac:dyDescent="0.35">
      <c r="A147" s="2" t="s">
        <v>669</v>
      </c>
      <c r="B147" s="2" t="s">
        <v>670</v>
      </c>
      <c r="C147" s="2" t="s">
        <v>3406</v>
      </c>
      <c r="D147" s="2" t="s">
        <v>127</v>
      </c>
      <c r="E147" s="2" t="s">
        <v>4</v>
      </c>
      <c r="F147" s="2" t="s">
        <v>5</v>
      </c>
      <c r="G147" s="2" t="s">
        <v>82</v>
      </c>
      <c r="H147" s="2" t="s">
        <v>110</v>
      </c>
      <c r="I147" s="2" t="s">
        <v>3393</v>
      </c>
      <c r="J147" s="3">
        <v>10.55</v>
      </c>
      <c r="K147" s="3">
        <v>6.82</v>
      </c>
      <c r="L147" s="2" t="s">
        <v>8</v>
      </c>
      <c r="M147" s="2" t="s">
        <v>9</v>
      </c>
      <c r="N147" s="3">
        <v>942</v>
      </c>
      <c r="O147" s="2" t="s">
        <v>29</v>
      </c>
      <c r="P147" s="2" t="s">
        <v>221</v>
      </c>
      <c r="Q147" s="3"/>
      <c r="R147" s="3"/>
      <c r="S147" s="2" t="s">
        <v>12</v>
      </c>
      <c r="T147" s="4">
        <v>44955</v>
      </c>
      <c r="U147" s="2" t="s">
        <v>671</v>
      </c>
      <c r="V147" s="6">
        <f>(Sales[[#This Row],[Price_retail]]-Sales[[#This Row],[Price_current]])/Sales[[#This Row],[Price_retail]]</f>
        <v>0.35355450236966829</v>
      </c>
      <c r="W147" s="3" t="str" cm="1">
        <f t="array" ref="W14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48" spans="1:23" x14ac:dyDescent="0.35">
      <c r="A148" s="2" t="s">
        <v>672</v>
      </c>
      <c r="B148" s="2" t="s">
        <v>673</v>
      </c>
      <c r="C148" s="2" t="s">
        <v>2915</v>
      </c>
      <c r="D148" s="2" t="s">
        <v>674</v>
      </c>
      <c r="E148" s="2" t="s">
        <v>4</v>
      </c>
      <c r="F148" s="2" t="s">
        <v>5</v>
      </c>
      <c r="G148" s="2" t="s">
        <v>82</v>
      </c>
      <c r="H148" s="2" t="s">
        <v>333</v>
      </c>
      <c r="I148" s="2" t="s">
        <v>3390</v>
      </c>
      <c r="J148" s="3">
        <v>11.22</v>
      </c>
      <c r="K148" s="3">
        <v>11.22</v>
      </c>
      <c r="L148" s="2" t="s">
        <v>3391</v>
      </c>
      <c r="M148" s="2" t="s">
        <v>9</v>
      </c>
      <c r="N148" s="3">
        <v>31</v>
      </c>
      <c r="O148" s="2" t="s">
        <v>104</v>
      </c>
      <c r="P148" s="2" t="s">
        <v>37</v>
      </c>
      <c r="Q148" s="3"/>
      <c r="R148" s="3"/>
      <c r="S148" s="2" t="s">
        <v>21</v>
      </c>
      <c r="T148" s="4">
        <v>44955</v>
      </c>
      <c r="U148" s="2" t="s">
        <v>675</v>
      </c>
      <c r="V148" s="6">
        <f>(Sales[[#This Row],[Price_retail]]-Sales[[#This Row],[Price_current]])/Sales[[#This Row],[Price_retail]]</f>
        <v>0</v>
      </c>
      <c r="W148" s="3" t="str" cm="1">
        <f t="array" ref="W14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49" spans="1:23" x14ac:dyDescent="0.35">
      <c r="A149" s="2" t="s">
        <v>676</v>
      </c>
      <c r="B149" s="2" t="s">
        <v>677</v>
      </c>
      <c r="C149" s="2" t="s">
        <v>1797</v>
      </c>
      <c r="D149" s="2" t="s">
        <v>678</v>
      </c>
      <c r="E149" s="2" t="s">
        <v>4</v>
      </c>
      <c r="F149" s="2" t="s">
        <v>17</v>
      </c>
      <c r="G149" s="2" t="s">
        <v>27</v>
      </c>
      <c r="H149" s="2" t="s">
        <v>134</v>
      </c>
      <c r="I149" s="2" t="s">
        <v>3393</v>
      </c>
      <c r="J149" s="3">
        <v>15.38</v>
      </c>
      <c r="K149" s="3">
        <v>15.38</v>
      </c>
      <c r="L149" s="2" t="s">
        <v>3391</v>
      </c>
      <c r="M149" s="2" t="s">
        <v>9</v>
      </c>
      <c r="N149" s="3">
        <v>750</v>
      </c>
      <c r="O149" s="2" t="s">
        <v>163</v>
      </c>
      <c r="P149" s="2" t="s">
        <v>186</v>
      </c>
      <c r="Q149" s="3"/>
      <c r="R149" s="3"/>
      <c r="S149" s="2" t="s">
        <v>21</v>
      </c>
      <c r="T149" s="4">
        <v>44955</v>
      </c>
      <c r="U149" s="2" t="s">
        <v>679</v>
      </c>
      <c r="V149" s="6">
        <f>(Sales[[#This Row],[Price_retail]]-Sales[[#This Row],[Price_current]])/Sales[[#This Row],[Price_retail]]</f>
        <v>0</v>
      </c>
      <c r="W149" s="3" t="str" cm="1">
        <f t="array" ref="W14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0" spans="1:23" x14ac:dyDescent="0.35">
      <c r="A150" s="2" t="s">
        <v>680</v>
      </c>
      <c r="B150" s="2" t="s">
        <v>681</v>
      </c>
      <c r="C150" s="2" t="s">
        <v>682</v>
      </c>
      <c r="D150" s="2" t="s">
        <v>625</v>
      </c>
      <c r="E150" s="2" t="s">
        <v>4</v>
      </c>
      <c r="F150" s="2" t="s">
        <v>17</v>
      </c>
      <c r="G150" s="2" t="s">
        <v>50</v>
      </c>
      <c r="H150" s="2" t="s">
        <v>333</v>
      </c>
      <c r="I150" s="2" t="s">
        <v>3390</v>
      </c>
      <c r="J150" s="3">
        <v>20.67</v>
      </c>
      <c r="K150" s="3">
        <v>20.67</v>
      </c>
      <c r="L150" s="2" t="s">
        <v>3391</v>
      </c>
      <c r="M150" s="2" t="s">
        <v>9</v>
      </c>
      <c r="N150" s="3">
        <v>949</v>
      </c>
      <c r="O150" s="2" t="s">
        <v>302</v>
      </c>
      <c r="P150" s="2" t="s">
        <v>37</v>
      </c>
      <c r="Q150" s="3"/>
      <c r="R150" s="3"/>
      <c r="S150" s="2" t="s">
        <v>21</v>
      </c>
      <c r="T150" s="4">
        <v>44955</v>
      </c>
      <c r="U150" s="2" t="s">
        <v>683</v>
      </c>
      <c r="V150" s="6">
        <f>(Sales[[#This Row],[Price_retail]]-Sales[[#This Row],[Price_current]])/Sales[[#This Row],[Price_retail]]</f>
        <v>0</v>
      </c>
      <c r="W150" s="3" t="str" cm="1">
        <f t="array" ref="W15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1" spans="1:23" x14ac:dyDescent="0.35">
      <c r="A151" s="2" t="s">
        <v>684</v>
      </c>
      <c r="B151" s="2" t="s">
        <v>685</v>
      </c>
      <c r="C151" s="2" t="s">
        <v>65</v>
      </c>
      <c r="D151" s="2" t="s">
        <v>686</v>
      </c>
      <c r="E151" s="2" t="s">
        <v>4</v>
      </c>
      <c r="F151" s="2" t="s">
        <v>5</v>
      </c>
      <c r="G151" s="2" t="s">
        <v>121</v>
      </c>
      <c r="H151" s="2" t="s">
        <v>7</v>
      </c>
      <c r="I151" s="2" t="s">
        <v>3390</v>
      </c>
      <c r="J151" s="3">
        <v>14.01</v>
      </c>
      <c r="K151" s="3">
        <v>14.01</v>
      </c>
      <c r="L151" s="2" t="s">
        <v>3391</v>
      </c>
      <c r="M151" s="2" t="s">
        <v>9</v>
      </c>
      <c r="N151" s="3">
        <v>967</v>
      </c>
      <c r="O151" s="2" t="s">
        <v>69</v>
      </c>
      <c r="P151" s="2" t="s">
        <v>186</v>
      </c>
      <c r="Q151" s="3"/>
      <c r="R151" s="3"/>
      <c r="S151" s="2" t="s">
        <v>21</v>
      </c>
      <c r="T151" s="4">
        <v>44955</v>
      </c>
      <c r="U151" s="2" t="s">
        <v>687</v>
      </c>
      <c r="V151" s="6">
        <f>(Sales[[#This Row],[Price_retail]]-Sales[[#This Row],[Price_current]])/Sales[[#This Row],[Price_retail]]</f>
        <v>0</v>
      </c>
      <c r="W151" s="3" t="str" cm="1">
        <f t="array" ref="W15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2" spans="1:23" x14ac:dyDescent="0.35">
      <c r="A152" s="2" t="s">
        <v>688</v>
      </c>
      <c r="B152" s="2" t="s">
        <v>689</v>
      </c>
      <c r="C152" s="2" t="s">
        <v>690</v>
      </c>
      <c r="D152" s="2" t="s">
        <v>432</v>
      </c>
      <c r="E152" s="2" t="s">
        <v>4</v>
      </c>
      <c r="F152" s="2" t="s">
        <v>5</v>
      </c>
      <c r="G152" s="2" t="s">
        <v>6</v>
      </c>
      <c r="H152" s="2" t="s">
        <v>35</v>
      </c>
      <c r="I152" s="2" t="s">
        <v>3395</v>
      </c>
      <c r="J152" s="3">
        <v>9.5</v>
      </c>
      <c r="K152" s="3">
        <v>9.5</v>
      </c>
      <c r="L152" s="2" t="s">
        <v>3391</v>
      </c>
      <c r="M152" s="2" t="s">
        <v>9</v>
      </c>
      <c r="N152" s="3">
        <v>27</v>
      </c>
      <c r="O152" s="2" t="s">
        <v>36</v>
      </c>
      <c r="P152" s="2" t="s">
        <v>163</v>
      </c>
      <c r="Q152" s="3"/>
      <c r="R152" s="3"/>
      <c r="S152" s="2" t="s">
        <v>12</v>
      </c>
      <c r="T152" s="4">
        <v>44955</v>
      </c>
      <c r="U152" s="2" t="s">
        <v>691</v>
      </c>
      <c r="V152" s="6">
        <f>(Sales[[#This Row],[Price_retail]]-Sales[[#This Row],[Price_current]])/Sales[[#This Row],[Price_retail]]</f>
        <v>0</v>
      </c>
      <c r="W152" s="3" t="str" cm="1">
        <f t="array" ref="W1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3" spans="1:23" x14ac:dyDescent="0.35">
      <c r="A153" s="2" t="s">
        <v>692</v>
      </c>
      <c r="B153" s="2" t="s">
        <v>693</v>
      </c>
      <c r="C153" s="2" t="s">
        <v>412</v>
      </c>
      <c r="D153" s="2" t="s">
        <v>694</v>
      </c>
      <c r="E153" s="2" t="s">
        <v>4</v>
      </c>
      <c r="F153" s="2" t="s">
        <v>5</v>
      </c>
      <c r="G153" s="2" t="s">
        <v>121</v>
      </c>
      <c r="H153" s="2" t="s">
        <v>139</v>
      </c>
      <c r="I153" s="2" t="s">
        <v>3395</v>
      </c>
      <c r="J153" s="3">
        <v>26.74</v>
      </c>
      <c r="K153" s="3">
        <v>26.14</v>
      </c>
      <c r="L153" s="2" t="s">
        <v>8</v>
      </c>
      <c r="M153" s="2" t="s">
        <v>9</v>
      </c>
      <c r="N153" s="3">
        <v>441</v>
      </c>
      <c r="O153" s="2" t="s">
        <v>52</v>
      </c>
      <c r="P153" s="2" t="s">
        <v>328</v>
      </c>
      <c r="Q153" s="3"/>
      <c r="R153" s="3"/>
      <c r="S153" s="2" t="s">
        <v>21</v>
      </c>
      <c r="T153" s="4">
        <v>44955</v>
      </c>
      <c r="U153" s="2" t="s">
        <v>695</v>
      </c>
      <c r="V153" s="6">
        <f>(Sales[[#This Row],[Price_retail]]-Sales[[#This Row],[Price_current]])/Sales[[#This Row],[Price_retail]]</f>
        <v>2.2438294689603511E-2</v>
      </c>
      <c r="W153" s="3" t="str" cm="1">
        <f t="array" ref="W153">_xlfn.IFS(Sales[[#This Row],[Discount]]=0%,"No Discount",Sales[[#This Row],[Discount]]&lt;=20%,"Light",Sales[[#This Row],[Discount]]&lt;=50%,"Moderate",Sales[[#This Row],[Discount]]&lt;=80%,"High",
TRUE,"Very High")</f>
        <v>Light</v>
      </c>
    </row>
    <row r="154" spans="1:23" x14ac:dyDescent="0.35">
      <c r="A154" s="2" t="s">
        <v>696</v>
      </c>
      <c r="B154" s="2" t="s">
        <v>697</v>
      </c>
      <c r="C154" s="2" t="s">
        <v>698</v>
      </c>
      <c r="D154" s="2" t="s">
        <v>699</v>
      </c>
      <c r="E154" s="2" t="s">
        <v>4</v>
      </c>
      <c r="F154" s="2" t="s">
        <v>5</v>
      </c>
      <c r="G154" s="2" t="s">
        <v>6</v>
      </c>
      <c r="H154" s="2" t="s">
        <v>68</v>
      </c>
      <c r="I154" s="2" t="s">
        <v>3389</v>
      </c>
      <c r="J154" s="3">
        <v>13.74</v>
      </c>
      <c r="K154" s="3">
        <v>13.74</v>
      </c>
      <c r="L154" s="2" t="s">
        <v>3391</v>
      </c>
      <c r="M154" s="2" t="s">
        <v>9</v>
      </c>
      <c r="N154" s="3">
        <v>172</v>
      </c>
      <c r="O154" s="2" t="s">
        <v>36</v>
      </c>
      <c r="P154" s="2" t="s">
        <v>53</v>
      </c>
      <c r="Q154" s="3"/>
      <c r="R154" s="3"/>
      <c r="S154" s="2" t="s">
        <v>12</v>
      </c>
      <c r="T154" s="4">
        <v>44955</v>
      </c>
      <c r="U154" s="2" t="s">
        <v>700</v>
      </c>
      <c r="V154" s="6">
        <f>(Sales[[#This Row],[Price_retail]]-Sales[[#This Row],[Price_current]])/Sales[[#This Row],[Price_retail]]</f>
        <v>0</v>
      </c>
      <c r="W154" s="3" t="str" cm="1">
        <f t="array" ref="W1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5" spans="1:23" x14ac:dyDescent="0.35">
      <c r="A155" s="2" t="s">
        <v>701</v>
      </c>
      <c r="B155" s="2" t="s">
        <v>702</v>
      </c>
      <c r="C155" s="2" t="s">
        <v>703</v>
      </c>
      <c r="D155" s="2" t="s">
        <v>704</v>
      </c>
      <c r="E155" s="2" t="s">
        <v>4</v>
      </c>
      <c r="F155" s="2" t="s">
        <v>17</v>
      </c>
      <c r="G155" s="2" t="s">
        <v>27</v>
      </c>
      <c r="H155" s="2" t="s">
        <v>51</v>
      </c>
      <c r="I155" s="2" t="s">
        <v>3393</v>
      </c>
      <c r="J155" s="3">
        <v>16.55</v>
      </c>
      <c r="K155" s="3">
        <v>16.55</v>
      </c>
      <c r="L155" s="2" t="s">
        <v>3391</v>
      </c>
      <c r="M155" s="2" t="s">
        <v>9</v>
      </c>
      <c r="N155" s="3">
        <v>75</v>
      </c>
      <c r="O155" s="2" t="s">
        <v>91</v>
      </c>
      <c r="P155" s="2" t="s">
        <v>30</v>
      </c>
      <c r="Q155" s="3"/>
      <c r="R155" s="3"/>
      <c r="S155" s="2" t="s">
        <v>21</v>
      </c>
      <c r="T155" s="4">
        <v>44955</v>
      </c>
      <c r="U155" s="2" t="s">
        <v>705</v>
      </c>
      <c r="V155" s="6">
        <f>(Sales[[#This Row],[Price_retail]]-Sales[[#This Row],[Price_current]])/Sales[[#This Row],[Price_retail]]</f>
        <v>0</v>
      </c>
      <c r="W155" s="3" t="str" cm="1">
        <f t="array" ref="W15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6" spans="1:23" x14ac:dyDescent="0.35">
      <c r="A156" s="2" t="s">
        <v>706</v>
      </c>
      <c r="B156" s="2" t="s">
        <v>707</v>
      </c>
      <c r="C156" s="2" t="s">
        <v>484</v>
      </c>
      <c r="D156" s="2" t="s">
        <v>660</v>
      </c>
      <c r="E156" s="2" t="s">
        <v>4</v>
      </c>
      <c r="F156" s="2" t="s">
        <v>5</v>
      </c>
      <c r="G156" s="2" t="s">
        <v>6</v>
      </c>
      <c r="H156" s="2" t="s">
        <v>237</v>
      </c>
      <c r="I156" s="2" t="s">
        <v>3389</v>
      </c>
      <c r="J156" s="3">
        <v>23.72</v>
      </c>
      <c r="K156" s="3">
        <v>23.72</v>
      </c>
      <c r="L156" s="2" t="s">
        <v>3391</v>
      </c>
      <c r="M156" s="2" t="s">
        <v>9</v>
      </c>
      <c r="N156" s="3">
        <v>328</v>
      </c>
      <c r="O156" s="2" t="s">
        <v>3392</v>
      </c>
      <c r="P156" s="2" t="s">
        <v>288</v>
      </c>
      <c r="Q156" s="3"/>
      <c r="R156" s="3"/>
      <c r="S156" s="2" t="s">
        <v>21</v>
      </c>
      <c r="T156" s="4">
        <v>44955</v>
      </c>
      <c r="U156" s="2" t="s">
        <v>708</v>
      </c>
      <c r="V156" s="6">
        <f>(Sales[[#This Row],[Price_retail]]-Sales[[#This Row],[Price_current]])/Sales[[#This Row],[Price_retail]]</f>
        <v>0</v>
      </c>
      <c r="W156" s="3" t="str" cm="1">
        <f t="array" ref="W15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7" spans="1:23" x14ac:dyDescent="0.35">
      <c r="A157" s="2" t="s">
        <v>709</v>
      </c>
      <c r="B157" s="2" t="s">
        <v>710</v>
      </c>
      <c r="C157" s="2" t="s">
        <v>65</v>
      </c>
      <c r="D157" s="2" t="s">
        <v>711</v>
      </c>
      <c r="E157" s="2" t="s">
        <v>4</v>
      </c>
      <c r="F157" s="2" t="s">
        <v>17</v>
      </c>
      <c r="G157" s="2" t="s">
        <v>67</v>
      </c>
      <c r="H157" s="2" t="s">
        <v>83</v>
      </c>
      <c r="I157" s="2" t="s">
        <v>3390</v>
      </c>
      <c r="J157" s="3">
        <v>15.98</v>
      </c>
      <c r="K157" s="3">
        <v>15.98</v>
      </c>
      <c r="L157" s="2" t="s">
        <v>3391</v>
      </c>
      <c r="M157" s="2" t="s">
        <v>9</v>
      </c>
      <c r="N157" s="3">
        <v>216</v>
      </c>
      <c r="O157" s="2" t="s">
        <v>36</v>
      </c>
      <c r="P157" s="2" t="s">
        <v>53</v>
      </c>
      <c r="Q157" s="3"/>
      <c r="R157" s="3"/>
      <c r="S157" s="2" t="s">
        <v>21</v>
      </c>
      <c r="T157" s="4">
        <v>44955</v>
      </c>
      <c r="U157" s="2" t="s">
        <v>712</v>
      </c>
      <c r="V157" s="6">
        <f>(Sales[[#This Row],[Price_retail]]-Sales[[#This Row],[Price_current]])/Sales[[#This Row],[Price_retail]]</f>
        <v>0</v>
      </c>
      <c r="W157" s="3" t="str" cm="1">
        <f t="array" ref="W15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58" spans="1:23" x14ac:dyDescent="0.35">
      <c r="A158" s="2" t="s">
        <v>713</v>
      </c>
      <c r="B158" s="2" t="s">
        <v>714</v>
      </c>
      <c r="C158" s="2" t="s">
        <v>3410</v>
      </c>
      <c r="D158" s="2" t="s">
        <v>413</v>
      </c>
      <c r="E158" s="2" t="s">
        <v>4</v>
      </c>
      <c r="F158" s="2" t="s">
        <v>17</v>
      </c>
      <c r="G158" s="2" t="s">
        <v>50</v>
      </c>
      <c r="H158" s="2" t="s">
        <v>19</v>
      </c>
      <c r="I158" s="2" t="s">
        <v>3395</v>
      </c>
      <c r="J158" s="3">
        <v>16.02</v>
      </c>
      <c r="K158" s="3">
        <v>11.87</v>
      </c>
      <c r="L158" s="2" t="s">
        <v>8</v>
      </c>
      <c r="M158" s="2" t="s">
        <v>9</v>
      </c>
      <c r="N158" s="3">
        <v>696</v>
      </c>
      <c r="O158" s="2" t="s">
        <v>98</v>
      </c>
      <c r="P158" s="2" t="s">
        <v>215</v>
      </c>
      <c r="Q158" s="3"/>
      <c r="R158" s="3"/>
      <c r="S158" s="2" t="s">
        <v>21</v>
      </c>
      <c r="T158" s="4">
        <v>44955</v>
      </c>
      <c r="U158" s="2" t="s">
        <v>715</v>
      </c>
      <c r="V158" s="6">
        <f>(Sales[[#This Row],[Price_retail]]-Sales[[#This Row],[Price_current]])/Sales[[#This Row],[Price_retail]]</f>
        <v>0.25905118601747817</v>
      </c>
      <c r="W158" s="3" t="str" cm="1">
        <f t="array" ref="W15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59" spans="1:23" x14ac:dyDescent="0.35">
      <c r="A159" s="2" t="s">
        <v>716</v>
      </c>
      <c r="B159" s="2" t="s">
        <v>717</v>
      </c>
      <c r="C159" s="2" t="s">
        <v>41</v>
      </c>
      <c r="D159" s="2" t="s">
        <v>428</v>
      </c>
      <c r="E159" s="2" t="s">
        <v>4</v>
      </c>
      <c r="F159" s="2" t="s">
        <v>5</v>
      </c>
      <c r="G159" s="2" t="s">
        <v>6</v>
      </c>
      <c r="H159" s="2" t="s">
        <v>333</v>
      </c>
      <c r="I159" s="2" t="s">
        <v>3395</v>
      </c>
      <c r="J159" s="3">
        <v>27.57</v>
      </c>
      <c r="K159" s="3">
        <v>13.57</v>
      </c>
      <c r="L159" s="2" t="s">
        <v>8</v>
      </c>
      <c r="M159" s="2" t="s">
        <v>9</v>
      </c>
      <c r="N159" s="3">
        <v>77</v>
      </c>
      <c r="O159" s="2" t="s">
        <v>52</v>
      </c>
      <c r="P159" s="2" t="s">
        <v>177</v>
      </c>
      <c r="Q159" s="3"/>
      <c r="R159" s="3"/>
      <c r="S159" s="2" t="s">
        <v>21</v>
      </c>
      <c r="T159" s="4">
        <v>44955</v>
      </c>
      <c r="U159" s="2" t="s">
        <v>718</v>
      </c>
      <c r="V159" s="6">
        <f>(Sales[[#This Row],[Price_retail]]-Sales[[#This Row],[Price_current]])/Sales[[#This Row],[Price_retail]]</f>
        <v>0.50779833151976783</v>
      </c>
      <c r="W159" s="3" t="str" cm="1">
        <f t="array" ref="W159">_xlfn.IFS(Sales[[#This Row],[Discount]]=0%,"No Discount",Sales[[#This Row],[Discount]]&lt;=20%,"Light",Sales[[#This Row],[Discount]]&lt;=50%,"Moderate",Sales[[#This Row],[Discount]]&lt;=80%,"High",
TRUE,"Very High")</f>
        <v>High</v>
      </c>
    </row>
    <row r="160" spans="1:23" x14ac:dyDescent="0.35">
      <c r="A160" s="2" t="s">
        <v>719</v>
      </c>
      <c r="B160" s="2" t="s">
        <v>720</v>
      </c>
      <c r="C160" s="2" t="s">
        <v>721</v>
      </c>
      <c r="D160" s="2" t="s">
        <v>557</v>
      </c>
      <c r="E160" s="2" t="s">
        <v>4</v>
      </c>
      <c r="F160" s="2" t="s">
        <v>5</v>
      </c>
      <c r="G160" s="2" t="s">
        <v>6</v>
      </c>
      <c r="H160" s="2" t="s">
        <v>28</v>
      </c>
      <c r="I160" s="2" t="s">
        <v>3390</v>
      </c>
      <c r="J160" s="3">
        <v>17</v>
      </c>
      <c r="K160" s="3">
        <v>12.84</v>
      </c>
      <c r="L160" s="2" t="s">
        <v>8</v>
      </c>
      <c r="M160" s="2" t="s">
        <v>9</v>
      </c>
      <c r="N160" s="3">
        <v>231</v>
      </c>
      <c r="O160" s="2" t="s">
        <v>43</v>
      </c>
      <c r="P160" s="2" t="s">
        <v>37</v>
      </c>
      <c r="Q160" s="3"/>
      <c r="R160" s="3"/>
      <c r="S160" s="2" t="s">
        <v>12</v>
      </c>
      <c r="T160" s="4">
        <v>44955</v>
      </c>
      <c r="U160" s="2" t="s">
        <v>722</v>
      </c>
      <c r="V160" s="6">
        <f>(Sales[[#This Row],[Price_retail]]-Sales[[#This Row],[Price_current]])/Sales[[#This Row],[Price_retail]]</f>
        <v>0.24470588235294119</v>
      </c>
      <c r="W160" s="3" t="str" cm="1">
        <f t="array" ref="W16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61" spans="1:23" x14ac:dyDescent="0.35">
      <c r="A161" s="2" t="s">
        <v>723</v>
      </c>
      <c r="B161" s="2" t="s">
        <v>724</v>
      </c>
      <c r="C161" s="2" t="s">
        <v>489</v>
      </c>
      <c r="D161" s="2" t="s">
        <v>725</v>
      </c>
      <c r="E161" s="2" t="s">
        <v>4</v>
      </c>
      <c r="F161" s="2" t="s">
        <v>17</v>
      </c>
      <c r="G161" s="2" t="s">
        <v>67</v>
      </c>
      <c r="H161" s="2" t="s">
        <v>110</v>
      </c>
      <c r="I161" s="2" t="s">
        <v>3395</v>
      </c>
      <c r="J161" s="3">
        <v>25.14</v>
      </c>
      <c r="K161" s="3">
        <v>25.14</v>
      </c>
      <c r="L161" s="2" t="s">
        <v>3391</v>
      </c>
      <c r="M161" s="2" t="s">
        <v>9</v>
      </c>
      <c r="N161" s="3">
        <v>995</v>
      </c>
      <c r="O161" s="2" t="s">
        <v>20</v>
      </c>
      <c r="P161" s="2" t="s">
        <v>70</v>
      </c>
      <c r="Q161" s="3"/>
      <c r="R161" s="3"/>
      <c r="S161" s="2" t="s">
        <v>21</v>
      </c>
      <c r="T161" s="4">
        <v>44955</v>
      </c>
      <c r="U161" s="2" t="s">
        <v>726</v>
      </c>
      <c r="V161" s="6">
        <f>(Sales[[#This Row],[Price_retail]]-Sales[[#This Row],[Price_current]])/Sales[[#This Row],[Price_retail]]</f>
        <v>0</v>
      </c>
      <c r="W161" s="3" t="str" cm="1">
        <f t="array" ref="W16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62" spans="1:23" x14ac:dyDescent="0.35">
      <c r="A162" s="2" t="s">
        <v>727</v>
      </c>
      <c r="B162" s="2" t="s">
        <v>728</v>
      </c>
      <c r="C162" s="2" t="s">
        <v>3394</v>
      </c>
      <c r="D162" s="2" t="s">
        <v>729</v>
      </c>
      <c r="E162" s="2" t="s">
        <v>4</v>
      </c>
      <c r="F162" s="2" t="s">
        <v>17</v>
      </c>
      <c r="G162" s="2" t="s">
        <v>18</v>
      </c>
      <c r="H162" s="2" t="s">
        <v>168</v>
      </c>
      <c r="I162" s="2" t="s">
        <v>3395</v>
      </c>
      <c r="J162" s="3">
        <v>21.11</v>
      </c>
      <c r="K162" s="3">
        <v>13.27</v>
      </c>
      <c r="L162" s="2" t="s">
        <v>8</v>
      </c>
      <c r="M162" s="2" t="s">
        <v>9</v>
      </c>
      <c r="N162" s="3">
        <v>813</v>
      </c>
      <c r="O162" s="2" t="s">
        <v>29</v>
      </c>
      <c r="P162" s="2" t="s">
        <v>221</v>
      </c>
      <c r="Q162" s="3"/>
      <c r="R162" s="3"/>
      <c r="S162" s="2" t="s">
        <v>21</v>
      </c>
      <c r="T162" s="4">
        <v>44955</v>
      </c>
      <c r="U162" s="2" t="s">
        <v>730</v>
      </c>
      <c r="V162" s="6">
        <f>(Sales[[#This Row],[Price_retail]]-Sales[[#This Row],[Price_current]])/Sales[[#This Row],[Price_retail]]</f>
        <v>0.37138796778777833</v>
      </c>
      <c r="W162" s="3" t="str" cm="1">
        <f t="array" ref="W16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63" spans="1:23" x14ac:dyDescent="0.35">
      <c r="A163" s="2" t="s">
        <v>731</v>
      </c>
      <c r="B163" s="2" t="s">
        <v>732</v>
      </c>
      <c r="C163" s="2" t="s">
        <v>733</v>
      </c>
      <c r="D163" s="2" t="s">
        <v>734</v>
      </c>
      <c r="E163" s="2" t="s">
        <v>4</v>
      </c>
      <c r="F163" s="2" t="s">
        <v>5</v>
      </c>
      <c r="G163" s="2" t="s">
        <v>6</v>
      </c>
      <c r="H163" s="2" t="s">
        <v>19</v>
      </c>
      <c r="I163" s="2" t="s">
        <v>3390</v>
      </c>
      <c r="J163" s="3">
        <v>47.43</v>
      </c>
      <c r="K163" s="3">
        <v>27.4</v>
      </c>
      <c r="L163" s="2" t="s">
        <v>8</v>
      </c>
      <c r="M163" s="2" t="s">
        <v>9</v>
      </c>
      <c r="N163" s="3">
        <v>56</v>
      </c>
      <c r="O163" s="2" t="s">
        <v>75</v>
      </c>
      <c r="P163" s="2" t="s">
        <v>238</v>
      </c>
      <c r="Q163" s="3"/>
      <c r="R163" s="3"/>
      <c r="S163" s="2" t="s">
        <v>21</v>
      </c>
      <c r="T163" s="4">
        <v>44955</v>
      </c>
      <c r="U163" s="2" t="s">
        <v>735</v>
      </c>
      <c r="V163" s="6">
        <f>(Sales[[#This Row],[Price_retail]]-Sales[[#This Row],[Price_current]])/Sales[[#This Row],[Price_retail]]</f>
        <v>0.42230655703141473</v>
      </c>
      <c r="W163" s="3" t="str" cm="1">
        <f t="array" ref="W16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64" spans="1:23" x14ac:dyDescent="0.35">
      <c r="A164" s="2" t="s">
        <v>736</v>
      </c>
      <c r="B164" s="2" t="s">
        <v>737</v>
      </c>
      <c r="C164" s="2" t="s">
        <v>65</v>
      </c>
      <c r="D164" s="2" t="s">
        <v>307</v>
      </c>
      <c r="E164" s="2" t="s">
        <v>4</v>
      </c>
      <c r="F164" s="2" t="s">
        <v>5</v>
      </c>
      <c r="G164" s="2" t="s">
        <v>121</v>
      </c>
      <c r="H164" s="2" t="s">
        <v>83</v>
      </c>
      <c r="I164" s="2" t="s">
        <v>3393</v>
      </c>
      <c r="J164" s="3">
        <v>19.59</v>
      </c>
      <c r="K164" s="3">
        <v>19.59</v>
      </c>
      <c r="L164" s="2" t="s">
        <v>3391</v>
      </c>
      <c r="M164" s="2" t="s">
        <v>9</v>
      </c>
      <c r="N164" s="3">
        <v>947</v>
      </c>
      <c r="O164" s="2" t="s">
        <v>261</v>
      </c>
      <c r="P164" s="2" t="s">
        <v>419</v>
      </c>
      <c r="Q164" s="3"/>
      <c r="R164" s="3"/>
      <c r="S164" s="2" t="s">
        <v>21</v>
      </c>
      <c r="T164" s="4">
        <v>44955</v>
      </c>
      <c r="U164" s="2" t="s">
        <v>738</v>
      </c>
      <c r="V164" s="6">
        <f>(Sales[[#This Row],[Price_retail]]-Sales[[#This Row],[Price_current]])/Sales[[#This Row],[Price_retail]]</f>
        <v>0</v>
      </c>
      <c r="W164" s="3" t="str" cm="1">
        <f t="array" ref="W1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65" spans="1:23" x14ac:dyDescent="0.35">
      <c r="A165" s="2" t="s">
        <v>739</v>
      </c>
      <c r="B165" s="2" t="s">
        <v>740</v>
      </c>
      <c r="C165" s="2" t="s">
        <v>741</v>
      </c>
      <c r="D165" s="2" t="s">
        <v>742</v>
      </c>
      <c r="E165" s="2" t="s">
        <v>4</v>
      </c>
      <c r="F165" s="2" t="s">
        <v>5</v>
      </c>
      <c r="G165" s="2" t="s">
        <v>121</v>
      </c>
      <c r="H165" s="2" t="s">
        <v>168</v>
      </c>
      <c r="I165" s="2" t="s">
        <v>3393</v>
      </c>
      <c r="J165" s="3">
        <v>22.22</v>
      </c>
      <c r="K165" s="3">
        <v>22.22</v>
      </c>
      <c r="L165" s="2" t="s">
        <v>3391</v>
      </c>
      <c r="M165" s="2" t="s">
        <v>9</v>
      </c>
      <c r="N165" s="3">
        <v>644</v>
      </c>
      <c r="O165" s="2" t="s">
        <v>60</v>
      </c>
      <c r="P165" s="2" t="s">
        <v>221</v>
      </c>
      <c r="Q165" s="3"/>
      <c r="R165" s="3"/>
      <c r="S165" s="2" t="s">
        <v>21</v>
      </c>
      <c r="T165" s="4">
        <v>44955</v>
      </c>
      <c r="U165" s="2" t="s">
        <v>743</v>
      </c>
      <c r="V165" s="6">
        <f>(Sales[[#This Row],[Price_retail]]-Sales[[#This Row],[Price_current]])/Sales[[#This Row],[Price_retail]]</f>
        <v>0</v>
      </c>
      <c r="W165" s="3" t="str" cm="1">
        <f t="array" ref="W1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66" spans="1:23" x14ac:dyDescent="0.35">
      <c r="A166" s="2" t="s">
        <v>744</v>
      </c>
      <c r="B166" s="2" t="s">
        <v>745</v>
      </c>
      <c r="C166" s="2" t="s">
        <v>746</v>
      </c>
      <c r="D166" s="2" t="s">
        <v>521</v>
      </c>
      <c r="E166" s="2" t="s">
        <v>4</v>
      </c>
      <c r="F166" s="2" t="s">
        <v>5</v>
      </c>
      <c r="G166" s="2" t="s">
        <v>82</v>
      </c>
      <c r="H166" s="2" t="s">
        <v>19</v>
      </c>
      <c r="I166" s="2" t="s">
        <v>3395</v>
      </c>
      <c r="J166" s="3">
        <v>28.67</v>
      </c>
      <c r="K166" s="3">
        <v>28.67</v>
      </c>
      <c r="L166" s="2" t="s">
        <v>248</v>
      </c>
      <c r="M166" s="2" t="s">
        <v>9</v>
      </c>
      <c r="N166" s="3">
        <v>350</v>
      </c>
      <c r="O166" s="2" t="s">
        <v>191</v>
      </c>
      <c r="P166" s="2" t="s">
        <v>3392</v>
      </c>
      <c r="Q166" s="3"/>
      <c r="R166" s="3"/>
      <c r="S166" s="2" t="s">
        <v>21</v>
      </c>
      <c r="T166" s="4">
        <v>44955</v>
      </c>
      <c r="U166" s="2" t="s">
        <v>747</v>
      </c>
      <c r="V166" s="6">
        <f>(Sales[[#This Row],[Price_retail]]-Sales[[#This Row],[Price_current]])/Sales[[#This Row],[Price_retail]]</f>
        <v>0</v>
      </c>
      <c r="W166" s="3" t="str" cm="1">
        <f t="array" ref="W1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67" spans="1:23" x14ac:dyDescent="0.35">
      <c r="A167" s="2" t="s">
        <v>748</v>
      </c>
      <c r="B167" s="2" t="s">
        <v>749</v>
      </c>
      <c r="C167" s="2" t="s">
        <v>750</v>
      </c>
      <c r="D167" s="2" t="s">
        <v>751</v>
      </c>
      <c r="E167" s="2" t="s">
        <v>4</v>
      </c>
      <c r="F167" s="2" t="s">
        <v>5</v>
      </c>
      <c r="G167" s="2" t="s">
        <v>121</v>
      </c>
      <c r="H167" s="2" t="s">
        <v>185</v>
      </c>
      <c r="I167" s="2" t="s">
        <v>3390</v>
      </c>
      <c r="J167" s="3">
        <v>16.2</v>
      </c>
      <c r="K167" s="3">
        <v>16.2</v>
      </c>
      <c r="L167" s="2" t="s">
        <v>3391</v>
      </c>
      <c r="M167" s="2" t="s">
        <v>9</v>
      </c>
      <c r="N167" s="3">
        <v>895</v>
      </c>
      <c r="O167" s="2" t="s">
        <v>3392</v>
      </c>
      <c r="P167" s="2" t="s">
        <v>163</v>
      </c>
      <c r="Q167" s="3"/>
      <c r="R167" s="3"/>
      <c r="S167" s="2" t="s">
        <v>21</v>
      </c>
      <c r="T167" s="4">
        <v>44955</v>
      </c>
      <c r="U167" s="2" t="s">
        <v>752</v>
      </c>
      <c r="V167" s="6">
        <f>(Sales[[#This Row],[Price_retail]]-Sales[[#This Row],[Price_current]])/Sales[[#This Row],[Price_retail]]</f>
        <v>0</v>
      </c>
      <c r="W167" s="3" t="str" cm="1">
        <f t="array" ref="W1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68" spans="1:23" x14ac:dyDescent="0.35">
      <c r="A168" s="2" t="s">
        <v>753</v>
      </c>
      <c r="B168" s="2" t="s">
        <v>754</v>
      </c>
      <c r="C168" s="2" t="s">
        <v>3400</v>
      </c>
      <c r="D168" s="2" t="s">
        <v>490</v>
      </c>
      <c r="E168" s="2" t="s">
        <v>4</v>
      </c>
      <c r="F168" s="2" t="s">
        <v>17</v>
      </c>
      <c r="G168" s="2" t="s">
        <v>67</v>
      </c>
      <c r="H168" s="2"/>
      <c r="I168" s="2" t="s">
        <v>3390</v>
      </c>
      <c r="J168" s="3">
        <v>11.01</v>
      </c>
      <c r="K168" s="3">
        <v>6.26</v>
      </c>
      <c r="L168" s="2" t="s">
        <v>8</v>
      </c>
      <c r="M168" s="2" t="s">
        <v>9</v>
      </c>
      <c r="N168" s="3">
        <v>5</v>
      </c>
      <c r="O168" s="2" t="s">
        <v>140</v>
      </c>
      <c r="P168" s="2" t="s">
        <v>70</v>
      </c>
      <c r="Q168" s="3"/>
      <c r="R168" s="3"/>
      <c r="S168" s="2" t="s">
        <v>21</v>
      </c>
      <c r="T168" s="4">
        <v>44955</v>
      </c>
      <c r="U168" s="2" t="s">
        <v>755</v>
      </c>
      <c r="V168" s="6">
        <f>(Sales[[#This Row],[Price_retail]]-Sales[[#This Row],[Price_current]])/Sales[[#This Row],[Price_retail]]</f>
        <v>0.43142597638510444</v>
      </c>
      <c r="W168" s="3" t="str" cm="1">
        <f t="array" ref="W16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69" spans="1:23" x14ac:dyDescent="0.35">
      <c r="A169" s="2" t="s">
        <v>756</v>
      </c>
      <c r="B169" s="2" t="s">
        <v>757</v>
      </c>
      <c r="C169" s="2" t="s">
        <v>242</v>
      </c>
      <c r="D169" s="2" t="s">
        <v>758</v>
      </c>
      <c r="E169" s="2" t="s">
        <v>4</v>
      </c>
      <c r="F169" s="2" t="s">
        <v>5</v>
      </c>
      <c r="G169" s="2" t="s">
        <v>6</v>
      </c>
      <c r="H169" s="2" t="s">
        <v>168</v>
      </c>
      <c r="I169" s="2" t="s">
        <v>3393</v>
      </c>
      <c r="J169" s="3">
        <v>12.05</v>
      </c>
      <c r="K169" s="3">
        <v>12.05</v>
      </c>
      <c r="L169" s="2" t="s">
        <v>3391</v>
      </c>
      <c r="M169" s="2" t="s">
        <v>9</v>
      </c>
      <c r="N169" s="3">
        <v>594</v>
      </c>
      <c r="O169" s="2" t="s">
        <v>20</v>
      </c>
      <c r="P169" s="2" t="s">
        <v>215</v>
      </c>
      <c r="Q169" s="3"/>
      <c r="R169" s="3"/>
      <c r="S169" s="2" t="s">
        <v>21</v>
      </c>
      <c r="T169" s="4">
        <v>44955</v>
      </c>
      <c r="U169" s="2" t="s">
        <v>759</v>
      </c>
      <c r="V169" s="6">
        <f>(Sales[[#This Row],[Price_retail]]-Sales[[#This Row],[Price_current]])/Sales[[#This Row],[Price_retail]]</f>
        <v>0</v>
      </c>
      <c r="W169" s="3" t="str" cm="1">
        <f t="array" ref="W16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0" spans="1:23" x14ac:dyDescent="0.35">
      <c r="A170" s="2" t="s">
        <v>760</v>
      </c>
      <c r="B170" s="2" t="s">
        <v>761</v>
      </c>
      <c r="C170" s="2" t="s">
        <v>242</v>
      </c>
      <c r="D170" s="2" t="s">
        <v>625</v>
      </c>
      <c r="E170" s="2" t="s">
        <v>4</v>
      </c>
      <c r="F170" s="2" t="s">
        <v>17</v>
      </c>
      <c r="G170" s="2" t="s">
        <v>27</v>
      </c>
      <c r="H170" s="2" t="s">
        <v>333</v>
      </c>
      <c r="I170" s="2" t="s">
        <v>3395</v>
      </c>
      <c r="J170" s="3">
        <v>12.12</v>
      </c>
      <c r="K170" s="3">
        <v>9.82</v>
      </c>
      <c r="L170" s="2" t="s">
        <v>8</v>
      </c>
      <c r="M170" s="2" t="s">
        <v>9</v>
      </c>
      <c r="N170" s="3">
        <v>163</v>
      </c>
      <c r="O170" s="2" t="s">
        <v>69</v>
      </c>
      <c r="P170" s="2" t="s">
        <v>70</v>
      </c>
      <c r="Q170" s="3"/>
      <c r="R170" s="3"/>
      <c r="S170" s="2" t="s">
        <v>21</v>
      </c>
      <c r="T170" s="4">
        <v>44955</v>
      </c>
      <c r="U170" s="2" t="s">
        <v>762</v>
      </c>
      <c r="V170" s="6">
        <f>(Sales[[#This Row],[Price_retail]]-Sales[[#This Row],[Price_current]])/Sales[[#This Row],[Price_retail]]</f>
        <v>0.18976897689768971</v>
      </c>
      <c r="W170" s="3" t="str" cm="1">
        <f t="array" ref="W170">_xlfn.IFS(Sales[[#This Row],[Discount]]=0%,"No Discount",Sales[[#This Row],[Discount]]&lt;=20%,"Light",Sales[[#This Row],[Discount]]&lt;=50%,"Moderate",Sales[[#This Row],[Discount]]&lt;=80%,"High",
TRUE,"Very High")</f>
        <v>Light</v>
      </c>
    </row>
    <row r="171" spans="1:23" x14ac:dyDescent="0.35">
      <c r="A171" s="2" t="s">
        <v>763</v>
      </c>
      <c r="B171" s="2" t="s">
        <v>764</v>
      </c>
      <c r="C171" s="2" t="s">
        <v>3394</v>
      </c>
      <c r="D171" s="2" t="s">
        <v>765</v>
      </c>
      <c r="E171" s="2" t="s">
        <v>4</v>
      </c>
      <c r="F171" s="2" t="s">
        <v>17</v>
      </c>
      <c r="G171" s="2" t="s">
        <v>27</v>
      </c>
      <c r="H171" s="2" t="s">
        <v>51</v>
      </c>
      <c r="I171" s="2" t="s">
        <v>3393</v>
      </c>
      <c r="J171" s="3">
        <v>9.27</v>
      </c>
      <c r="K171" s="3">
        <v>9.27</v>
      </c>
      <c r="L171" s="2" t="s">
        <v>3391</v>
      </c>
      <c r="M171" s="2" t="s">
        <v>9</v>
      </c>
      <c r="N171" s="3">
        <v>714</v>
      </c>
      <c r="O171" s="2" t="s">
        <v>91</v>
      </c>
      <c r="P171" s="2" t="s">
        <v>76</v>
      </c>
      <c r="Q171" s="3"/>
      <c r="R171" s="3"/>
      <c r="S171" s="2" t="s">
        <v>21</v>
      </c>
      <c r="T171" s="4">
        <v>44955</v>
      </c>
      <c r="U171" s="2" t="s">
        <v>766</v>
      </c>
      <c r="V171" s="6">
        <f>(Sales[[#This Row],[Price_retail]]-Sales[[#This Row],[Price_current]])/Sales[[#This Row],[Price_retail]]</f>
        <v>0</v>
      </c>
      <c r="W171" s="3" t="str" cm="1">
        <f t="array" ref="W17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2" spans="1:23" x14ac:dyDescent="0.35">
      <c r="A172" s="2" t="s">
        <v>767</v>
      </c>
      <c r="B172" s="2" t="s">
        <v>768</v>
      </c>
      <c r="C172" s="2" t="s">
        <v>569</v>
      </c>
      <c r="D172" s="2" t="s">
        <v>769</v>
      </c>
      <c r="E172" s="2" t="s">
        <v>4</v>
      </c>
      <c r="F172" s="2" t="s">
        <v>17</v>
      </c>
      <c r="G172" s="2" t="s">
        <v>27</v>
      </c>
      <c r="H172" s="2" t="s">
        <v>35</v>
      </c>
      <c r="I172" s="2" t="s">
        <v>3390</v>
      </c>
      <c r="J172" s="3">
        <v>18.63</v>
      </c>
      <c r="K172" s="3">
        <v>18.63</v>
      </c>
      <c r="L172" s="2" t="s">
        <v>3391</v>
      </c>
      <c r="M172" s="2" t="s">
        <v>9</v>
      </c>
      <c r="N172" s="3">
        <v>673</v>
      </c>
      <c r="O172" s="2" t="s">
        <v>104</v>
      </c>
      <c r="P172" s="2" t="s">
        <v>84</v>
      </c>
      <c r="Q172" s="3"/>
      <c r="R172" s="3"/>
      <c r="S172" s="2" t="s">
        <v>21</v>
      </c>
      <c r="T172" s="4">
        <v>44955</v>
      </c>
      <c r="U172" s="2" t="s">
        <v>770</v>
      </c>
      <c r="V172" s="6">
        <f>(Sales[[#This Row],[Price_retail]]-Sales[[#This Row],[Price_current]])/Sales[[#This Row],[Price_retail]]</f>
        <v>0</v>
      </c>
      <c r="W172" s="3" t="str" cm="1">
        <f t="array" ref="W17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3" spans="1:23" x14ac:dyDescent="0.35">
      <c r="A173" s="2" t="s">
        <v>771</v>
      </c>
      <c r="B173" s="2" t="s">
        <v>772</v>
      </c>
      <c r="C173" s="2" t="s">
        <v>41</v>
      </c>
      <c r="D173" s="2" t="s">
        <v>678</v>
      </c>
      <c r="E173" s="2" t="s">
        <v>4</v>
      </c>
      <c r="F173" s="2" t="s">
        <v>17</v>
      </c>
      <c r="G173" s="2" t="s">
        <v>18</v>
      </c>
      <c r="H173" s="2" t="s">
        <v>134</v>
      </c>
      <c r="I173" s="2" t="s">
        <v>3393</v>
      </c>
      <c r="J173" s="3">
        <v>11.06</v>
      </c>
      <c r="K173" s="3">
        <v>11.06</v>
      </c>
      <c r="L173" s="2" t="s">
        <v>3391</v>
      </c>
      <c r="M173" s="2" t="s">
        <v>9</v>
      </c>
      <c r="N173" s="3">
        <v>125</v>
      </c>
      <c r="O173" s="2" t="s">
        <v>36</v>
      </c>
      <c r="P173" s="2" t="s">
        <v>238</v>
      </c>
      <c r="Q173" s="3"/>
      <c r="R173" s="3"/>
      <c r="S173" s="2" t="s">
        <v>21</v>
      </c>
      <c r="T173" s="4">
        <v>44955</v>
      </c>
      <c r="U173" s="2" t="s">
        <v>773</v>
      </c>
      <c r="V173" s="6">
        <f>(Sales[[#This Row],[Price_retail]]-Sales[[#This Row],[Price_current]])/Sales[[#This Row],[Price_retail]]</f>
        <v>0</v>
      </c>
      <c r="W173" s="3" t="str" cm="1">
        <f t="array" ref="W1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4" spans="1:23" x14ac:dyDescent="0.35">
      <c r="A174" s="2" t="s">
        <v>774</v>
      </c>
      <c r="B174" s="2" t="s">
        <v>775</v>
      </c>
      <c r="C174" s="2" t="s">
        <v>525</v>
      </c>
      <c r="D174" s="2" t="s">
        <v>776</v>
      </c>
      <c r="E174" s="2" t="s">
        <v>4</v>
      </c>
      <c r="F174" s="2" t="s">
        <v>5</v>
      </c>
      <c r="G174" s="2" t="s">
        <v>82</v>
      </c>
      <c r="H174" s="2" t="s">
        <v>83</v>
      </c>
      <c r="I174" s="2" t="s">
        <v>3390</v>
      </c>
      <c r="J174" s="3">
        <v>17.41</v>
      </c>
      <c r="K174" s="3">
        <v>17.41</v>
      </c>
      <c r="L174" s="2" t="s">
        <v>3391</v>
      </c>
      <c r="M174" s="2" t="s">
        <v>9</v>
      </c>
      <c r="N174" s="3">
        <v>184</v>
      </c>
      <c r="O174" s="2" t="s">
        <v>36</v>
      </c>
      <c r="P174" s="2" t="s">
        <v>53</v>
      </c>
      <c r="Q174" s="3"/>
      <c r="R174" s="3"/>
      <c r="S174" s="2" t="s">
        <v>21</v>
      </c>
      <c r="T174" s="4">
        <v>44955</v>
      </c>
      <c r="U174" s="2" t="s">
        <v>777</v>
      </c>
      <c r="V174" s="6">
        <f>(Sales[[#This Row],[Price_retail]]-Sales[[#This Row],[Price_current]])/Sales[[#This Row],[Price_retail]]</f>
        <v>0</v>
      </c>
      <c r="W174" s="3" t="str" cm="1">
        <f t="array" ref="W17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5" spans="1:23" x14ac:dyDescent="0.35">
      <c r="A175" s="2" t="s">
        <v>778</v>
      </c>
      <c r="B175" s="2" t="s">
        <v>779</v>
      </c>
      <c r="C175" s="2" t="s">
        <v>102</v>
      </c>
      <c r="D175" s="2" t="s">
        <v>557</v>
      </c>
      <c r="E175" s="2" t="s">
        <v>4</v>
      </c>
      <c r="F175" s="2" t="s">
        <v>5</v>
      </c>
      <c r="G175" s="2" t="s">
        <v>121</v>
      </c>
      <c r="H175" s="2" t="s">
        <v>28</v>
      </c>
      <c r="I175" s="2" t="s">
        <v>3393</v>
      </c>
      <c r="J175" s="3">
        <v>27.15</v>
      </c>
      <c r="K175" s="3">
        <v>27.15</v>
      </c>
      <c r="L175" s="2" t="s">
        <v>3391</v>
      </c>
      <c r="M175" s="2" t="s">
        <v>9</v>
      </c>
      <c r="N175" s="3">
        <v>190</v>
      </c>
      <c r="O175" s="2" t="s">
        <v>140</v>
      </c>
      <c r="P175" s="2" t="s">
        <v>70</v>
      </c>
      <c r="Q175" s="3"/>
      <c r="R175" s="3"/>
      <c r="S175" s="2" t="s">
        <v>12</v>
      </c>
      <c r="T175" s="4">
        <v>44955</v>
      </c>
      <c r="U175" s="2" t="s">
        <v>780</v>
      </c>
      <c r="V175" s="6">
        <f>(Sales[[#This Row],[Price_retail]]-Sales[[#This Row],[Price_current]])/Sales[[#This Row],[Price_retail]]</f>
        <v>0</v>
      </c>
      <c r="W175" s="3" t="str" cm="1">
        <f t="array" ref="W17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6" spans="1:23" x14ac:dyDescent="0.35">
      <c r="A176" s="2" t="s">
        <v>781</v>
      </c>
      <c r="B176" s="2" t="s">
        <v>782</v>
      </c>
      <c r="C176" s="2" t="s">
        <v>126</v>
      </c>
      <c r="D176" s="2" t="s">
        <v>120</v>
      </c>
      <c r="E176" s="2" t="s">
        <v>4</v>
      </c>
      <c r="F176" s="2" t="s">
        <v>5</v>
      </c>
      <c r="G176" s="2" t="s">
        <v>121</v>
      </c>
      <c r="H176" s="2" t="s">
        <v>35</v>
      </c>
      <c r="I176" s="2" t="s">
        <v>3390</v>
      </c>
      <c r="J176" s="3">
        <v>15.29</v>
      </c>
      <c r="K176" s="3">
        <v>15.29</v>
      </c>
      <c r="L176" s="2" t="s">
        <v>3391</v>
      </c>
      <c r="M176" s="2" t="s">
        <v>9</v>
      </c>
      <c r="N176" s="3">
        <v>510</v>
      </c>
      <c r="O176" s="2" t="s">
        <v>98</v>
      </c>
      <c r="P176" s="2" t="s">
        <v>177</v>
      </c>
      <c r="Q176" s="3"/>
      <c r="R176" s="3"/>
      <c r="S176" s="2" t="s">
        <v>21</v>
      </c>
      <c r="T176" s="4">
        <v>44955</v>
      </c>
      <c r="U176" s="2" t="s">
        <v>783</v>
      </c>
      <c r="V176" s="6">
        <f>(Sales[[#This Row],[Price_retail]]-Sales[[#This Row],[Price_current]])/Sales[[#This Row],[Price_retail]]</f>
        <v>0</v>
      </c>
      <c r="W176" s="3" t="str" cm="1">
        <f t="array" ref="W17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7" spans="1:23" x14ac:dyDescent="0.35">
      <c r="A177" s="2" t="s">
        <v>784</v>
      </c>
      <c r="B177" s="2" t="s">
        <v>785</v>
      </c>
      <c r="C177" s="2" t="s">
        <v>786</v>
      </c>
      <c r="D177" s="2" t="s">
        <v>89</v>
      </c>
      <c r="E177" s="2" t="s">
        <v>4</v>
      </c>
      <c r="F177" s="2" t="s">
        <v>5</v>
      </c>
      <c r="G177" s="2" t="s">
        <v>121</v>
      </c>
      <c r="H177" s="2" t="s">
        <v>90</v>
      </c>
      <c r="I177" s="2" t="s">
        <v>3393</v>
      </c>
      <c r="J177" s="3">
        <v>21.24</v>
      </c>
      <c r="K177" s="3">
        <v>11.55</v>
      </c>
      <c r="L177" s="2" t="s">
        <v>8</v>
      </c>
      <c r="M177" s="2" t="s">
        <v>9</v>
      </c>
      <c r="N177" s="3">
        <v>416</v>
      </c>
      <c r="O177" s="2" t="s">
        <v>3392</v>
      </c>
      <c r="P177" s="2" t="s">
        <v>76</v>
      </c>
      <c r="Q177" s="3"/>
      <c r="R177" s="3"/>
      <c r="S177" s="2" t="s">
        <v>21</v>
      </c>
      <c r="T177" s="4">
        <v>44955</v>
      </c>
      <c r="U177" s="2" t="s">
        <v>787</v>
      </c>
      <c r="V177" s="6">
        <f>(Sales[[#This Row],[Price_retail]]-Sales[[#This Row],[Price_current]])/Sales[[#This Row],[Price_retail]]</f>
        <v>0.45621468926553665</v>
      </c>
      <c r="W177" s="3" t="str" cm="1">
        <f t="array" ref="W17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78" spans="1:23" x14ac:dyDescent="0.35">
      <c r="A178" s="2" t="s">
        <v>788</v>
      </c>
      <c r="B178" s="2" t="s">
        <v>789</v>
      </c>
      <c r="C178" s="2" t="s">
        <v>790</v>
      </c>
      <c r="D178" s="2" t="s">
        <v>138</v>
      </c>
      <c r="E178" s="2" t="s">
        <v>4</v>
      </c>
      <c r="F178" s="2" t="s">
        <v>5</v>
      </c>
      <c r="G178" s="2" t="s">
        <v>6</v>
      </c>
      <c r="H178" s="2" t="s">
        <v>139</v>
      </c>
      <c r="I178" s="2" t="s">
        <v>3390</v>
      </c>
      <c r="J178" s="3">
        <v>11.61</v>
      </c>
      <c r="K178" s="3">
        <v>11.61</v>
      </c>
      <c r="L178" s="2" t="s">
        <v>3391</v>
      </c>
      <c r="M178" s="2" t="s">
        <v>9</v>
      </c>
      <c r="N178" s="3">
        <v>771</v>
      </c>
      <c r="O178" s="2" t="s">
        <v>261</v>
      </c>
      <c r="P178" s="2" t="s">
        <v>30</v>
      </c>
      <c r="Q178" s="3"/>
      <c r="R178" s="3"/>
      <c r="S178" s="2" t="s">
        <v>21</v>
      </c>
      <c r="T178" s="4">
        <v>44955</v>
      </c>
      <c r="U178" s="2" t="s">
        <v>791</v>
      </c>
      <c r="V178" s="6">
        <f>(Sales[[#This Row],[Price_retail]]-Sales[[#This Row],[Price_current]])/Sales[[#This Row],[Price_retail]]</f>
        <v>0</v>
      </c>
      <c r="W178" s="3" t="str" cm="1">
        <f t="array" ref="W1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79" spans="1:23" x14ac:dyDescent="0.35">
      <c r="A179" s="2" t="s">
        <v>792</v>
      </c>
      <c r="B179" s="2" t="s">
        <v>793</v>
      </c>
      <c r="C179" s="2" t="s">
        <v>41</v>
      </c>
      <c r="D179" s="2" t="s">
        <v>621</v>
      </c>
      <c r="E179" s="2" t="s">
        <v>4</v>
      </c>
      <c r="F179" s="2" t="s">
        <v>17</v>
      </c>
      <c r="G179" s="2" t="s">
        <v>50</v>
      </c>
      <c r="H179" s="2" t="s">
        <v>68</v>
      </c>
      <c r="I179" s="2" t="s">
        <v>3395</v>
      </c>
      <c r="J179" s="3">
        <v>22.23</v>
      </c>
      <c r="K179" s="3">
        <v>22.23</v>
      </c>
      <c r="L179" s="2" t="s">
        <v>3391</v>
      </c>
      <c r="M179" s="2" t="s">
        <v>9</v>
      </c>
      <c r="N179" s="3">
        <v>268</v>
      </c>
      <c r="O179" s="2" t="s">
        <v>60</v>
      </c>
      <c r="P179" s="2" t="s">
        <v>84</v>
      </c>
      <c r="Q179" s="3"/>
      <c r="R179" s="3"/>
      <c r="S179" s="2" t="s">
        <v>21</v>
      </c>
      <c r="T179" s="4">
        <v>44955</v>
      </c>
      <c r="U179" s="2" t="s">
        <v>794</v>
      </c>
      <c r="V179" s="6">
        <f>(Sales[[#This Row],[Price_retail]]-Sales[[#This Row],[Price_current]])/Sales[[#This Row],[Price_retail]]</f>
        <v>0</v>
      </c>
      <c r="W179" s="3" t="str" cm="1">
        <f t="array" ref="W17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0" spans="1:23" x14ac:dyDescent="0.35">
      <c r="A180" s="2" t="s">
        <v>795</v>
      </c>
      <c r="B180" s="2" t="s">
        <v>796</v>
      </c>
      <c r="C180" s="2" t="s">
        <v>797</v>
      </c>
      <c r="D180" s="2" t="s">
        <v>660</v>
      </c>
      <c r="E180" s="2" t="s">
        <v>4</v>
      </c>
      <c r="F180" s="2" t="s">
        <v>5</v>
      </c>
      <c r="G180" s="2" t="s">
        <v>82</v>
      </c>
      <c r="H180" s="2" t="s">
        <v>237</v>
      </c>
      <c r="I180" s="2" t="s">
        <v>3390</v>
      </c>
      <c r="J180" s="3">
        <v>37.04</v>
      </c>
      <c r="K180" s="3">
        <v>37.04</v>
      </c>
      <c r="L180" s="2" t="s">
        <v>3391</v>
      </c>
      <c r="M180" s="2" t="s">
        <v>9</v>
      </c>
      <c r="N180" s="3">
        <v>529</v>
      </c>
      <c r="O180" s="2" t="s">
        <v>43</v>
      </c>
      <c r="P180" s="2" t="s">
        <v>3392</v>
      </c>
      <c r="Q180" s="3"/>
      <c r="R180" s="3"/>
      <c r="S180" s="2" t="s">
        <v>12</v>
      </c>
      <c r="T180" s="4">
        <v>44955</v>
      </c>
      <c r="U180" s="2" t="s">
        <v>798</v>
      </c>
      <c r="V180" s="6">
        <f>(Sales[[#This Row],[Price_retail]]-Sales[[#This Row],[Price_current]])/Sales[[#This Row],[Price_retail]]</f>
        <v>0</v>
      </c>
      <c r="W180" s="3" t="str" cm="1">
        <f t="array" ref="W18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1" spans="1:23" x14ac:dyDescent="0.35">
      <c r="A181" s="2" t="s">
        <v>799</v>
      </c>
      <c r="B181" s="2" t="s">
        <v>800</v>
      </c>
      <c r="C181" s="2" t="s">
        <v>65</v>
      </c>
      <c r="D181" s="2" t="s">
        <v>81</v>
      </c>
      <c r="E181" s="2" t="s">
        <v>4</v>
      </c>
      <c r="F181" s="2" t="s">
        <v>5</v>
      </c>
      <c r="G181" s="2" t="s">
        <v>121</v>
      </c>
      <c r="H181" s="2" t="s">
        <v>83</v>
      </c>
      <c r="I181" s="2" t="s">
        <v>3390</v>
      </c>
      <c r="J181" s="3">
        <v>18.89</v>
      </c>
      <c r="K181" s="3">
        <v>18.89</v>
      </c>
      <c r="L181" s="2" t="s">
        <v>3391</v>
      </c>
      <c r="M181" s="2" t="s">
        <v>9</v>
      </c>
      <c r="N181" s="3">
        <v>541</v>
      </c>
      <c r="O181" s="2" t="s">
        <v>10</v>
      </c>
      <c r="P181" s="2" t="s">
        <v>70</v>
      </c>
      <c r="Q181" s="3"/>
      <c r="R181" s="3"/>
      <c r="S181" s="2" t="s">
        <v>21</v>
      </c>
      <c r="T181" s="4">
        <v>44955</v>
      </c>
      <c r="U181" s="2" t="s">
        <v>801</v>
      </c>
      <c r="V181" s="6">
        <f>(Sales[[#This Row],[Price_retail]]-Sales[[#This Row],[Price_current]])/Sales[[#This Row],[Price_retail]]</f>
        <v>0</v>
      </c>
      <c r="W181" s="3" t="str" cm="1">
        <f t="array" ref="W18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2" spans="1:23" x14ac:dyDescent="0.35">
      <c r="A182" s="2" t="s">
        <v>802</v>
      </c>
      <c r="B182" s="2" t="s">
        <v>803</v>
      </c>
      <c r="C182" s="2" t="s">
        <v>2915</v>
      </c>
      <c r="D182" s="2" t="s">
        <v>804</v>
      </c>
      <c r="E182" s="2" t="s">
        <v>4</v>
      </c>
      <c r="F182" s="2" t="s">
        <v>5</v>
      </c>
      <c r="G182" s="2" t="s">
        <v>6</v>
      </c>
      <c r="H182" s="2" t="s">
        <v>19</v>
      </c>
      <c r="I182" s="2" t="s">
        <v>3393</v>
      </c>
      <c r="J182" s="3">
        <v>10.17</v>
      </c>
      <c r="K182" s="3">
        <v>10.17</v>
      </c>
      <c r="L182" s="2" t="s">
        <v>3391</v>
      </c>
      <c r="M182" s="2" t="s">
        <v>9</v>
      </c>
      <c r="N182" s="3">
        <v>746</v>
      </c>
      <c r="O182" s="2" t="s">
        <v>359</v>
      </c>
      <c r="P182" s="2" t="s">
        <v>70</v>
      </c>
      <c r="Q182" s="3"/>
      <c r="R182" s="3"/>
      <c r="S182" s="2" t="s">
        <v>21</v>
      </c>
      <c r="T182" s="4">
        <v>44955</v>
      </c>
      <c r="U182" s="2" t="s">
        <v>805</v>
      </c>
      <c r="V182" s="6">
        <f>(Sales[[#This Row],[Price_retail]]-Sales[[#This Row],[Price_current]])/Sales[[#This Row],[Price_retail]]</f>
        <v>0</v>
      </c>
      <c r="W182" s="3" t="str" cm="1">
        <f t="array" ref="W18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3" spans="1:23" x14ac:dyDescent="0.35">
      <c r="A183" s="2" t="s">
        <v>806</v>
      </c>
      <c r="B183" s="2" t="s">
        <v>807</v>
      </c>
      <c r="C183" s="2" t="s">
        <v>3394</v>
      </c>
      <c r="D183" s="2" t="s">
        <v>229</v>
      </c>
      <c r="E183" s="2" t="s">
        <v>4</v>
      </c>
      <c r="F183" s="2" t="s">
        <v>5</v>
      </c>
      <c r="G183" s="2" t="s">
        <v>6</v>
      </c>
      <c r="H183" s="2" t="s">
        <v>168</v>
      </c>
      <c r="I183" s="2" t="s">
        <v>3390</v>
      </c>
      <c r="J183" s="3">
        <v>11.15</v>
      </c>
      <c r="K183" s="3">
        <v>11.15</v>
      </c>
      <c r="L183" s="2" t="s">
        <v>3391</v>
      </c>
      <c r="M183" s="2" t="s">
        <v>9</v>
      </c>
      <c r="N183" s="3">
        <v>101</v>
      </c>
      <c r="O183" s="2" t="s">
        <v>104</v>
      </c>
      <c r="P183" s="2" t="s">
        <v>70</v>
      </c>
      <c r="Q183" s="3"/>
      <c r="R183" s="3"/>
      <c r="S183" s="2" t="s">
        <v>21</v>
      </c>
      <c r="T183" s="4">
        <v>44955</v>
      </c>
      <c r="U183" s="2" t="s">
        <v>808</v>
      </c>
      <c r="V183" s="6">
        <f>(Sales[[#This Row],[Price_retail]]-Sales[[#This Row],[Price_current]])/Sales[[#This Row],[Price_retail]]</f>
        <v>0</v>
      </c>
      <c r="W183" s="3" t="str" cm="1">
        <f t="array" ref="W1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4" spans="1:23" x14ac:dyDescent="0.35">
      <c r="A184" s="2" t="s">
        <v>809</v>
      </c>
      <c r="B184" s="2" t="s">
        <v>810</v>
      </c>
      <c r="C184" s="2" t="s">
        <v>65</v>
      </c>
      <c r="D184" s="2" t="s">
        <v>332</v>
      </c>
      <c r="E184" s="2" t="s">
        <v>4</v>
      </c>
      <c r="F184" s="2" t="s">
        <v>5</v>
      </c>
      <c r="G184" s="2" t="s">
        <v>6</v>
      </c>
      <c r="H184" s="2" t="s">
        <v>333</v>
      </c>
      <c r="I184" s="2" t="s">
        <v>3393</v>
      </c>
      <c r="J184" s="3">
        <v>13.65</v>
      </c>
      <c r="K184" s="3">
        <v>13.65</v>
      </c>
      <c r="L184" s="2" t="s">
        <v>3391</v>
      </c>
      <c r="M184" s="2" t="s">
        <v>9</v>
      </c>
      <c r="N184" s="3">
        <v>472</v>
      </c>
      <c r="O184" s="2" t="s">
        <v>36</v>
      </c>
      <c r="P184" s="2" t="s">
        <v>37</v>
      </c>
      <c r="Q184" s="3"/>
      <c r="R184" s="3"/>
      <c r="S184" s="2" t="s">
        <v>21</v>
      </c>
      <c r="T184" s="4">
        <v>44955</v>
      </c>
      <c r="U184" s="2" t="s">
        <v>811</v>
      </c>
      <c r="V184" s="6">
        <f>(Sales[[#This Row],[Price_retail]]-Sales[[#This Row],[Price_current]])/Sales[[#This Row],[Price_retail]]</f>
        <v>0</v>
      </c>
      <c r="W184" s="3" t="str" cm="1">
        <f t="array" ref="W1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5" spans="1:23" x14ac:dyDescent="0.35">
      <c r="A185" s="2" t="s">
        <v>812</v>
      </c>
      <c r="B185" s="2" t="s">
        <v>813</v>
      </c>
      <c r="C185" s="2" t="s">
        <v>1747</v>
      </c>
      <c r="D185" s="2" t="s">
        <v>814</v>
      </c>
      <c r="E185" s="2" t="s">
        <v>4</v>
      </c>
      <c r="F185" s="2" t="s">
        <v>5</v>
      </c>
      <c r="G185" s="2" t="s">
        <v>6</v>
      </c>
      <c r="H185" s="2" t="s">
        <v>418</v>
      </c>
      <c r="I185" s="2" t="s">
        <v>3393</v>
      </c>
      <c r="J185" s="3">
        <v>11.28</v>
      </c>
      <c r="K185" s="3">
        <v>11.28</v>
      </c>
      <c r="L185" s="2" t="s">
        <v>3391</v>
      </c>
      <c r="M185" s="2" t="s">
        <v>9</v>
      </c>
      <c r="N185" s="3">
        <v>70</v>
      </c>
      <c r="O185" s="2" t="s">
        <v>60</v>
      </c>
      <c r="P185" s="2" t="s">
        <v>70</v>
      </c>
      <c r="Q185" s="3"/>
      <c r="R185" s="3"/>
      <c r="S185" s="2" t="s">
        <v>12</v>
      </c>
      <c r="T185" s="4">
        <v>44955</v>
      </c>
      <c r="U185" s="2" t="s">
        <v>815</v>
      </c>
      <c r="V185" s="6">
        <f>(Sales[[#This Row],[Price_retail]]-Sales[[#This Row],[Price_current]])/Sales[[#This Row],[Price_retail]]</f>
        <v>0</v>
      </c>
      <c r="W185" s="3" t="str" cm="1">
        <f t="array" ref="W18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6" spans="1:23" x14ac:dyDescent="0.35">
      <c r="A186" s="2" t="s">
        <v>816</v>
      </c>
      <c r="B186" s="2" t="s">
        <v>817</v>
      </c>
      <c r="C186" s="2" t="s">
        <v>3433</v>
      </c>
      <c r="D186" s="2" t="s">
        <v>542</v>
      </c>
      <c r="E186" s="2" t="s">
        <v>4</v>
      </c>
      <c r="F186" s="2" t="s">
        <v>17</v>
      </c>
      <c r="G186" s="2" t="s">
        <v>18</v>
      </c>
      <c r="H186" s="2" t="s">
        <v>333</v>
      </c>
      <c r="I186" s="2" t="s">
        <v>3393</v>
      </c>
      <c r="J186" s="3">
        <v>9.07</v>
      </c>
      <c r="K186" s="3">
        <v>9.07</v>
      </c>
      <c r="L186" s="2" t="s">
        <v>3391</v>
      </c>
      <c r="M186" s="2" t="s">
        <v>9</v>
      </c>
      <c r="N186" s="3">
        <v>119</v>
      </c>
      <c r="O186" s="2" t="s">
        <v>191</v>
      </c>
      <c r="P186" s="2" t="s">
        <v>177</v>
      </c>
      <c r="Q186" s="3"/>
      <c r="R186" s="3"/>
      <c r="S186" s="2" t="s">
        <v>21</v>
      </c>
      <c r="T186" s="4">
        <v>44955</v>
      </c>
      <c r="U186" s="2" t="s">
        <v>818</v>
      </c>
      <c r="V186" s="6">
        <f>(Sales[[#This Row],[Price_retail]]-Sales[[#This Row],[Price_current]])/Sales[[#This Row],[Price_retail]]</f>
        <v>0</v>
      </c>
      <c r="W186" s="3" t="str" cm="1">
        <f t="array" ref="W18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87" spans="1:23" x14ac:dyDescent="0.35">
      <c r="A187" s="2" t="s">
        <v>819</v>
      </c>
      <c r="B187" s="2" t="s">
        <v>820</v>
      </c>
      <c r="C187" s="2" t="s">
        <v>399</v>
      </c>
      <c r="D187" s="2" t="s">
        <v>205</v>
      </c>
      <c r="E187" s="2" t="s">
        <v>4</v>
      </c>
      <c r="F187" s="2" t="s">
        <v>17</v>
      </c>
      <c r="G187" s="2" t="s">
        <v>50</v>
      </c>
      <c r="H187" s="2" t="s">
        <v>145</v>
      </c>
      <c r="I187" s="2" t="s">
        <v>3393</v>
      </c>
      <c r="J187" s="3">
        <v>17.03</v>
      </c>
      <c r="K187" s="3">
        <v>13.41</v>
      </c>
      <c r="L187" s="2" t="s">
        <v>8</v>
      </c>
      <c r="M187" s="2" t="s">
        <v>9</v>
      </c>
      <c r="N187" s="3">
        <v>264</v>
      </c>
      <c r="O187" s="2" t="s">
        <v>29</v>
      </c>
      <c r="P187" s="2" t="s">
        <v>61</v>
      </c>
      <c r="Q187" s="3"/>
      <c r="R187" s="3"/>
      <c r="S187" s="2" t="s">
        <v>21</v>
      </c>
      <c r="T187" s="4">
        <v>44955</v>
      </c>
      <c r="U187" s="2" t="s">
        <v>821</v>
      </c>
      <c r="V187" s="6">
        <f>(Sales[[#This Row],[Price_retail]]-Sales[[#This Row],[Price_current]])/Sales[[#This Row],[Price_retail]]</f>
        <v>0.21256605989430422</v>
      </c>
      <c r="W187" s="3" t="str" cm="1">
        <f t="array" ref="W1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88" spans="1:23" x14ac:dyDescent="0.35">
      <c r="A188" s="2" t="s">
        <v>822</v>
      </c>
      <c r="B188" s="2" t="s">
        <v>823</v>
      </c>
      <c r="C188" s="2" t="s">
        <v>367</v>
      </c>
      <c r="D188" s="2" t="s">
        <v>804</v>
      </c>
      <c r="E188" s="2" t="s">
        <v>4</v>
      </c>
      <c r="F188" s="2" t="s">
        <v>5</v>
      </c>
      <c r="G188" s="2" t="s">
        <v>82</v>
      </c>
      <c r="H188" s="2" t="s">
        <v>19</v>
      </c>
      <c r="I188" s="2" t="s">
        <v>3390</v>
      </c>
      <c r="J188" s="3">
        <v>13.85</v>
      </c>
      <c r="K188" s="3">
        <v>7.93</v>
      </c>
      <c r="L188" s="2" t="s">
        <v>8</v>
      </c>
      <c r="M188" s="2" t="s">
        <v>9</v>
      </c>
      <c r="N188" s="3">
        <v>281</v>
      </c>
      <c r="O188" s="2" t="s">
        <v>140</v>
      </c>
      <c r="P188" s="2" t="s">
        <v>53</v>
      </c>
      <c r="Q188" s="3"/>
      <c r="R188" s="3"/>
      <c r="S188" s="2" t="s">
        <v>12</v>
      </c>
      <c r="T188" s="4">
        <v>44955</v>
      </c>
      <c r="U188" s="2" t="s">
        <v>824</v>
      </c>
      <c r="V188" s="6">
        <f>(Sales[[#This Row],[Price_retail]]-Sales[[#This Row],[Price_current]])/Sales[[#This Row],[Price_retail]]</f>
        <v>0.42743682310469316</v>
      </c>
      <c r="W188" s="3" t="str" cm="1">
        <f t="array" ref="W18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89" spans="1:23" x14ac:dyDescent="0.35">
      <c r="A189" s="2" t="s">
        <v>825</v>
      </c>
      <c r="B189" s="2" t="s">
        <v>826</v>
      </c>
      <c r="C189" s="2" t="s">
        <v>3394</v>
      </c>
      <c r="D189" s="2" t="s">
        <v>537</v>
      </c>
      <c r="E189" s="2" t="s">
        <v>4</v>
      </c>
      <c r="F189" s="2" t="s">
        <v>5</v>
      </c>
      <c r="G189" s="2" t="s">
        <v>121</v>
      </c>
      <c r="H189" s="2" t="s">
        <v>145</v>
      </c>
      <c r="I189" s="2" t="s">
        <v>3393</v>
      </c>
      <c r="J189" s="3">
        <v>17.36</v>
      </c>
      <c r="K189" s="3">
        <v>17.36</v>
      </c>
      <c r="L189" s="2" t="s">
        <v>3391</v>
      </c>
      <c r="M189" s="2" t="s">
        <v>9</v>
      </c>
      <c r="N189" s="3">
        <v>935</v>
      </c>
      <c r="O189" s="2" t="s">
        <v>347</v>
      </c>
      <c r="P189" s="2" t="s">
        <v>53</v>
      </c>
      <c r="Q189" s="3"/>
      <c r="R189" s="3"/>
      <c r="S189" s="2" t="s">
        <v>12</v>
      </c>
      <c r="T189" s="4">
        <v>44955</v>
      </c>
      <c r="U189" s="2" t="s">
        <v>827</v>
      </c>
      <c r="V189" s="6">
        <f>(Sales[[#This Row],[Price_retail]]-Sales[[#This Row],[Price_current]])/Sales[[#This Row],[Price_retail]]</f>
        <v>0</v>
      </c>
      <c r="W189" s="3" t="str" cm="1">
        <f t="array" ref="W18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0" spans="1:23" x14ac:dyDescent="0.35">
      <c r="A190" s="2" t="s">
        <v>828</v>
      </c>
      <c r="B190" s="2" t="s">
        <v>829</v>
      </c>
      <c r="C190" s="2" t="s">
        <v>797</v>
      </c>
      <c r="D190" s="2" t="s">
        <v>474</v>
      </c>
      <c r="E190" s="2" t="s">
        <v>4</v>
      </c>
      <c r="F190" s="2" t="s">
        <v>17</v>
      </c>
      <c r="G190" s="2" t="s">
        <v>18</v>
      </c>
      <c r="H190" s="2" t="s">
        <v>83</v>
      </c>
      <c r="I190" s="2" t="s">
        <v>3393</v>
      </c>
      <c r="J190" s="3">
        <v>30.04</v>
      </c>
      <c r="K190" s="3">
        <v>30.04</v>
      </c>
      <c r="L190" s="2" t="s">
        <v>3391</v>
      </c>
      <c r="M190" s="2" t="s">
        <v>9</v>
      </c>
      <c r="N190" s="3">
        <v>74</v>
      </c>
      <c r="O190" s="2" t="s">
        <v>3392</v>
      </c>
      <c r="P190" s="2" t="s">
        <v>192</v>
      </c>
      <c r="Q190" s="3"/>
      <c r="R190" s="3"/>
      <c r="S190" s="2" t="s">
        <v>21</v>
      </c>
      <c r="T190" s="4">
        <v>44955</v>
      </c>
      <c r="U190" s="2" t="s">
        <v>830</v>
      </c>
      <c r="V190" s="6">
        <f>(Sales[[#This Row],[Price_retail]]-Sales[[#This Row],[Price_current]])/Sales[[#This Row],[Price_retail]]</f>
        <v>0</v>
      </c>
      <c r="W190" s="3" t="str" cm="1">
        <f t="array" ref="W19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1" spans="1:23" x14ac:dyDescent="0.35">
      <c r="A191" s="2" t="s">
        <v>831</v>
      </c>
      <c r="B191" s="2" t="s">
        <v>832</v>
      </c>
      <c r="C191" s="2" t="s">
        <v>412</v>
      </c>
      <c r="D191" s="2" t="s">
        <v>542</v>
      </c>
      <c r="E191" s="2" t="s">
        <v>4</v>
      </c>
      <c r="F191" s="2" t="s">
        <v>17</v>
      </c>
      <c r="G191" s="2" t="s">
        <v>50</v>
      </c>
      <c r="H191" s="2" t="s">
        <v>333</v>
      </c>
      <c r="I191" s="2" t="s">
        <v>3393</v>
      </c>
      <c r="J191" s="3">
        <v>13.74</v>
      </c>
      <c r="K191" s="3">
        <v>13.74</v>
      </c>
      <c r="L191" s="2" t="s">
        <v>3391</v>
      </c>
      <c r="M191" s="2" t="s">
        <v>9</v>
      </c>
      <c r="N191" s="3">
        <v>823</v>
      </c>
      <c r="O191" s="2" t="s">
        <v>3392</v>
      </c>
      <c r="P191" s="2" t="s">
        <v>3392</v>
      </c>
      <c r="Q191" s="3"/>
      <c r="R191" s="3"/>
      <c r="S191" s="2" t="s">
        <v>21</v>
      </c>
      <c r="T191" s="4">
        <v>44955</v>
      </c>
      <c r="U191" s="2" t="s">
        <v>833</v>
      </c>
      <c r="V191" s="6">
        <f>(Sales[[#This Row],[Price_retail]]-Sales[[#This Row],[Price_current]])/Sales[[#This Row],[Price_retail]]</f>
        <v>0</v>
      </c>
      <c r="W191" s="3" t="str" cm="1">
        <f t="array" ref="W19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2" spans="1:23" x14ac:dyDescent="0.35">
      <c r="A192" s="2" t="s">
        <v>834</v>
      </c>
      <c r="B192" s="2" t="s">
        <v>835</v>
      </c>
      <c r="C192" s="2" t="s">
        <v>423</v>
      </c>
      <c r="D192" s="2" t="s">
        <v>220</v>
      </c>
      <c r="E192" s="2" t="s">
        <v>4</v>
      </c>
      <c r="F192" s="2" t="s">
        <v>17</v>
      </c>
      <c r="G192" s="2" t="s">
        <v>27</v>
      </c>
      <c r="H192" s="2" t="s">
        <v>139</v>
      </c>
      <c r="I192" s="2" t="s">
        <v>3395</v>
      </c>
      <c r="J192" s="3">
        <v>8.99</v>
      </c>
      <c r="K192" s="3">
        <v>8.99</v>
      </c>
      <c r="L192" s="2" t="s">
        <v>3391</v>
      </c>
      <c r="M192" s="2" t="s">
        <v>9</v>
      </c>
      <c r="N192" s="3">
        <v>501</v>
      </c>
      <c r="O192" s="2" t="s">
        <v>191</v>
      </c>
      <c r="P192" s="2" t="s">
        <v>44</v>
      </c>
      <c r="Q192" s="3"/>
      <c r="R192" s="3"/>
      <c r="S192" s="2" t="s">
        <v>21</v>
      </c>
      <c r="T192" s="4">
        <v>44955</v>
      </c>
      <c r="U192" s="2" t="s">
        <v>836</v>
      </c>
      <c r="V192" s="6">
        <f>(Sales[[#This Row],[Price_retail]]-Sales[[#This Row],[Price_current]])/Sales[[#This Row],[Price_retail]]</f>
        <v>0</v>
      </c>
      <c r="W192" s="3" t="str" cm="1">
        <f t="array" ref="W1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3" spans="1:23" x14ac:dyDescent="0.35">
      <c r="A193" s="2" t="s">
        <v>837</v>
      </c>
      <c r="B193" s="2" t="s">
        <v>838</v>
      </c>
      <c r="C193" s="2" t="s">
        <v>65</v>
      </c>
      <c r="D193" s="2" t="s">
        <v>319</v>
      </c>
      <c r="E193" s="2" t="s">
        <v>4</v>
      </c>
      <c r="F193" s="2" t="s">
        <v>5</v>
      </c>
      <c r="G193" s="2" t="s">
        <v>121</v>
      </c>
      <c r="H193" s="2" t="s">
        <v>90</v>
      </c>
      <c r="I193" s="2" t="s">
        <v>3393</v>
      </c>
      <c r="J193" s="3">
        <v>12.56</v>
      </c>
      <c r="K193" s="3">
        <v>12.56</v>
      </c>
      <c r="L193" s="2" t="s">
        <v>3391</v>
      </c>
      <c r="M193" s="2" t="s">
        <v>9</v>
      </c>
      <c r="N193" s="3">
        <v>604</v>
      </c>
      <c r="O193" s="2" t="s">
        <v>3392</v>
      </c>
      <c r="P193" s="2" t="s">
        <v>30</v>
      </c>
      <c r="Q193" s="3"/>
      <c r="R193" s="3"/>
      <c r="S193" s="2" t="s">
        <v>21</v>
      </c>
      <c r="T193" s="4">
        <v>44955</v>
      </c>
      <c r="U193" s="2" t="s">
        <v>839</v>
      </c>
      <c r="V193" s="6">
        <f>(Sales[[#This Row],[Price_retail]]-Sales[[#This Row],[Price_current]])/Sales[[#This Row],[Price_retail]]</f>
        <v>0</v>
      </c>
      <c r="W193" s="3" t="str" cm="1">
        <f t="array" ref="W1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4" spans="1:23" x14ac:dyDescent="0.35">
      <c r="A194" s="2" t="s">
        <v>840</v>
      </c>
      <c r="B194" s="2" t="s">
        <v>841</v>
      </c>
      <c r="C194" s="2" t="s">
        <v>565</v>
      </c>
      <c r="D194" s="2" t="s">
        <v>842</v>
      </c>
      <c r="E194" s="2" t="s">
        <v>4</v>
      </c>
      <c r="F194" s="2" t="s">
        <v>5</v>
      </c>
      <c r="G194" s="2" t="s">
        <v>6</v>
      </c>
      <c r="H194" s="2" t="s">
        <v>7</v>
      </c>
      <c r="I194" s="2" t="s">
        <v>3395</v>
      </c>
      <c r="J194" s="3">
        <v>23.9</v>
      </c>
      <c r="K194" s="3">
        <v>23.9</v>
      </c>
      <c r="L194" s="2" t="s">
        <v>3391</v>
      </c>
      <c r="M194" s="2" t="s">
        <v>9</v>
      </c>
      <c r="N194" s="3">
        <v>993</v>
      </c>
      <c r="O194" s="2" t="s">
        <v>191</v>
      </c>
      <c r="P194" s="2" t="s">
        <v>843</v>
      </c>
      <c r="Q194" s="3"/>
      <c r="R194" s="3"/>
      <c r="S194" s="2" t="s">
        <v>12</v>
      </c>
      <c r="T194" s="4">
        <v>44955</v>
      </c>
      <c r="U194" s="2" t="s">
        <v>844</v>
      </c>
      <c r="V194" s="6">
        <f>(Sales[[#This Row],[Price_retail]]-Sales[[#This Row],[Price_current]])/Sales[[#This Row],[Price_retail]]</f>
        <v>0</v>
      </c>
      <c r="W194" s="3" t="str" cm="1">
        <f t="array" ref="W19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5" spans="1:23" x14ac:dyDescent="0.35">
      <c r="A195" s="2" t="s">
        <v>845</v>
      </c>
      <c r="B195" s="2" t="s">
        <v>846</v>
      </c>
      <c r="C195" s="2" t="s">
        <v>3394</v>
      </c>
      <c r="D195" s="2" t="s">
        <v>847</v>
      </c>
      <c r="E195" s="2" t="s">
        <v>4</v>
      </c>
      <c r="F195" s="2" t="s">
        <v>5</v>
      </c>
      <c r="G195" s="2" t="s">
        <v>6</v>
      </c>
      <c r="H195" s="2" t="s">
        <v>237</v>
      </c>
      <c r="I195" s="2" t="s">
        <v>3393</v>
      </c>
      <c r="J195" s="3">
        <v>22.7</v>
      </c>
      <c r="K195" s="3">
        <v>22.7</v>
      </c>
      <c r="L195" s="2" t="s">
        <v>248</v>
      </c>
      <c r="M195" s="2" t="s">
        <v>9</v>
      </c>
      <c r="N195" s="3">
        <v>236</v>
      </c>
      <c r="O195" s="2" t="s">
        <v>3392</v>
      </c>
      <c r="P195" s="2" t="s">
        <v>419</v>
      </c>
      <c r="Q195" s="3"/>
      <c r="R195" s="3"/>
      <c r="S195" s="2" t="s">
        <v>21</v>
      </c>
      <c r="T195" s="4">
        <v>44955</v>
      </c>
      <c r="U195" s="2" t="s">
        <v>848</v>
      </c>
      <c r="V195" s="6">
        <f>(Sales[[#This Row],[Price_retail]]-Sales[[#This Row],[Price_current]])/Sales[[#This Row],[Price_retail]]</f>
        <v>0</v>
      </c>
      <c r="W195" s="3" t="str" cm="1">
        <f t="array" ref="W19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6" spans="1:23" x14ac:dyDescent="0.35">
      <c r="A196" s="2" t="s">
        <v>849</v>
      </c>
      <c r="B196" s="2" t="s">
        <v>850</v>
      </c>
      <c r="C196" s="2" t="s">
        <v>484</v>
      </c>
      <c r="D196" s="2" t="s">
        <v>470</v>
      </c>
      <c r="E196" s="2" t="s">
        <v>4</v>
      </c>
      <c r="F196" s="2" t="s">
        <v>17</v>
      </c>
      <c r="G196" s="2" t="s">
        <v>67</v>
      </c>
      <c r="H196" s="2" t="s">
        <v>185</v>
      </c>
      <c r="I196" s="2" t="s">
        <v>3390</v>
      </c>
      <c r="J196" s="3">
        <v>20.81</v>
      </c>
      <c r="K196" s="3">
        <v>20.81</v>
      </c>
      <c r="L196" s="2" t="s">
        <v>3391</v>
      </c>
      <c r="M196" s="2" t="s">
        <v>9</v>
      </c>
      <c r="N196" s="3">
        <v>532</v>
      </c>
      <c r="O196" s="2" t="s">
        <v>98</v>
      </c>
      <c r="P196" s="2" t="s">
        <v>92</v>
      </c>
      <c r="Q196" s="3"/>
      <c r="R196" s="3"/>
      <c r="S196" s="2" t="s">
        <v>21</v>
      </c>
      <c r="T196" s="4">
        <v>44955</v>
      </c>
      <c r="U196" s="2" t="s">
        <v>851</v>
      </c>
      <c r="V196" s="6">
        <f>(Sales[[#This Row],[Price_retail]]-Sales[[#This Row],[Price_current]])/Sales[[#This Row],[Price_retail]]</f>
        <v>0</v>
      </c>
      <c r="W196" s="3" t="str" cm="1">
        <f t="array" ref="W19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7" spans="1:23" x14ac:dyDescent="0.35">
      <c r="A197" s="2" t="s">
        <v>852</v>
      </c>
      <c r="B197" s="2" t="s">
        <v>853</v>
      </c>
      <c r="C197" s="2" t="s">
        <v>25</v>
      </c>
      <c r="D197" s="2" t="s">
        <v>3411</v>
      </c>
      <c r="E197" s="2" t="s">
        <v>4</v>
      </c>
      <c r="F197" s="2" t="s">
        <v>5</v>
      </c>
      <c r="G197" s="2" t="s">
        <v>82</v>
      </c>
      <c r="H197" s="2"/>
      <c r="I197" s="2" t="s">
        <v>3393</v>
      </c>
      <c r="J197" s="3">
        <v>11.09</v>
      </c>
      <c r="K197" s="3">
        <v>6.72</v>
      </c>
      <c r="L197" s="2" t="s">
        <v>8</v>
      </c>
      <c r="M197" s="2" t="s">
        <v>9</v>
      </c>
      <c r="N197" s="3">
        <v>859</v>
      </c>
      <c r="O197" s="2" t="s">
        <v>91</v>
      </c>
      <c r="P197" s="2" t="s">
        <v>238</v>
      </c>
      <c r="Q197" s="3"/>
      <c r="R197" s="3"/>
      <c r="S197" s="2" t="s">
        <v>21</v>
      </c>
      <c r="T197" s="4">
        <v>44955</v>
      </c>
      <c r="U197" s="2" t="s">
        <v>854</v>
      </c>
      <c r="V197" s="6">
        <f>(Sales[[#This Row],[Price_retail]]-Sales[[#This Row],[Price_current]])/Sales[[#This Row],[Price_retail]]</f>
        <v>0.39404869251578001</v>
      </c>
      <c r="W197" s="3" t="str" cm="1">
        <f t="array" ref="W19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198" spans="1:23" x14ac:dyDescent="0.35">
      <c r="A198" s="2" t="s">
        <v>855</v>
      </c>
      <c r="B198" s="2" t="s">
        <v>856</v>
      </c>
      <c r="C198" s="2" t="s">
        <v>65</v>
      </c>
      <c r="D198" s="2" t="s">
        <v>857</v>
      </c>
      <c r="E198" s="2" t="s">
        <v>4</v>
      </c>
      <c r="F198" s="2" t="s">
        <v>5</v>
      </c>
      <c r="G198" s="2" t="s">
        <v>82</v>
      </c>
      <c r="H198" s="2" t="s">
        <v>51</v>
      </c>
      <c r="I198" s="2" t="s">
        <v>3390</v>
      </c>
      <c r="J198" s="3">
        <v>23.65</v>
      </c>
      <c r="K198" s="3">
        <v>23.65</v>
      </c>
      <c r="L198" s="2" t="s">
        <v>248</v>
      </c>
      <c r="M198" s="2" t="s">
        <v>9</v>
      </c>
      <c r="N198" s="3">
        <v>149</v>
      </c>
      <c r="O198" s="2" t="s">
        <v>261</v>
      </c>
      <c r="P198" s="2" t="s">
        <v>221</v>
      </c>
      <c r="Q198" s="3"/>
      <c r="R198" s="3"/>
      <c r="S198" s="2" t="s">
        <v>21</v>
      </c>
      <c r="T198" s="4">
        <v>44955</v>
      </c>
      <c r="U198" s="2" t="s">
        <v>858</v>
      </c>
      <c r="V198" s="6">
        <f>(Sales[[#This Row],[Price_retail]]-Sales[[#This Row],[Price_current]])/Sales[[#This Row],[Price_retail]]</f>
        <v>0</v>
      </c>
      <c r="W198" s="3" t="str" cm="1">
        <f t="array" ref="W19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199" spans="1:23" x14ac:dyDescent="0.35">
      <c r="A199" s="2" t="s">
        <v>859</v>
      </c>
      <c r="B199" s="2" t="s">
        <v>860</v>
      </c>
      <c r="C199" s="2" t="s">
        <v>616</v>
      </c>
      <c r="D199" s="2" t="s">
        <v>861</v>
      </c>
      <c r="E199" s="2" t="s">
        <v>4</v>
      </c>
      <c r="F199" s="2" t="s">
        <v>17</v>
      </c>
      <c r="G199" s="2" t="s">
        <v>67</v>
      </c>
      <c r="H199" s="2" t="s">
        <v>139</v>
      </c>
      <c r="I199" s="2" t="s">
        <v>3390</v>
      </c>
      <c r="J199" s="3">
        <v>26.77</v>
      </c>
      <c r="K199" s="3">
        <v>15.31</v>
      </c>
      <c r="L199" s="2" t="s">
        <v>8</v>
      </c>
      <c r="M199" s="2" t="s">
        <v>9</v>
      </c>
      <c r="N199" s="3">
        <v>903</v>
      </c>
      <c r="O199" s="2" t="s">
        <v>302</v>
      </c>
      <c r="P199" s="2" t="s">
        <v>37</v>
      </c>
      <c r="Q199" s="3"/>
      <c r="R199" s="3"/>
      <c r="S199" s="2" t="s">
        <v>12</v>
      </c>
      <c r="T199" s="4">
        <v>44955</v>
      </c>
      <c r="U199" s="2" t="s">
        <v>862</v>
      </c>
      <c r="V199" s="6">
        <f>(Sales[[#This Row],[Price_retail]]-Sales[[#This Row],[Price_current]])/Sales[[#This Row],[Price_retail]]</f>
        <v>0.42809114680612625</v>
      </c>
      <c r="W199" s="3" t="str" cm="1">
        <f t="array" ref="W19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0" spans="1:23" x14ac:dyDescent="0.35">
      <c r="A200" s="2" t="s">
        <v>863</v>
      </c>
      <c r="B200" s="2" t="s">
        <v>864</v>
      </c>
      <c r="C200" s="2" t="s">
        <v>2915</v>
      </c>
      <c r="D200" s="2" t="s">
        <v>358</v>
      </c>
      <c r="E200" s="2" t="s">
        <v>4</v>
      </c>
      <c r="F200" s="2" t="s">
        <v>5</v>
      </c>
      <c r="G200" s="2" t="s">
        <v>82</v>
      </c>
      <c r="H200" s="2" t="s">
        <v>333</v>
      </c>
      <c r="I200" s="2" t="s">
        <v>3393</v>
      </c>
      <c r="J200" s="3">
        <v>10.67</v>
      </c>
      <c r="K200" s="3">
        <v>8.69</v>
      </c>
      <c r="L200" s="2" t="s">
        <v>8</v>
      </c>
      <c r="M200" s="2" t="s">
        <v>9</v>
      </c>
      <c r="N200" s="3">
        <v>847</v>
      </c>
      <c r="O200" s="2" t="s">
        <v>302</v>
      </c>
      <c r="P200" s="2" t="s">
        <v>419</v>
      </c>
      <c r="Q200" s="3"/>
      <c r="R200" s="3"/>
      <c r="S200" s="2" t="s">
        <v>12</v>
      </c>
      <c r="T200" s="4">
        <v>44955</v>
      </c>
      <c r="U200" s="2" t="s">
        <v>865</v>
      </c>
      <c r="V200" s="6">
        <f>(Sales[[#This Row],[Price_retail]]-Sales[[#This Row],[Price_current]])/Sales[[#This Row],[Price_retail]]</f>
        <v>0.18556701030927839</v>
      </c>
      <c r="W200" s="3" t="str" cm="1">
        <f t="array" ref="W200">_xlfn.IFS(Sales[[#This Row],[Discount]]=0%,"No Discount",Sales[[#This Row],[Discount]]&lt;=20%,"Light",Sales[[#This Row],[Discount]]&lt;=50%,"Moderate",Sales[[#This Row],[Discount]]&lt;=80%,"High",
TRUE,"Very High")</f>
        <v>Light</v>
      </c>
    </row>
    <row r="201" spans="1:23" x14ac:dyDescent="0.35">
      <c r="A201" s="2" t="s">
        <v>866</v>
      </c>
      <c r="B201" s="2" t="s">
        <v>867</v>
      </c>
      <c r="C201" s="2" t="s">
        <v>3394</v>
      </c>
      <c r="D201" s="2" t="s">
        <v>236</v>
      </c>
      <c r="E201" s="2" t="s">
        <v>4</v>
      </c>
      <c r="F201" s="2" t="s">
        <v>17</v>
      </c>
      <c r="G201" s="2" t="s">
        <v>18</v>
      </c>
      <c r="H201" s="2" t="s">
        <v>237</v>
      </c>
      <c r="I201" s="2" t="s">
        <v>3390</v>
      </c>
      <c r="J201" s="3">
        <v>15.29</v>
      </c>
      <c r="K201" s="3">
        <v>15.29</v>
      </c>
      <c r="L201" s="2" t="s">
        <v>3391</v>
      </c>
      <c r="M201" s="2" t="s">
        <v>9</v>
      </c>
      <c r="N201" s="3">
        <v>467</v>
      </c>
      <c r="O201" s="2" t="s">
        <v>302</v>
      </c>
      <c r="P201" s="2" t="s">
        <v>37</v>
      </c>
      <c r="Q201" s="3"/>
      <c r="R201" s="3"/>
      <c r="S201" s="2" t="s">
        <v>21</v>
      </c>
      <c r="T201" s="4">
        <v>44955</v>
      </c>
      <c r="U201" s="2" t="s">
        <v>868</v>
      </c>
      <c r="V201" s="6">
        <f>(Sales[[#This Row],[Price_retail]]-Sales[[#This Row],[Price_current]])/Sales[[#This Row],[Price_retail]]</f>
        <v>0</v>
      </c>
      <c r="W201" s="3" t="str" cm="1">
        <f t="array" ref="W20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02" spans="1:23" x14ac:dyDescent="0.35">
      <c r="A202" s="2" t="s">
        <v>869</v>
      </c>
      <c r="B202" s="2" t="s">
        <v>870</v>
      </c>
      <c r="C202" s="2" t="s">
        <v>3412</v>
      </c>
      <c r="D202" s="2" t="s">
        <v>346</v>
      </c>
      <c r="E202" s="2" t="s">
        <v>4</v>
      </c>
      <c r="F202" s="2" t="s">
        <v>5</v>
      </c>
      <c r="G202" s="2" t="s">
        <v>6</v>
      </c>
      <c r="H202" s="2" t="s">
        <v>110</v>
      </c>
      <c r="I202" s="2" t="s">
        <v>3393</v>
      </c>
      <c r="J202" s="3">
        <v>47.52</v>
      </c>
      <c r="K202" s="3">
        <v>28.49</v>
      </c>
      <c r="L202" s="2" t="s">
        <v>8</v>
      </c>
      <c r="M202" s="2" t="s">
        <v>9</v>
      </c>
      <c r="N202" s="3">
        <v>457</v>
      </c>
      <c r="O202" s="2" t="s">
        <v>60</v>
      </c>
      <c r="P202" s="2" t="s">
        <v>192</v>
      </c>
      <c r="Q202" s="3"/>
      <c r="R202" s="3"/>
      <c r="S202" s="2" t="s">
        <v>21</v>
      </c>
      <c r="T202" s="4">
        <v>44955</v>
      </c>
      <c r="U202" s="2" t="s">
        <v>871</v>
      </c>
      <c r="V202" s="6">
        <f>(Sales[[#This Row],[Price_retail]]-Sales[[#This Row],[Price_current]])/Sales[[#This Row],[Price_retail]]</f>
        <v>0.40046296296296302</v>
      </c>
      <c r="W202" s="3" t="str" cm="1">
        <f t="array" ref="W20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3" spans="1:23" x14ac:dyDescent="0.35">
      <c r="A203" s="2" t="s">
        <v>872</v>
      </c>
      <c r="B203" s="2" t="s">
        <v>873</v>
      </c>
      <c r="C203" s="2" t="s">
        <v>242</v>
      </c>
      <c r="D203" s="2" t="s">
        <v>338</v>
      </c>
      <c r="E203" s="2" t="s">
        <v>4</v>
      </c>
      <c r="F203" s="2" t="s">
        <v>17</v>
      </c>
      <c r="G203" s="2" t="s">
        <v>27</v>
      </c>
      <c r="H203" s="2" t="s">
        <v>90</v>
      </c>
      <c r="I203" s="2" t="s">
        <v>3390</v>
      </c>
      <c r="J203" s="3">
        <v>10.41</v>
      </c>
      <c r="K203" s="3">
        <v>5.62</v>
      </c>
      <c r="L203" s="2" t="s">
        <v>8</v>
      </c>
      <c r="M203" s="2" t="s">
        <v>9</v>
      </c>
      <c r="N203" s="3">
        <v>597</v>
      </c>
      <c r="O203" s="2" t="s">
        <v>191</v>
      </c>
      <c r="P203" s="2" t="s">
        <v>238</v>
      </c>
      <c r="Q203" s="3"/>
      <c r="R203" s="3"/>
      <c r="S203" s="2" t="s">
        <v>21</v>
      </c>
      <c r="T203" s="4">
        <v>44955</v>
      </c>
      <c r="U203" s="2" t="s">
        <v>874</v>
      </c>
      <c r="V203" s="6">
        <f>(Sales[[#This Row],[Price_retail]]-Sales[[#This Row],[Price_current]])/Sales[[#This Row],[Price_retail]]</f>
        <v>0.46013448607108548</v>
      </c>
      <c r="W203" s="3" t="str" cm="1">
        <f t="array" ref="W20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4" spans="1:23" x14ac:dyDescent="0.35">
      <c r="A204" s="2" t="s">
        <v>875</v>
      </c>
      <c r="B204" s="2" t="s">
        <v>876</v>
      </c>
      <c r="C204" s="2" t="s">
        <v>3413</v>
      </c>
      <c r="D204" s="2" t="s">
        <v>804</v>
      </c>
      <c r="E204" s="2" t="s">
        <v>4</v>
      </c>
      <c r="F204" s="2" t="s">
        <v>5</v>
      </c>
      <c r="G204" s="2" t="s">
        <v>121</v>
      </c>
      <c r="H204" s="2" t="s">
        <v>19</v>
      </c>
      <c r="I204" s="2" t="s">
        <v>3390</v>
      </c>
      <c r="J204" s="3">
        <v>8.99</v>
      </c>
      <c r="K204" s="3">
        <v>5.81</v>
      </c>
      <c r="L204" s="2" t="s">
        <v>8</v>
      </c>
      <c r="M204" s="2" t="s">
        <v>9</v>
      </c>
      <c r="N204" s="3">
        <v>795</v>
      </c>
      <c r="O204" s="2" t="s">
        <v>267</v>
      </c>
      <c r="P204" s="2" t="s">
        <v>53</v>
      </c>
      <c r="Q204" s="3"/>
      <c r="R204" s="3"/>
      <c r="S204" s="2" t="s">
        <v>12</v>
      </c>
      <c r="T204" s="4">
        <v>44955</v>
      </c>
      <c r="U204" s="2" t="s">
        <v>877</v>
      </c>
      <c r="V204" s="6">
        <f>(Sales[[#This Row],[Price_retail]]-Sales[[#This Row],[Price_current]])/Sales[[#This Row],[Price_retail]]</f>
        <v>0.35372636262513912</v>
      </c>
      <c r="W204" s="3" t="str" cm="1">
        <f t="array" ref="W20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5" spans="1:23" x14ac:dyDescent="0.35">
      <c r="A205" s="2" t="s">
        <v>878</v>
      </c>
      <c r="B205" s="2" t="s">
        <v>879</v>
      </c>
      <c r="C205" s="2" t="s">
        <v>65</v>
      </c>
      <c r="D205" s="2" t="s">
        <v>734</v>
      </c>
      <c r="E205" s="2" t="s">
        <v>4</v>
      </c>
      <c r="F205" s="2" t="s">
        <v>5</v>
      </c>
      <c r="G205" s="2" t="s">
        <v>82</v>
      </c>
      <c r="H205" s="2" t="s">
        <v>19</v>
      </c>
      <c r="I205" s="2" t="s">
        <v>3393</v>
      </c>
      <c r="J205" s="3">
        <v>33.47</v>
      </c>
      <c r="K205" s="3">
        <v>25.71</v>
      </c>
      <c r="L205" s="2" t="s">
        <v>8</v>
      </c>
      <c r="M205" s="2" t="s">
        <v>9</v>
      </c>
      <c r="N205" s="3">
        <v>573</v>
      </c>
      <c r="O205" s="2" t="s">
        <v>98</v>
      </c>
      <c r="P205" s="2" t="s">
        <v>3392</v>
      </c>
      <c r="Q205" s="3"/>
      <c r="R205" s="3"/>
      <c r="S205" s="2" t="s">
        <v>21</v>
      </c>
      <c r="T205" s="4">
        <v>44955</v>
      </c>
      <c r="U205" s="2" t="s">
        <v>880</v>
      </c>
      <c r="V205" s="6">
        <f>(Sales[[#This Row],[Price_retail]]-Sales[[#This Row],[Price_current]])/Sales[[#This Row],[Price_retail]]</f>
        <v>0.23184941738870626</v>
      </c>
      <c r="W205" s="3" t="str" cm="1">
        <f t="array" ref="W20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6" spans="1:23" x14ac:dyDescent="0.35">
      <c r="A206" s="2" t="s">
        <v>881</v>
      </c>
      <c r="B206" s="2" t="s">
        <v>882</v>
      </c>
      <c r="C206" s="2" t="s">
        <v>65</v>
      </c>
      <c r="D206" s="2" t="s">
        <v>58</v>
      </c>
      <c r="E206" s="2" t="s">
        <v>4</v>
      </c>
      <c r="F206" s="2" t="s">
        <v>17</v>
      </c>
      <c r="G206" s="2" t="s">
        <v>18</v>
      </c>
      <c r="H206" s="2" t="s">
        <v>59</v>
      </c>
      <c r="I206" s="2" t="s">
        <v>3390</v>
      </c>
      <c r="J206" s="3">
        <v>29.23</v>
      </c>
      <c r="K206" s="3">
        <v>16.36</v>
      </c>
      <c r="L206" s="2" t="s">
        <v>8</v>
      </c>
      <c r="M206" s="2" t="s">
        <v>9</v>
      </c>
      <c r="N206" s="3">
        <v>484</v>
      </c>
      <c r="O206" s="2" t="s">
        <v>69</v>
      </c>
      <c r="P206" s="2" t="s">
        <v>61</v>
      </c>
      <c r="Q206" s="3"/>
      <c r="R206" s="3"/>
      <c r="S206" s="2"/>
      <c r="T206" s="4">
        <v>44955</v>
      </c>
      <c r="U206" s="2" t="s">
        <v>883</v>
      </c>
      <c r="V206" s="6">
        <f>(Sales[[#This Row],[Price_retail]]-Sales[[#This Row],[Price_current]])/Sales[[#This Row],[Price_retail]]</f>
        <v>0.44030106055422513</v>
      </c>
      <c r="W206" s="3" t="str" cm="1">
        <f t="array" ref="W20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7" spans="1:23" x14ac:dyDescent="0.35">
      <c r="A207" s="2" t="s">
        <v>884</v>
      </c>
      <c r="B207" s="2" t="s">
        <v>885</v>
      </c>
      <c r="C207" s="2" t="s">
        <v>886</v>
      </c>
      <c r="D207" s="2" t="s">
        <v>887</v>
      </c>
      <c r="E207" s="2" t="s">
        <v>4</v>
      </c>
      <c r="F207" s="2" t="s">
        <v>5</v>
      </c>
      <c r="G207" s="2" t="s">
        <v>82</v>
      </c>
      <c r="H207" s="2" t="s">
        <v>185</v>
      </c>
      <c r="I207" s="2" t="s">
        <v>3395</v>
      </c>
      <c r="J207" s="3">
        <v>12.17</v>
      </c>
      <c r="K207" s="3">
        <v>7.99</v>
      </c>
      <c r="L207" s="2" t="s">
        <v>8</v>
      </c>
      <c r="M207" s="2" t="s">
        <v>9</v>
      </c>
      <c r="N207" s="3">
        <v>972</v>
      </c>
      <c r="O207" s="2" t="s">
        <v>3392</v>
      </c>
      <c r="P207" s="2" t="s">
        <v>70</v>
      </c>
      <c r="Q207" s="3"/>
      <c r="R207" s="3"/>
      <c r="S207" s="2" t="s">
        <v>21</v>
      </c>
      <c r="T207" s="4">
        <v>44955</v>
      </c>
      <c r="U207" s="2" t="s">
        <v>888</v>
      </c>
      <c r="V207" s="6">
        <f>(Sales[[#This Row],[Price_retail]]-Sales[[#This Row],[Price_current]])/Sales[[#This Row],[Price_retail]]</f>
        <v>0.34346754313886602</v>
      </c>
      <c r="W207" s="3" t="str" cm="1">
        <f t="array" ref="W20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08" spans="1:23" x14ac:dyDescent="0.35">
      <c r="A208" s="2" t="s">
        <v>889</v>
      </c>
      <c r="B208" s="2" t="s">
        <v>890</v>
      </c>
      <c r="C208" s="2" t="s">
        <v>132</v>
      </c>
      <c r="D208" s="2" t="s">
        <v>711</v>
      </c>
      <c r="E208" s="2" t="s">
        <v>4</v>
      </c>
      <c r="F208" s="2" t="s">
        <v>17</v>
      </c>
      <c r="G208" s="2" t="s">
        <v>27</v>
      </c>
      <c r="H208" s="2" t="s">
        <v>83</v>
      </c>
      <c r="I208" s="2" t="s">
        <v>3393</v>
      </c>
      <c r="J208" s="3">
        <v>20.55</v>
      </c>
      <c r="K208" s="3">
        <v>20.55</v>
      </c>
      <c r="L208" s="2" t="s">
        <v>3391</v>
      </c>
      <c r="M208" s="2" t="s">
        <v>9</v>
      </c>
      <c r="N208" s="3">
        <v>356</v>
      </c>
      <c r="O208" s="2" t="s">
        <v>20</v>
      </c>
      <c r="P208" s="2" t="s">
        <v>128</v>
      </c>
      <c r="Q208" s="3"/>
      <c r="R208" s="3"/>
      <c r="S208" s="2" t="s">
        <v>21</v>
      </c>
      <c r="T208" s="4">
        <v>44955</v>
      </c>
      <c r="U208" s="2" t="s">
        <v>891</v>
      </c>
      <c r="V208" s="6">
        <f>(Sales[[#This Row],[Price_retail]]-Sales[[#This Row],[Price_current]])/Sales[[#This Row],[Price_retail]]</f>
        <v>0</v>
      </c>
      <c r="W208" s="3" t="str" cm="1">
        <f t="array" ref="W20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09" spans="1:23" x14ac:dyDescent="0.35">
      <c r="A209" s="2" t="s">
        <v>892</v>
      </c>
      <c r="B209" s="2" t="s">
        <v>893</v>
      </c>
      <c r="C209" s="2" t="s">
        <v>102</v>
      </c>
      <c r="D209" s="2" t="s">
        <v>894</v>
      </c>
      <c r="E209" s="2" t="s">
        <v>4</v>
      </c>
      <c r="F209" s="2" t="s">
        <v>5</v>
      </c>
      <c r="G209" s="2" t="s">
        <v>121</v>
      </c>
      <c r="H209" s="2" t="s">
        <v>145</v>
      </c>
      <c r="I209" s="2" t="s">
        <v>3390</v>
      </c>
      <c r="J209" s="3">
        <v>8.99</v>
      </c>
      <c r="K209" s="3">
        <v>7.83</v>
      </c>
      <c r="L209" s="2" t="s">
        <v>8</v>
      </c>
      <c r="M209" s="2" t="s">
        <v>9</v>
      </c>
      <c r="N209" s="3">
        <v>692</v>
      </c>
      <c r="O209" s="2" t="s">
        <v>91</v>
      </c>
      <c r="P209" s="2" t="s">
        <v>3392</v>
      </c>
      <c r="Q209" s="3"/>
      <c r="R209" s="3"/>
      <c r="S209" s="2" t="s">
        <v>21</v>
      </c>
      <c r="T209" s="4">
        <v>44955</v>
      </c>
      <c r="U209" s="2" t="s">
        <v>895</v>
      </c>
      <c r="V209" s="6">
        <f>(Sales[[#This Row],[Price_retail]]-Sales[[#This Row],[Price_current]])/Sales[[#This Row],[Price_retail]]</f>
        <v>0.12903225806451615</v>
      </c>
      <c r="W209" s="3" t="str" cm="1">
        <f t="array" ref="W209">_xlfn.IFS(Sales[[#This Row],[Discount]]=0%,"No Discount",Sales[[#This Row],[Discount]]&lt;=20%,"Light",Sales[[#This Row],[Discount]]&lt;=50%,"Moderate",Sales[[#This Row],[Discount]]&lt;=80%,"High",
TRUE,"Very High")</f>
        <v>Light</v>
      </c>
    </row>
    <row r="210" spans="1:23" x14ac:dyDescent="0.35">
      <c r="A210" s="2" t="s">
        <v>896</v>
      </c>
      <c r="B210" s="2" t="s">
        <v>897</v>
      </c>
      <c r="C210" s="2" t="s">
        <v>565</v>
      </c>
      <c r="D210" s="2" t="s">
        <v>640</v>
      </c>
      <c r="E210" s="2" t="s">
        <v>4</v>
      </c>
      <c r="F210" s="2" t="s">
        <v>17</v>
      </c>
      <c r="G210" s="2" t="s">
        <v>67</v>
      </c>
      <c r="H210" s="2" t="s">
        <v>139</v>
      </c>
      <c r="I210" s="2" t="s">
        <v>3390</v>
      </c>
      <c r="J210" s="3">
        <v>16.43</v>
      </c>
      <c r="K210" s="3">
        <v>16.43</v>
      </c>
      <c r="L210" s="2" t="s">
        <v>3391</v>
      </c>
      <c r="M210" s="2" t="s">
        <v>9</v>
      </c>
      <c r="N210" s="3">
        <v>616</v>
      </c>
      <c r="O210" s="2" t="s">
        <v>664</v>
      </c>
      <c r="P210" s="2" t="s">
        <v>128</v>
      </c>
      <c r="Q210" s="3"/>
      <c r="R210" s="3"/>
      <c r="S210" s="2" t="s">
        <v>21</v>
      </c>
      <c r="T210" s="4">
        <v>44955</v>
      </c>
      <c r="U210" s="2" t="s">
        <v>898</v>
      </c>
      <c r="V210" s="6">
        <f>(Sales[[#This Row],[Price_retail]]-Sales[[#This Row],[Price_current]])/Sales[[#This Row],[Price_retail]]</f>
        <v>0</v>
      </c>
      <c r="W210" s="3" t="str" cm="1">
        <f t="array" ref="W2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11" spans="1:23" x14ac:dyDescent="0.35">
      <c r="A211" s="2" t="s">
        <v>899</v>
      </c>
      <c r="B211" s="2" t="s">
        <v>900</v>
      </c>
      <c r="C211" s="2" t="s">
        <v>901</v>
      </c>
      <c r="D211" s="2" t="s">
        <v>501</v>
      </c>
      <c r="E211" s="2" t="s">
        <v>4</v>
      </c>
      <c r="F211" s="2" t="s">
        <v>17</v>
      </c>
      <c r="G211" s="2" t="s">
        <v>18</v>
      </c>
      <c r="H211" s="2" t="s">
        <v>83</v>
      </c>
      <c r="I211" s="2" t="s">
        <v>3390</v>
      </c>
      <c r="J211" s="3">
        <v>29.7</v>
      </c>
      <c r="K211" s="3">
        <v>29.7</v>
      </c>
      <c r="L211" s="2" t="s">
        <v>3391</v>
      </c>
      <c r="M211" s="2" t="s">
        <v>9</v>
      </c>
      <c r="N211" s="3">
        <v>828</v>
      </c>
      <c r="O211" s="2" t="s">
        <v>60</v>
      </c>
      <c r="P211" s="2" t="s">
        <v>186</v>
      </c>
      <c r="Q211" s="3"/>
      <c r="R211" s="3"/>
      <c r="S211" s="2" t="s">
        <v>21</v>
      </c>
      <c r="T211" s="4">
        <v>44955</v>
      </c>
      <c r="U211" s="2" t="s">
        <v>902</v>
      </c>
      <c r="V211" s="6">
        <f>(Sales[[#This Row],[Price_retail]]-Sales[[#This Row],[Price_current]])/Sales[[#This Row],[Price_retail]]</f>
        <v>0</v>
      </c>
      <c r="W211" s="3" t="str" cm="1">
        <f t="array" ref="W21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12" spans="1:23" x14ac:dyDescent="0.35">
      <c r="A212" s="2" t="s">
        <v>903</v>
      </c>
      <c r="B212" s="2" t="s">
        <v>904</v>
      </c>
      <c r="C212" s="2" t="s">
        <v>995</v>
      </c>
      <c r="D212" s="2" t="s">
        <v>905</v>
      </c>
      <c r="E212" s="2" t="s">
        <v>4</v>
      </c>
      <c r="F212" s="2" t="s">
        <v>5</v>
      </c>
      <c r="G212" s="2" t="s">
        <v>82</v>
      </c>
      <c r="H212" s="2" t="s">
        <v>28</v>
      </c>
      <c r="I212" s="2" t="s">
        <v>3393</v>
      </c>
      <c r="J212" s="3">
        <v>11.61</v>
      </c>
      <c r="K212" s="3">
        <v>11.61</v>
      </c>
      <c r="L212" s="2" t="s">
        <v>3391</v>
      </c>
      <c r="M212" s="2" t="s">
        <v>9</v>
      </c>
      <c r="N212" s="3">
        <v>460</v>
      </c>
      <c r="O212" s="2" t="s">
        <v>91</v>
      </c>
      <c r="P212" s="2" t="s">
        <v>163</v>
      </c>
      <c r="Q212" s="3"/>
      <c r="R212" s="3"/>
      <c r="S212" s="2" t="s">
        <v>21</v>
      </c>
      <c r="T212" s="4">
        <v>44955</v>
      </c>
      <c r="U212" s="2" t="s">
        <v>906</v>
      </c>
      <c r="V212" s="6">
        <f>(Sales[[#This Row],[Price_retail]]-Sales[[#This Row],[Price_current]])/Sales[[#This Row],[Price_retail]]</f>
        <v>0</v>
      </c>
      <c r="W212" s="3" t="str" cm="1">
        <f t="array" ref="W21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13" spans="1:23" x14ac:dyDescent="0.35">
      <c r="A213" s="2" t="s">
        <v>907</v>
      </c>
      <c r="B213" s="2" t="s">
        <v>908</v>
      </c>
      <c r="C213" s="2" t="s">
        <v>65</v>
      </c>
      <c r="D213" s="2" t="s">
        <v>909</v>
      </c>
      <c r="E213" s="2" t="s">
        <v>4</v>
      </c>
      <c r="F213" s="2" t="s">
        <v>17</v>
      </c>
      <c r="G213" s="2" t="s">
        <v>67</v>
      </c>
      <c r="H213" s="2" t="s">
        <v>110</v>
      </c>
      <c r="I213" s="2" t="s">
        <v>3390</v>
      </c>
      <c r="J213" s="3">
        <v>25.34</v>
      </c>
      <c r="K213" s="3">
        <v>19.7</v>
      </c>
      <c r="L213" s="2" t="s">
        <v>8</v>
      </c>
      <c r="M213" s="2" t="s">
        <v>9</v>
      </c>
      <c r="N213" s="3">
        <v>365</v>
      </c>
      <c r="O213" s="2" t="s">
        <v>104</v>
      </c>
      <c r="P213" s="2" t="s">
        <v>221</v>
      </c>
      <c r="Q213" s="3"/>
      <c r="R213" s="3"/>
      <c r="S213" s="2" t="s">
        <v>12</v>
      </c>
      <c r="T213" s="4">
        <v>44955</v>
      </c>
      <c r="U213" s="2" t="s">
        <v>910</v>
      </c>
      <c r="V213" s="6">
        <f>(Sales[[#This Row],[Price_retail]]-Sales[[#This Row],[Price_current]])/Sales[[#This Row],[Price_retail]]</f>
        <v>0.22257300710339387</v>
      </c>
      <c r="W213" s="3" t="str" cm="1">
        <f t="array" ref="W21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14" spans="1:23" x14ac:dyDescent="0.35">
      <c r="A214" s="2" t="s">
        <v>911</v>
      </c>
      <c r="B214" s="2" t="s">
        <v>912</v>
      </c>
      <c r="C214" s="2" t="s">
        <v>242</v>
      </c>
      <c r="D214" s="2" t="s">
        <v>913</v>
      </c>
      <c r="E214" s="2" t="s">
        <v>4</v>
      </c>
      <c r="F214" s="2" t="s">
        <v>17</v>
      </c>
      <c r="G214" s="2" t="s">
        <v>18</v>
      </c>
      <c r="H214" s="2" t="s">
        <v>51</v>
      </c>
      <c r="I214" s="2" t="s">
        <v>3389</v>
      </c>
      <c r="J214" s="3">
        <v>20.190000000000001</v>
      </c>
      <c r="K214" s="3">
        <v>20.190000000000001</v>
      </c>
      <c r="L214" s="2" t="s">
        <v>3391</v>
      </c>
      <c r="M214" s="2" t="s">
        <v>9</v>
      </c>
      <c r="N214" s="3">
        <v>666</v>
      </c>
      <c r="O214" s="2" t="s">
        <v>91</v>
      </c>
      <c r="P214" s="2" t="s">
        <v>53</v>
      </c>
      <c r="Q214" s="3"/>
      <c r="R214" s="3"/>
      <c r="S214" s="2" t="s">
        <v>21</v>
      </c>
      <c r="T214" s="4">
        <v>44955</v>
      </c>
      <c r="U214" s="2" t="s">
        <v>914</v>
      </c>
      <c r="V214" s="6">
        <f>(Sales[[#This Row],[Price_retail]]-Sales[[#This Row],[Price_current]])/Sales[[#This Row],[Price_retail]]</f>
        <v>0</v>
      </c>
      <c r="W214" s="3" t="str" cm="1">
        <f t="array" ref="W2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15" spans="1:23" x14ac:dyDescent="0.35">
      <c r="A215" s="2" t="s">
        <v>915</v>
      </c>
      <c r="B215" s="2" t="s">
        <v>916</v>
      </c>
      <c r="C215" s="2" t="s">
        <v>505</v>
      </c>
      <c r="D215" s="2" t="s">
        <v>686</v>
      </c>
      <c r="E215" s="2" t="s">
        <v>4</v>
      </c>
      <c r="F215" s="2" t="s">
        <v>5</v>
      </c>
      <c r="G215" s="2" t="s">
        <v>6</v>
      </c>
      <c r="H215" s="2"/>
      <c r="I215" s="2" t="s">
        <v>3393</v>
      </c>
      <c r="J215" s="3">
        <v>21.49</v>
      </c>
      <c r="K215" s="3">
        <v>15.76</v>
      </c>
      <c r="L215" s="2" t="s">
        <v>8</v>
      </c>
      <c r="M215" s="2" t="s">
        <v>9</v>
      </c>
      <c r="N215" s="3">
        <v>465</v>
      </c>
      <c r="O215" s="2" t="s">
        <v>75</v>
      </c>
      <c r="P215" s="2" t="s">
        <v>92</v>
      </c>
      <c r="Q215" s="3"/>
      <c r="R215" s="3"/>
      <c r="S215" s="2" t="s">
        <v>21</v>
      </c>
      <c r="T215" s="4">
        <v>44955</v>
      </c>
      <c r="U215" s="2" t="s">
        <v>917</v>
      </c>
      <c r="V215" s="6">
        <f>(Sales[[#This Row],[Price_retail]]-Sales[[#This Row],[Price_current]])/Sales[[#This Row],[Price_retail]]</f>
        <v>0.26663564448580729</v>
      </c>
      <c r="W215" s="3" t="str" cm="1">
        <f t="array" ref="W21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16" spans="1:23" x14ac:dyDescent="0.35">
      <c r="A216" s="2" t="s">
        <v>918</v>
      </c>
      <c r="B216" s="2" t="s">
        <v>919</v>
      </c>
      <c r="C216" s="2" t="s">
        <v>3394</v>
      </c>
      <c r="D216" s="2" t="s">
        <v>138</v>
      </c>
      <c r="E216" s="2" t="s">
        <v>4</v>
      </c>
      <c r="F216" s="2" t="s">
        <v>5</v>
      </c>
      <c r="G216" s="2" t="s">
        <v>82</v>
      </c>
      <c r="H216" s="2" t="s">
        <v>139</v>
      </c>
      <c r="I216" s="2" t="s">
        <v>3395</v>
      </c>
      <c r="J216" s="3">
        <v>11.98</v>
      </c>
      <c r="K216" s="3">
        <v>5.86</v>
      </c>
      <c r="L216" s="2" t="s">
        <v>8</v>
      </c>
      <c r="M216" s="2" t="s">
        <v>9</v>
      </c>
      <c r="N216" s="3">
        <v>178</v>
      </c>
      <c r="O216" s="2" t="s">
        <v>10</v>
      </c>
      <c r="P216" s="2" t="s">
        <v>186</v>
      </c>
      <c r="Q216" s="3"/>
      <c r="R216" s="3"/>
      <c r="S216" s="2" t="s">
        <v>21</v>
      </c>
      <c r="T216" s="4">
        <v>44955</v>
      </c>
      <c r="U216" s="2" t="s">
        <v>920</v>
      </c>
      <c r="V216" s="6">
        <f>(Sales[[#This Row],[Price_retail]]-Sales[[#This Row],[Price_current]])/Sales[[#This Row],[Price_retail]]</f>
        <v>0.51085141903171949</v>
      </c>
      <c r="W216" s="3" t="str" cm="1">
        <f t="array" ref="W216">_xlfn.IFS(Sales[[#This Row],[Discount]]=0%,"No Discount",Sales[[#This Row],[Discount]]&lt;=20%,"Light",Sales[[#This Row],[Discount]]&lt;=50%,"Moderate",Sales[[#This Row],[Discount]]&lt;=80%,"High",
TRUE,"Very High")</f>
        <v>High</v>
      </c>
    </row>
    <row r="217" spans="1:23" x14ac:dyDescent="0.35">
      <c r="A217" s="2" t="s">
        <v>921</v>
      </c>
      <c r="B217" s="2" t="s">
        <v>922</v>
      </c>
      <c r="C217" s="2" t="s">
        <v>65</v>
      </c>
      <c r="D217" s="2" t="s">
        <v>511</v>
      </c>
      <c r="E217" s="2" t="s">
        <v>4</v>
      </c>
      <c r="F217" s="2" t="s">
        <v>5</v>
      </c>
      <c r="G217" s="2" t="s">
        <v>6</v>
      </c>
      <c r="H217" s="2" t="s">
        <v>7</v>
      </c>
      <c r="I217" s="2" t="s">
        <v>3395</v>
      </c>
      <c r="J217" s="3">
        <v>12.87</v>
      </c>
      <c r="K217" s="3">
        <v>12.87</v>
      </c>
      <c r="L217" s="2" t="s">
        <v>3391</v>
      </c>
      <c r="M217" s="2" t="s">
        <v>9</v>
      </c>
      <c r="N217" s="3">
        <v>2</v>
      </c>
      <c r="O217" s="2" t="s">
        <v>3392</v>
      </c>
      <c r="P217" s="2" t="s">
        <v>53</v>
      </c>
      <c r="Q217" s="3"/>
      <c r="R217" s="3"/>
      <c r="S217" s="2" t="s">
        <v>21</v>
      </c>
      <c r="T217" s="4">
        <v>44955</v>
      </c>
      <c r="U217" s="2" t="s">
        <v>923</v>
      </c>
      <c r="V217" s="6">
        <f>(Sales[[#This Row],[Price_retail]]-Sales[[#This Row],[Price_current]])/Sales[[#This Row],[Price_retail]]</f>
        <v>0</v>
      </c>
      <c r="W217" s="3" t="str" cm="1">
        <f t="array" ref="W21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18" spans="1:23" x14ac:dyDescent="0.35">
      <c r="A218" s="2" t="s">
        <v>924</v>
      </c>
      <c r="B218" s="2" t="s">
        <v>925</v>
      </c>
      <c r="C218" s="2" t="s">
        <v>41</v>
      </c>
      <c r="D218" s="2" t="s">
        <v>153</v>
      </c>
      <c r="E218" s="2" t="s">
        <v>4</v>
      </c>
      <c r="F218" s="2" t="s">
        <v>17</v>
      </c>
      <c r="G218" s="2" t="s">
        <v>50</v>
      </c>
      <c r="H218" s="2" t="s">
        <v>28</v>
      </c>
      <c r="I218" s="2" t="s">
        <v>3393</v>
      </c>
      <c r="J218" s="3">
        <v>8.99</v>
      </c>
      <c r="K218" s="3">
        <v>4.59</v>
      </c>
      <c r="L218" s="2" t="s">
        <v>8</v>
      </c>
      <c r="M218" s="2" t="s">
        <v>9</v>
      </c>
      <c r="N218" s="3">
        <v>779</v>
      </c>
      <c r="O218" s="2" t="s">
        <v>3392</v>
      </c>
      <c r="P218" s="2" t="s">
        <v>221</v>
      </c>
      <c r="Q218" s="3"/>
      <c r="R218" s="3"/>
      <c r="S218" s="2" t="s">
        <v>12</v>
      </c>
      <c r="T218" s="4">
        <v>44955</v>
      </c>
      <c r="U218" s="2" t="s">
        <v>926</v>
      </c>
      <c r="V218" s="6">
        <f>(Sales[[#This Row],[Price_retail]]-Sales[[#This Row],[Price_current]])/Sales[[#This Row],[Price_retail]]</f>
        <v>0.48943270300333708</v>
      </c>
      <c r="W218" s="3" t="str" cm="1">
        <f t="array" ref="W21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19" spans="1:23" x14ac:dyDescent="0.35">
      <c r="A219" s="2" t="s">
        <v>927</v>
      </c>
      <c r="B219" s="2" t="s">
        <v>928</v>
      </c>
      <c r="C219" s="2" t="s">
        <v>3433</v>
      </c>
      <c r="D219" s="2" t="s">
        <v>929</v>
      </c>
      <c r="E219" s="2" t="s">
        <v>4</v>
      </c>
      <c r="F219" s="2" t="s">
        <v>5</v>
      </c>
      <c r="G219" s="2" t="s">
        <v>121</v>
      </c>
      <c r="H219" s="2" t="s">
        <v>51</v>
      </c>
      <c r="I219" s="2" t="s">
        <v>3390</v>
      </c>
      <c r="J219" s="3">
        <v>11.45</v>
      </c>
      <c r="K219" s="3">
        <v>5.85</v>
      </c>
      <c r="L219" s="2" t="s">
        <v>8</v>
      </c>
      <c r="M219" s="2" t="s">
        <v>9</v>
      </c>
      <c r="N219" s="3">
        <v>80</v>
      </c>
      <c r="O219" s="2" t="s">
        <v>302</v>
      </c>
      <c r="P219" s="2" t="s">
        <v>53</v>
      </c>
      <c r="Q219" s="3"/>
      <c r="R219" s="3"/>
      <c r="S219" s="2" t="s">
        <v>21</v>
      </c>
      <c r="T219" s="4">
        <v>44955</v>
      </c>
      <c r="U219" s="2" t="s">
        <v>930</v>
      </c>
      <c r="V219" s="6">
        <f>(Sales[[#This Row],[Price_retail]]-Sales[[#This Row],[Price_current]])/Sales[[#This Row],[Price_retail]]</f>
        <v>0.48908296943231439</v>
      </c>
      <c r="W219" s="3" t="str" cm="1">
        <f t="array" ref="W21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20" spans="1:23" x14ac:dyDescent="0.35">
      <c r="A220" s="2" t="s">
        <v>931</v>
      </c>
      <c r="B220" s="2" t="s">
        <v>932</v>
      </c>
      <c r="C220" s="2" t="s">
        <v>65</v>
      </c>
      <c r="D220" s="2" t="s">
        <v>769</v>
      </c>
      <c r="E220" s="2" t="s">
        <v>4</v>
      </c>
      <c r="F220" s="2" t="s">
        <v>17</v>
      </c>
      <c r="G220" s="2" t="s">
        <v>18</v>
      </c>
      <c r="H220" s="2" t="s">
        <v>35</v>
      </c>
      <c r="I220" s="2" t="s">
        <v>3390</v>
      </c>
      <c r="J220" s="3">
        <v>29.66</v>
      </c>
      <c r="K220" s="3">
        <v>29.66</v>
      </c>
      <c r="L220" s="2" t="s">
        <v>3391</v>
      </c>
      <c r="M220" s="2" t="s">
        <v>9</v>
      </c>
      <c r="N220" s="3">
        <v>919</v>
      </c>
      <c r="O220" s="2" t="s">
        <v>3392</v>
      </c>
      <c r="P220" s="2" t="s">
        <v>238</v>
      </c>
      <c r="Q220" s="3"/>
      <c r="R220" s="3"/>
      <c r="S220" s="2" t="s">
        <v>21</v>
      </c>
      <c r="T220" s="4">
        <v>44955</v>
      </c>
      <c r="U220" s="2" t="s">
        <v>933</v>
      </c>
      <c r="V220" s="6">
        <f>(Sales[[#This Row],[Price_retail]]-Sales[[#This Row],[Price_current]])/Sales[[#This Row],[Price_retail]]</f>
        <v>0</v>
      </c>
      <c r="W220" s="3" t="str" cm="1">
        <f t="array" ref="W22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21" spans="1:23" x14ac:dyDescent="0.35">
      <c r="A221" s="2" t="s">
        <v>934</v>
      </c>
      <c r="B221" s="2" t="s">
        <v>935</v>
      </c>
      <c r="C221" s="2" t="s">
        <v>242</v>
      </c>
      <c r="D221" s="2" t="s">
        <v>506</v>
      </c>
      <c r="E221" s="2" t="s">
        <v>4</v>
      </c>
      <c r="F221" s="2" t="s">
        <v>5</v>
      </c>
      <c r="G221" s="2" t="s">
        <v>82</v>
      </c>
      <c r="H221" s="2" t="s">
        <v>237</v>
      </c>
      <c r="I221" s="2" t="s">
        <v>3393</v>
      </c>
      <c r="J221" s="3">
        <v>9.3800000000000008</v>
      </c>
      <c r="K221" s="3">
        <v>6.02</v>
      </c>
      <c r="L221" s="2" t="s">
        <v>8</v>
      </c>
      <c r="M221" s="2" t="s">
        <v>9</v>
      </c>
      <c r="N221" s="3">
        <v>346</v>
      </c>
      <c r="O221" s="2" t="s">
        <v>104</v>
      </c>
      <c r="P221" s="2" t="s">
        <v>3392</v>
      </c>
      <c r="Q221" s="3"/>
      <c r="R221" s="3"/>
      <c r="S221" s="2" t="s">
        <v>21</v>
      </c>
      <c r="T221" s="4">
        <v>44955</v>
      </c>
      <c r="U221" s="2" t="s">
        <v>936</v>
      </c>
      <c r="V221" s="6">
        <f>(Sales[[#This Row],[Price_retail]]-Sales[[#This Row],[Price_current]])/Sales[[#This Row],[Price_retail]]</f>
        <v>0.35820895522388069</v>
      </c>
      <c r="W221" s="3" t="str" cm="1">
        <f t="array" ref="W22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22" spans="1:23" x14ac:dyDescent="0.35">
      <c r="A222" s="2" t="s">
        <v>937</v>
      </c>
      <c r="B222" s="2" t="s">
        <v>938</v>
      </c>
      <c r="C222" s="2" t="s">
        <v>65</v>
      </c>
      <c r="D222" s="2" t="s">
        <v>939</v>
      </c>
      <c r="E222" s="2" t="s">
        <v>4</v>
      </c>
      <c r="F222" s="2" t="s">
        <v>5</v>
      </c>
      <c r="G222" s="2" t="s">
        <v>121</v>
      </c>
      <c r="H222" s="2" t="s">
        <v>134</v>
      </c>
      <c r="I222" s="2" t="s">
        <v>3393</v>
      </c>
      <c r="J222" s="3">
        <v>10.18</v>
      </c>
      <c r="K222" s="3">
        <v>5.7</v>
      </c>
      <c r="L222" s="2" t="s">
        <v>8</v>
      </c>
      <c r="M222" s="2" t="s">
        <v>9</v>
      </c>
      <c r="N222" s="3">
        <v>576</v>
      </c>
      <c r="O222" s="2" t="s">
        <v>302</v>
      </c>
      <c r="P222" s="2" t="s">
        <v>128</v>
      </c>
      <c r="Q222" s="3"/>
      <c r="R222" s="3"/>
      <c r="S222" s="2" t="s">
        <v>21</v>
      </c>
      <c r="T222" s="4">
        <v>44955</v>
      </c>
      <c r="U222" s="2" t="s">
        <v>940</v>
      </c>
      <c r="V222" s="6">
        <f>(Sales[[#This Row],[Price_retail]]-Sales[[#This Row],[Price_current]])/Sales[[#This Row],[Price_retail]]</f>
        <v>0.44007858546168954</v>
      </c>
      <c r="W222" s="3" t="str" cm="1">
        <f t="array" ref="W22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23" spans="1:23" x14ac:dyDescent="0.35">
      <c r="A223" s="2" t="s">
        <v>941</v>
      </c>
      <c r="B223" s="2" t="s">
        <v>942</v>
      </c>
      <c r="C223" s="2" t="s">
        <v>367</v>
      </c>
      <c r="D223" s="2" t="s">
        <v>229</v>
      </c>
      <c r="E223" s="2" t="s">
        <v>4</v>
      </c>
      <c r="F223" s="2" t="s">
        <v>5</v>
      </c>
      <c r="G223" s="2" t="s">
        <v>121</v>
      </c>
      <c r="H223" s="2" t="s">
        <v>168</v>
      </c>
      <c r="I223" s="2" t="s">
        <v>3393</v>
      </c>
      <c r="J223" s="3">
        <v>22.24</v>
      </c>
      <c r="K223" s="3">
        <v>17.95</v>
      </c>
      <c r="L223" s="2" t="s">
        <v>8</v>
      </c>
      <c r="M223" s="2" t="s">
        <v>9</v>
      </c>
      <c r="N223" s="3">
        <v>976</v>
      </c>
      <c r="O223" s="2" t="s">
        <v>140</v>
      </c>
      <c r="P223" s="2" t="s">
        <v>92</v>
      </c>
      <c r="Q223" s="3"/>
      <c r="R223" s="3"/>
      <c r="S223" s="2" t="s">
        <v>21</v>
      </c>
      <c r="T223" s="4">
        <v>44955</v>
      </c>
      <c r="U223" s="2" t="s">
        <v>943</v>
      </c>
      <c r="V223" s="6">
        <f>(Sales[[#This Row],[Price_retail]]-Sales[[#This Row],[Price_current]])/Sales[[#This Row],[Price_retail]]</f>
        <v>0.19289568345323738</v>
      </c>
      <c r="W223" s="3" t="str" cm="1">
        <f t="array" ref="W223">_xlfn.IFS(Sales[[#This Row],[Discount]]=0%,"No Discount",Sales[[#This Row],[Discount]]&lt;=20%,"Light",Sales[[#This Row],[Discount]]&lt;=50%,"Moderate",Sales[[#This Row],[Discount]]&lt;=80%,"High",
TRUE,"Very High")</f>
        <v>Light</v>
      </c>
    </row>
    <row r="224" spans="1:23" x14ac:dyDescent="0.35">
      <c r="A224" s="2" t="s">
        <v>944</v>
      </c>
      <c r="B224" s="2" t="s">
        <v>945</v>
      </c>
      <c r="C224" s="2" t="s">
        <v>242</v>
      </c>
      <c r="D224" s="2" t="s">
        <v>946</v>
      </c>
      <c r="E224" s="2" t="s">
        <v>4</v>
      </c>
      <c r="F224" s="2" t="s">
        <v>5</v>
      </c>
      <c r="G224" s="2" t="s">
        <v>6</v>
      </c>
      <c r="H224" s="2" t="s">
        <v>110</v>
      </c>
      <c r="I224" s="2" t="s">
        <v>3390</v>
      </c>
      <c r="J224" s="3">
        <v>19.52</v>
      </c>
      <c r="K224" s="3">
        <v>19.52</v>
      </c>
      <c r="L224" s="2" t="s">
        <v>3391</v>
      </c>
      <c r="M224" s="2" t="s">
        <v>9</v>
      </c>
      <c r="N224" s="3">
        <v>587</v>
      </c>
      <c r="O224" s="2" t="s">
        <v>104</v>
      </c>
      <c r="P224" s="2" t="s">
        <v>30</v>
      </c>
      <c r="Q224" s="3"/>
      <c r="R224" s="3"/>
      <c r="S224" s="2" t="s">
        <v>21</v>
      </c>
      <c r="T224" s="4">
        <v>44955</v>
      </c>
      <c r="U224" s="2" t="s">
        <v>947</v>
      </c>
      <c r="V224" s="6">
        <f>(Sales[[#This Row],[Price_retail]]-Sales[[#This Row],[Price_current]])/Sales[[#This Row],[Price_retail]]</f>
        <v>0</v>
      </c>
      <c r="W224" s="3" t="str" cm="1">
        <f t="array" ref="W2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25" spans="1:23" x14ac:dyDescent="0.35">
      <c r="A225" s="2" t="s">
        <v>948</v>
      </c>
      <c r="B225" s="2" t="s">
        <v>949</v>
      </c>
      <c r="C225" s="2" t="s">
        <v>721</v>
      </c>
      <c r="D225" s="2" t="s">
        <v>144</v>
      </c>
      <c r="E225" s="2" t="s">
        <v>4</v>
      </c>
      <c r="F225" s="2" t="s">
        <v>17</v>
      </c>
      <c r="G225" s="2" t="s">
        <v>67</v>
      </c>
      <c r="H225" s="2" t="s">
        <v>145</v>
      </c>
      <c r="I225" s="2" t="s">
        <v>3390</v>
      </c>
      <c r="J225" s="3">
        <v>22.86</v>
      </c>
      <c r="K225" s="3">
        <v>22.86</v>
      </c>
      <c r="L225" s="2" t="s">
        <v>3391</v>
      </c>
      <c r="M225" s="2" t="s">
        <v>9</v>
      </c>
      <c r="N225" s="3">
        <v>222</v>
      </c>
      <c r="O225" s="2" t="s">
        <v>359</v>
      </c>
      <c r="P225" s="2" t="s">
        <v>44</v>
      </c>
      <c r="Q225" s="3"/>
      <c r="R225" s="3"/>
      <c r="S225" s="2" t="s">
        <v>12</v>
      </c>
      <c r="T225" s="4">
        <v>44955</v>
      </c>
      <c r="U225" s="2" t="s">
        <v>950</v>
      </c>
      <c r="V225" s="6">
        <f>(Sales[[#This Row],[Price_retail]]-Sales[[#This Row],[Price_current]])/Sales[[#This Row],[Price_retail]]</f>
        <v>0</v>
      </c>
      <c r="W225" s="3" t="str" cm="1">
        <f t="array" ref="W22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26" spans="1:23" x14ac:dyDescent="0.35">
      <c r="A226" s="2" t="s">
        <v>951</v>
      </c>
      <c r="B226" s="2" t="s">
        <v>952</v>
      </c>
      <c r="C226" s="2" t="s">
        <v>412</v>
      </c>
      <c r="D226" s="2" t="s">
        <v>279</v>
      </c>
      <c r="E226" s="2" t="s">
        <v>4</v>
      </c>
      <c r="F226" s="2" t="s">
        <v>17</v>
      </c>
      <c r="G226" s="2" t="s">
        <v>50</v>
      </c>
      <c r="H226" s="2" t="s">
        <v>28</v>
      </c>
      <c r="I226" s="2" t="s">
        <v>3393</v>
      </c>
      <c r="J226" s="3">
        <v>8.99</v>
      </c>
      <c r="K226" s="3">
        <v>6.02</v>
      </c>
      <c r="L226" s="2" t="s">
        <v>8</v>
      </c>
      <c r="M226" s="2" t="s">
        <v>9</v>
      </c>
      <c r="N226" s="3">
        <v>400</v>
      </c>
      <c r="O226" s="2" t="s">
        <v>140</v>
      </c>
      <c r="P226" s="2" t="s">
        <v>30</v>
      </c>
      <c r="Q226" s="3"/>
      <c r="R226" s="3"/>
      <c r="S226" s="2" t="s">
        <v>12</v>
      </c>
      <c r="T226" s="4">
        <v>44955</v>
      </c>
      <c r="U226" s="2" t="s">
        <v>953</v>
      </c>
      <c r="V226" s="6">
        <f>(Sales[[#This Row],[Price_retail]]-Sales[[#This Row],[Price_current]])/Sales[[#This Row],[Price_retail]]</f>
        <v>0.33036707452725256</v>
      </c>
      <c r="W226" s="3" t="str" cm="1">
        <f t="array" ref="W22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27" spans="1:23" x14ac:dyDescent="0.35">
      <c r="A227" s="2" t="s">
        <v>954</v>
      </c>
      <c r="B227" s="2" t="s">
        <v>955</v>
      </c>
      <c r="C227" s="2" t="s">
        <v>3414</v>
      </c>
      <c r="D227" s="2" t="s">
        <v>577</v>
      </c>
      <c r="E227" s="2" t="s">
        <v>4</v>
      </c>
      <c r="F227" s="2" t="s">
        <v>5</v>
      </c>
      <c r="G227" s="2" t="s">
        <v>121</v>
      </c>
      <c r="H227" s="2" t="s">
        <v>168</v>
      </c>
      <c r="I227" s="2" t="s">
        <v>3390</v>
      </c>
      <c r="J227" s="3">
        <v>64.09</v>
      </c>
      <c r="K227" s="3">
        <v>64.09</v>
      </c>
      <c r="L227" s="2" t="s">
        <v>3391</v>
      </c>
      <c r="M227" s="2" t="s">
        <v>9</v>
      </c>
      <c r="N227" s="3">
        <v>130</v>
      </c>
      <c r="O227" s="2" t="s">
        <v>347</v>
      </c>
      <c r="P227" s="2" t="s">
        <v>553</v>
      </c>
      <c r="Q227" s="3"/>
      <c r="R227" s="3"/>
      <c r="S227" s="2" t="s">
        <v>21</v>
      </c>
      <c r="T227" s="4">
        <v>44955</v>
      </c>
      <c r="U227" s="2" t="s">
        <v>956</v>
      </c>
      <c r="V227" s="6">
        <f>(Sales[[#This Row],[Price_retail]]-Sales[[#This Row],[Price_current]])/Sales[[#This Row],[Price_retail]]</f>
        <v>0</v>
      </c>
      <c r="W227" s="3" t="str" cm="1">
        <f t="array" ref="W2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28" spans="1:23" x14ac:dyDescent="0.35">
      <c r="A228" s="2" t="s">
        <v>957</v>
      </c>
      <c r="B228" s="2" t="s">
        <v>958</v>
      </c>
      <c r="C228" s="2" t="s">
        <v>108</v>
      </c>
      <c r="D228" s="2" t="s">
        <v>959</v>
      </c>
      <c r="E228" s="2" t="s">
        <v>4</v>
      </c>
      <c r="F228" s="2" t="s">
        <v>17</v>
      </c>
      <c r="G228" s="2" t="s">
        <v>18</v>
      </c>
      <c r="H228" s="2" t="s">
        <v>418</v>
      </c>
      <c r="I228" s="2" t="s">
        <v>3390</v>
      </c>
      <c r="J228" s="3">
        <v>8.99</v>
      </c>
      <c r="K228" s="3">
        <v>8.99</v>
      </c>
      <c r="L228" s="2" t="s">
        <v>3391</v>
      </c>
      <c r="M228" s="2" t="s">
        <v>9</v>
      </c>
      <c r="N228" s="3">
        <v>796</v>
      </c>
      <c r="O228" s="2" t="s">
        <v>104</v>
      </c>
      <c r="P228" s="2" t="s">
        <v>186</v>
      </c>
      <c r="Q228" s="3"/>
      <c r="R228" s="3"/>
      <c r="S228" s="2" t="s">
        <v>21</v>
      </c>
      <c r="T228" s="4">
        <v>44955</v>
      </c>
      <c r="U228" s="2" t="s">
        <v>960</v>
      </c>
      <c r="V228" s="6">
        <f>(Sales[[#This Row],[Price_retail]]-Sales[[#This Row],[Price_current]])/Sales[[#This Row],[Price_retail]]</f>
        <v>0</v>
      </c>
      <c r="W228" s="3" t="str" cm="1">
        <f t="array" ref="W2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29" spans="1:23" x14ac:dyDescent="0.35">
      <c r="A229" s="2" t="s">
        <v>961</v>
      </c>
      <c r="B229" s="2" t="s">
        <v>962</v>
      </c>
      <c r="C229" s="2" t="s">
        <v>963</v>
      </c>
      <c r="D229" s="2" t="s">
        <v>964</v>
      </c>
      <c r="E229" s="2" t="s">
        <v>4</v>
      </c>
      <c r="F229" s="2" t="s">
        <v>17</v>
      </c>
      <c r="G229" s="2" t="s">
        <v>27</v>
      </c>
      <c r="H229" s="2" t="s">
        <v>333</v>
      </c>
      <c r="I229" s="2" t="s">
        <v>3395</v>
      </c>
      <c r="J229" s="3">
        <v>17.03</v>
      </c>
      <c r="K229" s="3">
        <v>17.03</v>
      </c>
      <c r="L229" s="2" t="s">
        <v>3391</v>
      </c>
      <c r="M229" s="2" t="s">
        <v>9</v>
      </c>
      <c r="N229" s="3">
        <v>911</v>
      </c>
      <c r="O229" s="2" t="s">
        <v>3392</v>
      </c>
      <c r="P229" s="2" t="s">
        <v>122</v>
      </c>
      <c r="Q229" s="3"/>
      <c r="R229" s="3"/>
      <c r="S229" s="2" t="s">
        <v>21</v>
      </c>
      <c r="T229" s="4">
        <v>44955</v>
      </c>
      <c r="U229" s="2" t="s">
        <v>965</v>
      </c>
      <c r="V229" s="6">
        <f>(Sales[[#This Row],[Price_retail]]-Sales[[#This Row],[Price_current]])/Sales[[#This Row],[Price_retail]]</f>
        <v>0</v>
      </c>
      <c r="W229" s="3" t="str" cm="1">
        <f t="array" ref="W22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30" spans="1:23" x14ac:dyDescent="0.35">
      <c r="A230" s="2" t="s">
        <v>966</v>
      </c>
      <c r="B230" s="2" t="s">
        <v>967</v>
      </c>
      <c r="C230" s="2" t="s">
        <v>41</v>
      </c>
      <c r="D230" s="2" t="s">
        <v>946</v>
      </c>
      <c r="E230" s="2" t="s">
        <v>4</v>
      </c>
      <c r="F230" s="2" t="s">
        <v>5</v>
      </c>
      <c r="G230" s="2" t="s">
        <v>6</v>
      </c>
      <c r="H230" s="2" t="s">
        <v>110</v>
      </c>
      <c r="I230" s="2" t="s">
        <v>3395</v>
      </c>
      <c r="J230" s="3">
        <v>14.34</v>
      </c>
      <c r="K230" s="3">
        <v>8.83</v>
      </c>
      <c r="L230" s="2" t="s">
        <v>8</v>
      </c>
      <c r="M230" s="2" t="s">
        <v>9</v>
      </c>
      <c r="N230" s="3">
        <v>964</v>
      </c>
      <c r="O230" s="2" t="s">
        <v>104</v>
      </c>
      <c r="P230" s="2" t="s">
        <v>186</v>
      </c>
      <c r="Q230" s="3"/>
      <c r="R230" s="3"/>
      <c r="S230" s="2" t="s">
        <v>21</v>
      </c>
      <c r="T230" s="4">
        <v>44955</v>
      </c>
      <c r="U230" s="2" t="s">
        <v>968</v>
      </c>
      <c r="V230" s="6">
        <f>(Sales[[#This Row],[Price_retail]]-Sales[[#This Row],[Price_current]])/Sales[[#This Row],[Price_retail]]</f>
        <v>0.38423988842398882</v>
      </c>
      <c r="W230" s="3" t="str" cm="1">
        <f t="array" ref="W23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31" spans="1:23" x14ac:dyDescent="0.35">
      <c r="A231" s="2" t="s">
        <v>969</v>
      </c>
      <c r="B231" s="2" t="s">
        <v>970</v>
      </c>
      <c r="C231" s="2" t="s">
        <v>412</v>
      </c>
      <c r="D231" s="2" t="s">
        <v>971</v>
      </c>
      <c r="E231" s="2" t="s">
        <v>4</v>
      </c>
      <c r="F231" s="2" t="s">
        <v>5</v>
      </c>
      <c r="G231" s="2" t="s">
        <v>121</v>
      </c>
      <c r="H231" s="2" t="s">
        <v>134</v>
      </c>
      <c r="I231" s="2" t="s">
        <v>3393</v>
      </c>
      <c r="J231" s="3">
        <v>8.99</v>
      </c>
      <c r="K231" s="3">
        <v>7.18</v>
      </c>
      <c r="L231" s="2" t="s">
        <v>8</v>
      </c>
      <c r="M231" s="2" t="s">
        <v>9</v>
      </c>
      <c r="N231" s="3">
        <v>530</v>
      </c>
      <c r="O231" s="2" t="s">
        <v>3392</v>
      </c>
      <c r="P231" s="2" t="s">
        <v>238</v>
      </c>
      <c r="Q231" s="3"/>
      <c r="R231" s="3"/>
      <c r="S231" s="2" t="s">
        <v>21</v>
      </c>
      <c r="T231" s="4">
        <v>44955</v>
      </c>
      <c r="U231" s="2" t="s">
        <v>972</v>
      </c>
      <c r="V231" s="6">
        <f>(Sales[[#This Row],[Price_retail]]-Sales[[#This Row],[Price_current]])/Sales[[#This Row],[Price_retail]]</f>
        <v>0.20133481646273643</v>
      </c>
      <c r="W231" s="3" t="str" cm="1">
        <f t="array" ref="W23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32" spans="1:23" x14ac:dyDescent="0.35">
      <c r="A232" s="2" t="s">
        <v>973</v>
      </c>
      <c r="B232" s="2" t="s">
        <v>974</v>
      </c>
      <c r="C232" s="2" t="s">
        <v>2915</v>
      </c>
      <c r="D232" s="2" t="s">
        <v>633</v>
      </c>
      <c r="E232" s="2" t="s">
        <v>4</v>
      </c>
      <c r="F232" s="2" t="s">
        <v>5</v>
      </c>
      <c r="G232" s="2" t="s">
        <v>82</v>
      </c>
      <c r="H232" s="2" t="s">
        <v>90</v>
      </c>
      <c r="I232" s="2" t="s">
        <v>3393</v>
      </c>
      <c r="J232" s="3">
        <v>12.76</v>
      </c>
      <c r="K232" s="3">
        <v>8.23</v>
      </c>
      <c r="L232" s="2" t="s">
        <v>8</v>
      </c>
      <c r="M232" s="2" t="s">
        <v>9</v>
      </c>
      <c r="N232" s="3">
        <v>899</v>
      </c>
      <c r="O232" s="2" t="s">
        <v>29</v>
      </c>
      <c r="P232" s="2" t="s">
        <v>92</v>
      </c>
      <c r="Q232" s="3"/>
      <c r="R232" s="3"/>
      <c r="S232" s="2" t="s">
        <v>21</v>
      </c>
      <c r="T232" s="4">
        <v>44955</v>
      </c>
      <c r="U232" s="2" t="s">
        <v>975</v>
      </c>
      <c r="V232" s="6">
        <f>(Sales[[#This Row],[Price_retail]]-Sales[[#This Row],[Price_current]])/Sales[[#This Row],[Price_retail]]</f>
        <v>0.35501567398119116</v>
      </c>
      <c r="W232" s="3" t="str" cm="1">
        <f t="array" ref="W23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33" spans="1:23" x14ac:dyDescent="0.35">
      <c r="A233" s="2" t="s">
        <v>976</v>
      </c>
      <c r="B233" s="2" t="s">
        <v>977</v>
      </c>
      <c r="C233" s="2" t="s">
        <v>978</v>
      </c>
      <c r="D233" s="2" t="s">
        <v>590</v>
      </c>
      <c r="E233" s="2" t="s">
        <v>4</v>
      </c>
      <c r="F233" s="2" t="s">
        <v>5</v>
      </c>
      <c r="G233" s="2" t="s">
        <v>121</v>
      </c>
      <c r="H233" s="2" t="s">
        <v>90</v>
      </c>
      <c r="I233" s="2" t="s">
        <v>3395</v>
      </c>
      <c r="J233" s="3">
        <v>15.84</v>
      </c>
      <c r="K233" s="3">
        <v>7.41</v>
      </c>
      <c r="L233" s="2" t="s">
        <v>8</v>
      </c>
      <c r="M233" s="2" t="s">
        <v>9</v>
      </c>
      <c r="N233" s="3">
        <v>8</v>
      </c>
      <c r="O233" s="2" t="s">
        <v>60</v>
      </c>
      <c r="P233" s="2" t="s">
        <v>37</v>
      </c>
      <c r="Q233" s="3"/>
      <c r="R233" s="3"/>
      <c r="S233" s="2" t="s">
        <v>21</v>
      </c>
      <c r="T233" s="4">
        <v>44955</v>
      </c>
      <c r="U233" s="2" t="s">
        <v>979</v>
      </c>
      <c r="V233" s="6">
        <f>(Sales[[#This Row],[Price_retail]]-Sales[[#This Row],[Price_current]])/Sales[[#This Row],[Price_retail]]</f>
        <v>0.53219696969696972</v>
      </c>
      <c r="W233" s="3" t="str" cm="1">
        <f t="array" ref="W233">_xlfn.IFS(Sales[[#This Row],[Discount]]=0%,"No Discount",Sales[[#This Row],[Discount]]&lt;=20%,"Light",Sales[[#This Row],[Discount]]&lt;=50%,"Moderate",Sales[[#This Row],[Discount]]&lt;=80%,"High",
TRUE,"Very High")</f>
        <v>High</v>
      </c>
    </row>
    <row r="234" spans="1:23" x14ac:dyDescent="0.35">
      <c r="A234" s="2" t="s">
        <v>980</v>
      </c>
      <c r="B234" s="2" t="s">
        <v>981</v>
      </c>
      <c r="C234" s="2" t="s">
        <v>616</v>
      </c>
      <c r="D234" s="2" t="s">
        <v>847</v>
      </c>
      <c r="E234" s="2" t="s">
        <v>4</v>
      </c>
      <c r="F234" s="2" t="s">
        <v>5</v>
      </c>
      <c r="G234" s="2" t="s">
        <v>6</v>
      </c>
      <c r="H234" s="2" t="s">
        <v>237</v>
      </c>
      <c r="I234" s="2" t="s">
        <v>3393</v>
      </c>
      <c r="J234" s="3">
        <v>10.94</v>
      </c>
      <c r="K234" s="3">
        <v>6.6</v>
      </c>
      <c r="L234" s="2" t="s">
        <v>8</v>
      </c>
      <c r="M234" s="2" t="s">
        <v>9</v>
      </c>
      <c r="N234" s="3">
        <v>16</v>
      </c>
      <c r="O234" s="2" t="s">
        <v>261</v>
      </c>
      <c r="P234" s="2" t="s">
        <v>76</v>
      </c>
      <c r="Q234" s="3"/>
      <c r="R234" s="3"/>
      <c r="S234" s="2" t="s">
        <v>21</v>
      </c>
      <c r="T234" s="4">
        <v>44955</v>
      </c>
      <c r="U234" s="2" t="s">
        <v>982</v>
      </c>
      <c r="V234" s="6">
        <f>(Sales[[#This Row],[Price_retail]]-Sales[[#This Row],[Price_current]])/Sales[[#This Row],[Price_retail]]</f>
        <v>0.39670932358318101</v>
      </c>
      <c r="W234" s="3" t="str" cm="1">
        <f t="array" ref="W23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35" spans="1:23" x14ac:dyDescent="0.35">
      <c r="A235" s="2" t="s">
        <v>983</v>
      </c>
      <c r="B235" s="2" t="s">
        <v>984</v>
      </c>
      <c r="C235" s="2" t="s">
        <v>985</v>
      </c>
      <c r="D235" s="2" t="s">
        <v>49</v>
      </c>
      <c r="E235" s="2" t="s">
        <v>4</v>
      </c>
      <c r="F235" s="2" t="s">
        <v>17</v>
      </c>
      <c r="G235" s="2" t="s">
        <v>50</v>
      </c>
      <c r="H235" s="2" t="s">
        <v>51</v>
      </c>
      <c r="I235" s="2" t="s">
        <v>3395</v>
      </c>
      <c r="J235" s="3">
        <v>26.19</v>
      </c>
      <c r="K235" s="3">
        <v>26.19</v>
      </c>
      <c r="L235" s="2" t="s">
        <v>3391</v>
      </c>
      <c r="M235" s="2" t="s">
        <v>9</v>
      </c>
      <c r="N235" s="3">
        <v>572</v>
      </c>
      <c r="O235" s="2" t="s">
        <v>3392</v>
      </c>
      <c r="P235" s="2" t="s">
        <v>128</v>
      </c>
      <c r="Q235" s="3"/>
      <c r="R235" s="3"/>
      <c r="S235" s="2" t="s">
        <v>21</v>
      </c>
      <c r="T235" s="4">
        <v>44955</v>
      </c>
      <c r="U235" s="2" t="s">
        <v>986</v>
      </c>
      <c r="V235" s="6">
        <f>(Sales[[#This Row],[Price_retail]]-Sales[[#This Row],[Price_current]])/Sales[[#This Row],[Price_retail]]</f>
        <v>0</v>
      </c>
      <c r="W235" s="3" t="str" cm="1">
        <f t="array" ref="W2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36" spans="1:23" x14ac:dyDescent="0.35">
      <c r="A236" s="2" t="s">
        <v>987</v>
      </c>
      <c r="B236" s="2" t="s">
        <v>988</v>
      </c>
      <c r="C236" s="2" t="s">
        <v>41</v>
      </c>
      <c r="D236" s="2" t="s">
        <v>725</v>
      </c>
      <c r="E236" s="2" t="s">
        <v>4</v>
      </c>
      <c r="F236" s="2" t="s">
        <v>17</v>
      </c>
      <c r="G236" s="2" t="s">
        <v>50</v>
      </c>
      <c r="H236" s="2" t="s">
        <v>110</v>
      </c>
      <c r="I236" s="2" t="s">
        <v>3390</v>
      </c>
      <c r="J236" s="3">
        <v>14.31</v>
      </c>
      <c r="K236" s="3">
        <v>8.01</v>
      </c>
      <c r="L236" s="2" t="s">
        <v>8</v>
      </c>
      <c r="M236" s="2" t="s">
        <v>9</v>
      </c>
      <c r="N236" s="3">
        <v>386</v>
      </c>
      <c r="O236" s="2" t="s">
        <v>191</v>
      </c>
      <c r="P236" s="2" t="s">
        <v>44</v>
      </c>
      <c r="Q236" s="3"/>
      <c r="R236" s="3"/>
      <c r="S236" s="2" t="s">
        <v>21</v>
      </c>
      <c r="T236" s="4">
        <v>44955</v>
      </c>
      <c r="U236" s="2" t="s">
        <v>989</v>
      </c>
      <c r="V236" s="6">
        <f>(Sales[[#This Row],[Price_retail]]-Sales[[#This Row],[Price_current]])/Sales[[#This Row],[Price_retail]]</f>
        <v>0.44025157232704404</v>
      </c>
      <c r="W236" s="3" t="str" cm="1">
        <f t="array" ref="W23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37" spans="1:23" x14ac:dyDescent="0.35">
      <c r="A237" s="2" t="s">
        <v>990</v>
      </c>
      <c r="B237" s="2" t="s">
        <v>991</v>
      </c>
      <c r="C237" s="2" t="s">
        <v>3410</v>
      </c>
      <c r="D237" s="2" t="s">
        <v>909</v>
      </c>
      <c r="E237" s="2" t="s">
        <v>4</v>
      </c>
      <c r="F237" s="2" t="s">
        <v>17</v>
      </c>
      <c r="G237" s="2" t="s">
        <v>18</v>
      </c>
      <c r="H237" s="2" t="s">
        <v>110</v>
      </c>
      <c r="I237" s="2" t="s">
        <v>3393</v>
      </c>
      <c r="J237" s="3">
        <v>8.99</v>
      </c>
      <c r="K237" s="3">
        <v>8.5399999999999991</v>
      </c>
      <c r="L237" s="2" t="s">
        <v>8</v>
      </c>
      <c r="M237" s="2" t="s">
        <v>9</v>
      </c>
      <c r="N237" s="3">
        <v>13</v>
      </c>
      <c r="O237" s="2" t="s">
        <v>302</v>
      </c>
      <c r="P237" s="2" t="s">
        <v>3392</v>
      </c>
      <c r="Q237" s="3"/>
      <c r="R237" s="3"/>
      <c r="S237" s="2" t="s">
        <v>12</v>
      </c>
      <c r="T237" s="4">
        <v>44955</v>
      </c>
      <c r="U237" s="2" t="s">
        <v>992</v>
      </c>
      <c r="V237" s="6">
        <f>(Sales[[#This Row],[Price_retail]]-Sales[[#This Row],[Price_current]])/Sales[[#This Row],[Price_retail]]</f>
        <v>5.0055617352614136E-2</v>
      </c>
      <c r="W237" s="3" t="str" cm="1">
        <f t="array" ref="W237">_xlfn.IFS(Sales[[#This Row],[Discount]]=0%,"No Discount",Sales[[#This Row],[Discount]]&lt;=20%,"Light",Sales[[#This Row],[Discount]]&lt;=50%,"Moderate",Sales[[#This Row],[Discount]]&lt;=80%,"High",
TRUE,"Very High")</f>
        <v>Light</v>
      </c>
    </row>
    <row r="238" spans="1:23" x14ac:dyDescent="0.35">
      <c r="A238" s="2" t="s">
        <v>993</v>
      </c>
      <c r="B238" s="2" t="s">
        <v>994</v>
      </c>
      <c r="C238" s="2" t="s">
        <v>995</v>
      </c>
      <c r="D238" s="2" t="s">
        <v>847</v>
      </c>
      <c r="E238" s="2" t="s">
        <v>4</v>
      </c>
      <c r="F238" s="2" t="s">
        <v>5</v>
      </c>
      <c r="G238" s="2" t="s">
        <v>82</v>
      </c>
      <c r="H238" s="2" t="s">
        <v>237</v>
      </c>
      <c r="I238" s="2" t="s">
        <v>3395</v>
      </c>
      <c r="J238" s="3">
        <v>8.99</v>
      </c>
      <c r="K238" s="3">
        <v>4.34</v>
      </c>
      <c r="L238" s="2" t="s">
        <v>8</v>
      </c>
      <c r="M238" s="2" t="s">
        <v>9</v>
      </c>
      <c r="N238" s="3">
        <v>871</v>
      </c>
      <c r="O238" s="2" t="s">
        <v>98</v>
      </c>
      <c r="P238" s="2" t="s">
        <v>53</v>
      </c>
      <c r="Q238" s="3"/>
      <c r="R238" s="3"/>
      <c r="S238" s="2" t="s">
        <v>21</v>
      </c>
      <c r="T238" s="4">
        <v>44955</v>
      </c>
      <c r="U238" s="2" t="s">
        <v>996</v>
      </c>
      <c r="V238" s="6">
        <f>(Sales[[#This Row],[Price_retail]]-Sales[[#This Row],[Price_current]])/Sales[[#This Row],[Price_retail]]</f>
        <v>0.51724137931034486</v>
      </c>
      <c r="W238" s="3" t="str" cm="1">
        <f t="array" ref="W238">_xlfn.IFS(Sales[[#This Row],[Discount]]=0%,"No Discount",Sales[[#This Row],[Discount]]&lt;=20%,"Light",Sales[[#This Row],[Discount]]&lt;=50%,"Moderate",Sales[[#This Row],[Discount]]&lt;=80%,"High",
TRUE,"Very High")</f>
        <v>High</v>
      </c>
    </row>
    <row r="239" spans="1:23" x14ac:dyDescent="0.35">
      <c r="A239" s="2" t="s">
        <v>997</v>
      </c>
      <c r="B239" s="2" t="s">
        <v>998</v>
      </c>
      <c r="C239" s="2" t="s">
        <v>999</v>
      </c>
      <c r="D239" s="2" t="s">
        <v>1000</v>
      </c>
      <c r="E239" s="2" t="s">
        <v>4</v>
      </c>
      <c r="F239" s="2" t="s">
        <v>17</v>
      </c>
      <c r="G239" s="2" t="s">
        <v>27</v>
      </c>
      <c r="H239" s="2" t="s">
        <v>68</v>
      </c>
      <c r="I239" s="2" t="s">
        <v>3390</v>
      </c>
      <c r="J239" s="3">
        <v>21.83</v>
      </c>
      <c r="K239" s="3">
        <v>15.11</v>
      </c>
      <c r="L239" s="2" t="s">
        <v>8</v>
      </c>
      <c r="M239" s="2" t="s">
        <v>9</v>
      </c>
      <c r="N239" s="3">
        <v>720</v>
      </c>
      <c r="O239" s="2" t="s">
        <v>664</v>
      </c>
      <c r="P239" s="2" t="s">
        <v>53</v>
      </c>
      <c r="Q239" s="3"/>
      <c r="R239" s="3"/>
      <c r="S239" s="2" t="s">
        <v>21</v>
      </c>
      <c r="T239" s="4">
        <v>44955</v>
      </c>
      <c r="U239" s="2" t="s">
        <v>1001</v>
      </c>
      <c r="V239" s="6">
        <f>(Sales[[#This Row],[Price_retail]]-Sales[[#This Row],[Price_current]])/Sales[[#This Row],[Price_retail]]</f>
        <v>0.30783325698579933</v>
      </c>
      <c r="W239" s="3" t="str" cm="1">
        <f t="array" ref="W23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40" spans="1:23" x14ac:dyDescent="0.35">
      <c r="A240" s="2" t="s">
        <v>1002</v>
      </c>
      <c r="B240" s="2" t="s">
        <v>1003</v>
      </c>
      <c r="C240" s="2" t="s">
        <v>412</v>
      </c>
      <c r="D240" s="2" t="s">
        <v>612</v>
      </c>
      <c r="E240" s="2" t="s">
        <v>4</v>
      </c>
      <c r="F240" s="2" t="s">
        <v>17</v>
      </c>
      <c r="G240" s="2" t="s">
        <v>50</v>
      </c>
      <c r="H240" s="2" t="s">
        <v>59</v>
      </c>
      <c r="I240" s="2" t="s">
        <v>3393</v>
      </c>
      <c r="J240" s="3">
        <v>8.99</v>
      </c>
      <c r="K240" s="3">
        <v>8.99</v>
      </c>
      <c r="L240" s="2" t="s">
        <v>3391</v>
      </c>
      <c r="M240" s="2" t="s">
        <v>9</v>
      </c>
      <c r="N240" s="3">
        <v>773</v>
      </c>
      <c r="O240" s="2" t="s">
        <v>267</v>
      </c>
      <c r="P240" s="2" t="s">
        <v>128</v>
      </c>
      <c r="Q240" s="3"/>
      <c r="R240" s="3"/>
      <c r="S240" s="2" t="s">
        <v>21</v>
      </c>
      <c r="T240" s="4">
        <v>44955</v>
      </c>
      <c r="U240" s="2" t="s">
        <v>1004</v>
      </c>
      <c r="V240" s="6">
        <f>(Sales[[#This Row],[Price_retail]]-Sales[[#This Row],[Price_current]])/Sales[[#This Row],[Price_retail]]</f>
        <v>0</v>
      </c>
      <c r="W240" s="3" t="str" cm="1">
        <f t="array" ref="W24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41" spans="1:23" x14ac:dyDescent="0.35">
      <c r="A241" s="2" t="s">
        <v>1005</v>
      </c>
      <c r="B241" s="2" t="s">
        <v>1006</v>
      </c>
      <c r="C241" s="2" t="s">
        <v>108</v>
      </c>
      <c r="D241" s="2" t="s">
        <v>388</v>
      </c>
      <c r="E241" s="2" t="s">
        <v>4</v>
      </c>
      <c r="F241" s="2" t="s">
        <v>17</v>
      </c>
      <c r="G241" s="2" t="s">
        <v>27</v>
      </c>
      <c r="H241" s="2" t="s">
        <v>168</v>
      </c>
      <c r="I241" s="2" t="s">
        <v>3390</v>
      </c>
      <c r="J241" s="3">
        <v>18.62</v>
      </c>
      <c r="K241" s="3">
        <v>18.62</v>
      </c>
      <c r="L241" s="2" t="s">
        <v>3391</v>
      </c>
      <c r="M241" s="2" t="s">
        <v>9</v>
      </c>
      <c r="N241" s="3">
        <v>909</v>
      </c>
      <c r="O241" s="2" t="s">
        <v>302</v>
      </c>
      <c r="P241" s="2" t="s">
        <v>3392</v>
      </c>
      <c r="Q241" s="3"/>
      <c r="R241" s="3"/>
      <c r="S241" s="2" t="s">
        <v>21</v>
      </c>
      <c r="T241" s="4">
        <v>44955</v>
      </c>
      <c r="U241" s="2" t="s">
        <v>1007</v>
      </c>
      <c r="V241" s="6">
        <f>(Sales[[#This Row],[Price_retail]]-Sales[[#This Row],[Price_current]])/Sales[[#This Row],[Price_retail]]</f>
        <v>0</v>
      </c>
      <c r="W241" s="3" t="str" cm="1">
        <f t="array" ref="W2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42" spans="1:23" x14ac:dyDescent="0.35">
      <c r="A242" s="2" t="s">
        <v>1008</v>
      </c>
      <c r="B242" s="2" t="s">
        <v>1009</v>
      </c>
      <c r="C242" s="2" t="s">
        <v>1010</v>
      </c>
      <c r="D242" s="2" t="s">
        <v>1011</v>
      </c>
      <c r="E242" s="2" t="s">
        <v>4</v>
      </c>
      <c r="F242" s="2" t="s">
        <v>17</v>
      </c>
      <c r="G242" s="2" t="s">
        <v>50</v>
      </c>
      <c r="H242" s="2" t="s">
        <v>68</v>
      </c>
      <c r="I242" s="2" t="s">
        <v>3393</v>
      </c>
      <c r="J242" s="3">
        <v>19.98</v>
      </c>
      <c r="K242" s="3">
        <v>19.98</v>
      </c>
      <c r="L242" s="2" t="s">
        <v>3391</v>
      </c>
      <c r="M242" s="2" t="s">
        <v>9</v>
      </c>
      <c r="N242" s="3">
        <v>534</v>
      </c>
      <c r="O242" s="2" t="s">
        <v>20</v>
      </c>
      <c r="P242" s="2" t="s">
        <v>3392</v>
      </c>
      <c r="Q242" s="3"/>
      <c r="R242" s="3"/>
      <c r="S242" s="2" t="s">
        <v>12</v>
      </c>
      <c r="T242" s="4">
        <v>44955</v>
      </c>
      <c r="U242" s="2" t="s">
        <v>1012</v>
      </c>
      <c r="V242" s="6">
        <f>(Sales[[#This Row],[Price_retail]]-Sales[[#This Row],[Price_current]])/Sales[[#This Row],[Price_retail]]</f>
        <v>0</v>
      </c>
      <c r="W242" s="3" t="str" cm="1">
        <f t="array" ref="W24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43" spans="1:23" x14ac:dyDescent="0.35">
      <c r="A243" s="2" t="s">
        <v>1013</v>
      </c>
      <c r="B243" s="2" t="s">
        <v>1014</v>
      </c>
      <c r="C243" s="2" t="s">
        <v>108</v>
      </c>
      <c r="D243" s="2" t="s">
        <v>1015</v>
      </c>
      <c r="E243" s="2" t="s">
        <v>4</v>
      </c>
      <c r="F243" s="2" t="s">
        <v>5</v>
      </c>
      <c r="G243" s="2" t="s">
        <v>6</v>
      </c>
      <c r="H243" s="2" t="s">
        <v>7</v>
      </c>
      <c r="I243" s="2" t="s">
        <v>3393</v>
      </c>
      <c r="J243" s="3">
        <v>9.0500000000000007</v>
      </c>
      <c r="K243" s="3">
        <v>9.0500000000000007</v>
      </c>
      <c r="L243" s="2" t="s">
        <v>3391</v>
      </c>
      <c r="M243" s="2" t="s">
        <v>9</v>
      </c>
      <c r="N243" s="3">
        <v>804</v>
      </c>
      <c r="O243" s="2" t="s">
        <v>267</v>
      </c>
      <c r="P243" s="2" t="s">
        <v>44</v>
      </c>
      <c r="Q243" s="3"/>
      <c r="R243" s="3"/>
      <c r="S243" s="2" t="s">
        <v>21</v>
      </c>
      <c r="T243" s="4">
        <v>44955</v>
      </c>
      <c r="U243" s="2" t="s">
        <v>1016</v>
      </c>
      <c r="V243" s="6">
        <f>(Sales[[#This Row],[Price_retail]]-Sales[[#This Row],[Price_current]])/Sales[[#This Row],[Price_retail]]</f>
        <v>0</v>
      </c>
      <c r="W243" s="3" t="str" cm="1">
        <f t="array" ref="W2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44" spans="1:23" x14ac:dyDescent="0.35">
      <c r="A244" s="2" t="s">
        <v>1017</v>
      </c>
      <c r="B244" s="2" t="s">
        <v>1018</v>
      </c>
      <c r="C244" s="2" t="s">
        <v>721</v>
      </c>
      <c r="D244" s="2" t="s">
        <v>640</v>
      </c>
      <c r="E244" s="2" t="s">
        <v>4</v>
      </c>
      <c r="F244" s="2" t="s">
        <v>17</v>
      </c>
      <c r="G244" s="2" t="s">
        <v>27</v>
      </c>
      <c r="H244" s="2" t="s">
        <v>139</v>
      </c>
      <c r="I244" s="2" t="s">
        <v>3390</v>
      </c>
      <c r="J244" s="3">
        <v>25.53</v>
      </c>
      <c r="K244" s="3">
        <v>25.53</v>
      </c>
      <c r="L244" s="2" t="s">
        <v>3391</v>
      </c>
      <c r="M244" s="2" t="s">
        <v>9</v>
      </c>
      <c r="N244" s="3">
        <v>229</v>
      </c>
      <c r="O244" s="2" t="s">
        <v>347</v>
      </c>
      <c r="P244" s="2" t="s">
        <v>192</v>
      </c>
      <c r="Q244" s="3"/>
      <c r="R244" s="3"/>
      <c r="S244" s="2" t="s">
        <v>21</v>
      </c>
      <c r="T244" s="4">
        <v>44955</v>
      </c>
      <c r="U244" s="2" t="s">
        <v>1019</v>
      </c>
      <c r="V244" s="6">
        <f>(Sales[[#This Row],[Price_retail]]-Sales[[#This Row],[Price_current]])/Sales[[#This Row],[Price_retail]]</f>
        <v>0</v>
      </c>
      <c r="W244" s="3" t="str" cm="1">
        <f t="array" ref="W24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45" spans="1:23" x14ac:dyDescent="0.35">
      <c r="A245" s="2" t="s">
        <v>1020</v>
      </c>
      <c r="B245" s="2" t="s">
        <v>1021</v>
      </c>
      <c r="C245" s="2" t="s">
        <v>790</v>
      </c>
      <c r="D245" s="2" t="s">
        <v>49</v>
      </c>
      <c r="E245" s="2" t="s">
        <v>4</v>
      </c>
      <c r="F245" s="2" t="s">
        <v>17</v>
      </c>
      <c r="G245" s="2" t="s">
        <v>50</v>
      </c>
      <c r="H245" s="2" t="s">
        <v>51</v>
      </c>
      <c r="I245" s="2" t="s">
        <v>3390</v>
      </c>
      <c r="J245" s="3">
        <v>8.99</v>
      </c>
      <c r="K245" s="3">
        <v>8.99</v>
      </c>
      <c r="L245" s="2" t="s">
        <v>3391</v>
      </c>
      <c r="M245" s="2" t="s">
        <v>9</v>
      </c>
      <c r="N245" s="3">
        <v>821</v>
      </c>
      <c r="O245" s="2" t="s">
        <v>104</v>
      </c>
      <c r="P245" s="2" t="s">
        <v>122</v>
      </c>
      <c r="Q245" s="3"/>
      <c r="R245" s="3"/>
      <c r="S245" s="2" t="s">
        <v>21</v>
      </c>
      <c r="T245" s="4">
        <v>44955</v>
      </c>
      <c r="U245" s="2" t="s">
        <v>1022</v>
      </c>
      <c r="V245" s="6">
        <f>(Sales[[#This Row],[Price_retail]]-Sales[[#This Row],[Price_current]])/Sales[[#This Row],[Price_retail]]</f>
        <v>0</v>
      </c>
      <c r="W245" s="3" t="str" cm="1">
        <f t="array" ref="W2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46" spans="1:23" x14ac:dyDescent="0.35">
      <c r="A246" s="2" t="s">
        <v>1023</v>
      </c>
      <c r="B246" s="2" t="s">
        <v>1024</v>
      </c>
      <c r="C246" s="2" t="s">
        <v>65</v>
      </c>
      <c r="D246" s="2" t="s">
        <v>332</v>
      </c>
      <c r="E246" s="2" t="s">
        <v>4</v>
      </c>
      <c r="F246" s="2" t="s">
        <v>5</v>
      </c>
      <c r="G246" s="2" t="s">
        <v>121</v>
      </c>
      <c r="H246" s="2" t="s">
        <v>333</v>
      </c>
      <c r="I246" s="2" t="s">
        <v>3393</v>
      </c>
      <c r="J246" s="3">
        <v>18.41</v>
      </c>
      <c r="K246" s="3">
        <v>14.03</v>
      </c>
      <c r="L246" s="2" t="s">
        <v>8</v>
      </c>
      <c r="M246" s="2" t="s">
        <v>9</v>
      </c>
      <c r="N246" s="3">
        <v>694</v>
      </c>
      <c r="O246" s="2" t="s">
        <v>287</v>
      </c>
      <c r="P246" s="2" t="s">
        <v>215</v>
      </c>
      <c r="Q246" s="3"/>
      <c r="R246" s="3"/>
      <c r="S246" s="2" t="s">
        <v>12</v>
      </c>
      <c r="T246" s="4">
        <v>44955</v>
      </c>
      <c r="U246" s="2" t="s">
        <v>1025</v>
      </c>
      <c r="V246" s="6">
        <f>(Sales[[#This Row],[Price_retail]]-Sales[[#This Row],[Price_current]])/Sales[[#This Row],[Price_retail]]</f>
        <v>0.2379141770776752</v>
      </c>
      <c r="W246" s="3" t="str" cm="1">
        <f t="array" ref="W24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47" spans="1:23" x14ac:dyDescent="0.35">
      <c r="A247" s="2" t="s">
        <v>1026</v>
      </c>
      <c r="B247" s="2" t="s">
        <v>1027</v>
      </c>
      <c r="C247" s="2" t="s">
        <v>1028</v>
      </c>
      <c r="D247" s="2" t="s">
        <v>327</v>
      </c>
      <c r="E247" s="2" t="s">
        <v>4</v>
      </c>
      <c r="F247" s="2" t="s">
        <v>5</v>
      </c>
      <c r="G247" s="2" t="s">
        <v>121</v>
      </c>
      <c r="H247" s="2" t="s">
        <v>110</v>
      </c>
      <c r="I247" s="2" t="s">
        <v>3393</v>
      </c>
      <c r="J247" s="3">
        <v>15.3</v>
      </c>
      <c r="K247" s="3">
        <v>10.57</v>
      </c>
      <c r="L247" s="2" t="s">
        <v>8</v>
      </c>
      <c r="M247" s="2" t="s">
        <v>9</v>
      </c>
      <c r="N247" s="3">
        <v>90</v>
      </c>
      <c r="O247" s="2" t="s">
        <v>3392</v>
      </c>
      <c r="P247" s="2" t="s">
        <v>53</v>
      </c>
      <c r="Q247" s="3"/>
      <c r="R247" s="3"/>
      <c r="S247" s="2" t="s">
        <v>12</v>
      </c>
      <c r="T247" s="4">
        <v>44955</v>
      </c>
      <c r="U247" s="2" t="s">
        <v>1029</v>
      </c>
      <c r="V247" s="6">
        <f>(Sales[[#This Row],[Price_retail]]-Sales[[#This Row],[Price_current]])/Sales[[#This Row],[Price_retail]]</f>
        <v>0.30915032679738563</v>
      </c>
      <c r="W247" s="3" t="str" cm="1">
        <f t="array" ref="W24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48" spans="1:23" x14ac:dyDescent="0.35">
      <c r="A248" s="2" t="s">
        <v>1030</v>
      </c>
      <c r="B248" s="2" t="s">
        <v>1031</v>
      </c>
      <c r="C248" s="2" t="s">
        <v>412</v>
      </c>
      <c r="D248" s="2" t="s">
        <v>660</v>
      </c>
      <c r="E248" s="2" t="s">
        <v>4</v>
      </c>
      <c r="F248" s="2" t="s">
        <v>5</v>
      </c>
      <c r="G248" s="2" t="s">
        <v>6</v>
      </c>
      <c r="H248" s="2" t="s">
        <v>237</v>
      </c>
      <c r="I248" s="2" t="s">
        <v>3393</v>
      </c>
      <c r="J248" s="3">
        <v>14.65</v>
      </c>
      <c r="K248" s="3">
        <v>12.43</v>
      </c>
      <c r="L248" s="2" t="s">
        <v>8</v>
      </c>
      <c r="M248" s="2" t="s">
        <v>9</v>
      </c>
      <c r="N248" s="3">
        <v>64</v>
      </c>
      <c r="O248" s="2" t="s">
        <v>91</v>
      </c>
      <c r="P248" s="2" t="s">
        <v>84</v>
      </c>
      <c r="Q248" s="3"/>
      <c r="R248" s="3"/>
      <c r="S248" s="2" t="s">
        <v>12</v>
      </c>
      <c r="T248" s="4">
        <v>44955</v>
      </c>
      <c r="U248" s="2" t="s">
        <v>1032</v>
      </c>
      <c r="V248" s="6">
        <f>(Sales[[#This Row],[Price_retail]]-Sales[[#This Row],[Price_current]])/Sales[[#This Row],[Price_retail]]</f>
        <v>0.15153583617747443</v>
      </c>
      <c r="W248" s="3" t="str" cm="1">
        <f t="array" ref="W248">_xlfn.IFS(Sales[[#This Row],[Discount]]=0%,"No Discount",Sales[[#This Row],[Discount]]&lt;=20%,"Light",Sales[[#This Row],[Discount]]&lt;=50%,"Moderate",Sales[[#This Row],[Discount]]&lt;=80%,"High",
TRUE,"Very High")</f>
        <v>Light</v>
      </c>
    </row>
    <row r="249" spans="1:23" x14ac:dyDescent="0.35">
      <c r="A249" s="2" t="s">
        <v>1033</v>
      </c>
      <c r="B249" s="2" t="s">
        <v>1034</v>
      </c>
      <c r="C249" s="2" t="s">
        <v>423</v>
      </c>
      <c r="D249" s="2" t="s">
        <v>608</v>
      </c>
      <c r="E249" s="2" t="s">
        <v>4</v>
      </c>
      <c r="F249" s="2" t="s">
        <v>17</v>
      </c>
      <c r="G249" s="2" t="s">
        <v>50</v>
      </c>
      <c r="H249" s="2" t="s">
        <v>51</v>
      </c>
      <c r="I249" s="2" t="s">
        <v>3390</v>
      </c>
      <c r="J249" s="3">
        <v>8.99</v>
      </c>
      <c r="K249" s="3">
        <v>4.8899999999999997</v>
      </c>
      <c r="L249" s="2" t="s">
        <v>8</v>
      </c>
      <c r="M249" s="2" t="s">
        <v>9</v>
      </c>
      <c r="N249" s="3">
        <v>478</v>
      </c>
      <c r="O249" s="2" t="s">
        <v>20</v>
      </c>
      <c r="P249" s="2" t="s">
        <v>70</v>
      </c>
      <c r="Q249" s="3"/>
      <c r="R249" s="3"/>
      <c r="S249" s="2" t="s">
        <v>12</v>
      </c>
      <c r="T249" s="4">
        <v>44955</v>
      </c>
      <c r="U249" s="2" t="s">
        <v>1035</v>
      </c>
      <c r="V249" s="6">
        <f>(Sales[[#This Row],[Price_retail]]-Sales[[#This Row],[Price_current]])/Sales[[#This Row],[Price_retail]]</f>
        <v>0.45606229143492777</v>
      </c>
      <c r="W249" s="3" t="str" cm="1">
        <f t="array" ref="W24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50" spans="1:23" x14ac:dyDescent="0.35">
      <c r="A250" s="2" t="s">
        <v>1036</v>
      </c>
      <c r="B250" s="2" t="s">
        <v>1037</v>
      </c>
      <c r="C250" s="2" t="s">
        <v>96</v>
      </c>
      <c r="D250" s="2" t="s">
        <v>894</v>
      </c>
      <c r="E250" s="2" t="s">
        <v>4</v>
      </c>
      <c r="F250" s="2" t="s">
        <v>5</v>
      </c>
      <c r="G250" s="2" t="s">
        <v>6</v>
      </c>
      <c r="H250" s="2" t="s">
        <v>145</v>
      </c>
      <c r="I250" s="2" t="s">
        <v>3390</v>
      </c>
      <c r="J250" s="3">
        <v>9.34</v>
      </c>
      <c r="K250" s="3">
        <v>6.63</v>
      </c>
      <c r="L250" s="2" t="s">
        <v>8</v>
      </c>
      <c r="M250" s="2" t="s">
        <v>9</v>
      </c>
      <c r="N250" s="3">
        <v>131</v>
      </c>
      <c r="O250" s="2" t="s">
        <v>3392</v>
      </c>
      <c r="P250" s="2" t="s">
        <v>70</v>
      </c>
      <c r="Q250" s="3"/>
      <c r="R250" s="3"/>
      <c r="S250" s="2" t="s">
        <v>21</v>
      </c>
      <c r="T250" s="4">
        <v>44955</v>
      </c>
      <c r="U250" s="2" t="s">
        <v>1038</v>
      </c>
      <c r="V250" s="6">
        <f>(Sales[[#This Row],[Price_retail]]-Sales[[#This Row],[Price_current]])/Sales[[#This Row],[Price_retail]]</f>
        <v>0.29014989293361887</v>
      </c>
      <c r="W250" s="3" t="str" cm="1">
        <f t="array" ref="W25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51" spans="1:23" x14ac:dyDescent="0.35">
      <c r="A251" s="2" t="s">
        <v>1039</v>
      </c>
      <c r="B251" s="2" t="s">
        <v>1040</v>
      </c>
      <c r="C251" s="2" t="s">
        <v>2915</v>
      </c>
      <c r="D251" s="2" t="s">
        <v>621</v>
      </c>
      <c r="E251" s="2" t="s">
        <v>4</v>
      </c>
      <c r="F251" s="2" t="s">
        <v>17</v>
      </c>
      <c r="G251" s="2" t="s">
        <v>50</v>
      </c>
      <c r="H251" s="2" t="s">
        <v>68</v>
      </c>
      <c r="I251" s="2" t="s">
        <v>3393</v>
      </c>
      <c r="J251" s="3">
        <v>38.1</v>
      </c>
      <c r="K251" s="3">
        <v>38.1</v>
      </c>
      <c r="L251" s="2" t="s">
        <v>3391</v>
      </c>
      <c r="M251" s="2" t="s">
        <v>9</v>
      </c>
      <c r="N251" s="3">
        <v>223</v>
      </c>
      <c r="O251" s="2" t="s">
        <v>3392</v>
      </c>
      <c r="P251" s="2" t="s">
        <v>215</v>
      </c>
      <c r="Q251" s="3"/>
      <c r="R251" s="3"/>
      <c r="S251" s="2" t="s">
        <v>21</v>
      </c>
      <c r="T251" s="4">
        <v>44955</v>
      </c>
      <c r="U251" s="2" t="s">
        <v>1041</v>
      </c>
      <c r="V251" s="6">
        <f>(Sales[[#This Row],[Price_retail]]-Sales[[#This Row],[Price_current]])/Sales[[#This Row],[Price_retail]]</f>
        <v>0</v>
      </c>
      <c r="W251" s="3" t="str" cm="1">
        <f t="array" ref="W25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52" spans="1:23" x14ac:dyDescent="0.35">
      <c r="A252" s="2" t="s">
        <v>1042</v>
      </c>
      <c r="B252" s="2" t="s">
        <v>1043</v>
      </c>
      <c r="C252" s="2" t="s">
        <v>387</v>
      </c>
      <c r="D252" s="2" t="s">
        <v>894</v>
      </c>
      <c r="E252" s="2" t="s">
        <v>4</v>
      </c>
      <c r="F252" s="2" t="s">
        <v>5</v>
      </c>
      <c r="G252" s="2" t="s">
        <v>6</v>
      </c>
      <c r="H252" s="2" t="s">
        <v>145</v>
      </c>
      <c r="I252" s="2" t="s">
        <v>3393</v>
      </c>
      <c r="J252" s="3">
        <v>30.52</v>
      </c>
      <c r="K252" s="3">
        <v>30.52</v>
      </c>
      <c r="L252" s="2" t="s">
        <v>3391</v>
      </c>
      <c r="M252" s="2" t="s">
        <v>9</v>
      </c>
      <c r="N252" s="3">
        <v>662</v>
      </c>
      <c r="O252" s="2" t="s">
        <v>104</v>
      </c>
      <c r="P252" s="2" t="s">
        <v>186</v>
      </c>
      <c r="Q252" s="3"/>
      <c r="R252" s="3"/>
      <c r="S252" s="2" t="s">
        <v>21</v>
      </c>
      <c r="T252" s="4">
        <v>44955</v>
      </c>
      <c r="U252" s="2" t="s">
        <v>1044</v>
      </c>
      <c r="V252" s="6">
        <f>(Sales[[#This Row],[Price_retail]]-Sales[[#This Row],[Price_current]])/Sales[[#This Row],[Price_retail]]</f>
        <v>0</v>
      </c>
      <c r="W252" s="3" t="str" cm="1">
        <f t="array" ref="W2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53" spans="1:23" x14ac:dyDescent="0.35">
      <c r="A253" s="2" t="s">
        <v>1045</v>
      </c>
      <c r="B253" s="2" t="s">
        <v>1046</v>
      </c>
      <c r="C253" s="2" t="s">
        <v>1743</v>
      </c>
      <c r="D253" s="2" t="s">
        <v>725</v>
      </c>
      <c r="E253" s="2" t="s">
        <v>4</v>
      </c>
      <c r="F253" s="2" t="s">
        <v>17</v>
      </c>
      <c r="G253" s="2" t="s">
        <v>18</v>
      </c>
      <c r="H253" s="2" t="s">
        <v>110</v>
      </c>
      <c r="I253" s="2" t="s">
        <v>3390</v>
      </c>
      <c r="J253" s="3">
        <v>23.53</v>
      </c>
      <c r="K253" s="3">
        <v>17.850000000000001</v>
      </c>
      <c r="L253" s="2" t="s">
        <v>8</v>
      </c>
      <c r="M253" s="2" t="s">
        <v>9</v>
      </c>
      <c r="N253" s="3">
        <v>550</v>
      </c>
      <c r="O253" s="2" t="s">
        <v>69</v>
      </c>
      <c r="P253" s="2" t="s">
        <v>61</v>
      </c>
      <c r="Q253" s="3"/>
      <c r="R253" s="3"/>
      <c r="S253" s="2" t="s">
        <v>21</v>
      </c>
      <c r="T253" s="4">
        <v>44955</v>
      </c>
      <c r="U253" s="2" t="s">
        <v>1047</v>
      </c>
      <c r="V253" s="6">
        <f>(Sales[[#This Row],[Price_retail]]-Sales[[#This Row],[Price_current]])/Sales[[#This Row],[Price_retail]]</f>
        <v>0.24139396515087119</v>
      </c>
      <c r="W253" s="3" t="str" cm="1">
        <f t="array" ref="W25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54" spans="1:23" x14ac:dyDescent="0.35">
      <c r="A254" s="2" t="s">
        <v>1048</v>
      </c>
      <c r="B254" s="2" t="s">
        <v>1049</v>
      </c>
      <c r="C254" s="2" t="s">
        <v>3394</v>
      </c>
      <c r="D254" s="2" t="s">
        <v>1050</v>
      </c>
      <c r="E254" s="2" t="s">
        <v>4</v>
      </c>
      <c r="F254" s="2" t="s">
        <v>5</v>
      </c>
      <c r="G254" s="2" t="s">
        <v>6</v>
      </c>
      <c r="H254" s="2" t="s">
        <v>68</v>
      </c>
      <c r="I254" s="2" t="s">
        <v>3393</v>
      </c>
      <c r="J254" s="3">
        <v>26.23</v>
      </c>
      <c r="K254" s="3">
        <v>18.100000000000001</v>
      </c>
      <c r="L254" s="2" t="s">
        <v>8</v>
      </c>
      <c r="M254" s="2" t="s">
        <v>9</v>
      </c>
      <c r="N254" s="3">
        <v>145</v>
      </c>
      <c r="O254" s="2" t="s">
        <v>43</v>
      </c>
      <c r="P254" s="2" t="s">
        <v>128</v>
      </c>
      <c r="Q254" s="3"/>
      <c r="R254" s="3"/>
      <c r="S254" s="2" t="s">
        <v>21</v>
      </c>
      <c r="T254" s="4">
        <v>44955</v>
      </c>
      <c r="U254" s="2" t="s">
        <v>1051</v>
      </c>
      <c r="V254" s="6">
        <f>(Sales[[#This Row],[Price_retail]]-Sales[[#This Row],[Price_current]])/Sales[[#This Row],[Price_retail]]</f>
        <v>0.30995043842927938</v>
      </c>
      <c r="W254" s="3" t="str" cm="1">
        <f t="array" ref="W25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55" spans="1:23" x14ac:dyDescent="0.35">
      <c r="A255" s="2" t="s">
        <v>1052</v>
      </c>
      <c r="B255" s="2" t="s">
        <v>1053</v>
      </c>
      <c r="C255" s="2" t="s">
        <v>1743</v>
      </c>
      <c r="D255" s="2" t="s">
        <v>279</v>
      </c>
      <c r="E255" s="2" t="s">
        <v>4</v>
      </c>
      <c r="F255" s="2" t="s">
        <v>17</v>
      </c>
      <c r="G255" s="2" t="s">
        <v>27</v>
      </c>
      <c r="H255" s="2" t="s">
        <v>28</v>
      </c>
      <c r="I255" s="2" t="s">
        <v>3393</v>
      </c>
      <c r="J255" s="3">
        <v>24.91</v>
      </c>
      <c r="K255" s="3">
        <v>13.35</v>
      </c>
      <c r="L255" s="2" t="s">
        <v>8</v>
      </c>
      <c r="M255" s="2" t="s">
        <v>9</v>
      </c>
      <c r="N255" s="3">
        <v>646</v>
      </c>
      <c r="O255" s="2" t="s">
        <v>3392</v>
      </c>
      <c r="P255" s="2" t="s">
        <v>122</v>
      </c>
      <c r="Q255" s="3"/>
      <c r="R255" s="3"/>
      <c r="S255" s="2" t="s">
        <v>21</v>
      </c>
      <c r="T255" s="4">
        <v>44955</v>
      </c>
      <c r="U255" s="2" t="s">
        <v>1054</v>
      </c>
      <c r="V255" s="6">
        <f>(Sales[[#This Row],[Price_retail]]-Sales[[#This Row],[Price_current]])/Sales[[#This Row],[Price_retail]]</f>
        <v>0.46407065435568046</v>
      </c>
      <c r="W255" s="3" t="str" cm="1">
        <f t="array" ref="W25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56" spans="1:23" x14ac:dyDescent="0.35">
      <c r="A256" s="2" t="s">
        <v>1055</v>
      </c>
      <c r="B256" s="2" t="s">
        <v>1056</v>
      </c>
      <c r="C256" s="2" t="s">
        <v>3433</v>
      </c>
      <c r="D256" s="2" t="s">
        <v>3415</v>
      </c>
      <c r="E256" s="2" t="s">
        <v>4</v>
      </c>
      <c r="F256" s="2" t="s">
        <v>17</v>
      </c>
      <c r="G256" s="2" t="s">
        <v>67</v>
      </c>
      <c r="H256" s="2" t="s">
        <v>333</v>
      </c>
      <c r="I256" s="2" t="s">
        <v>3393</v>
      </c>
      <c r="J256" s="3">
        <v>13.09</v>
      </c>
      <c r="K256" s="3">
        <v>8.56</v>
      </c>
      <c r="L256" s="2" t="s">
        <v>8</v>
      </c>
      <c r="M256" s="2" t="s">
        <v>9</v>
      </c>
      <c r="N256" s="3">
        <v>157</v>
      </c>
      <c r="O256" s="2" t="s">
        <v>104</v>
      </c>
      <c r="P256" s="2" t="s">
        <v>84</v>
      </c>
      <c r="Q256" s="3"/>
      <c r="R256" s="3"/>
      <c r="S256" s="2" t="s">
        <v>21</v>
      </c>
      <c r="T256" s="4">
        <v>44955</v>
      </c>
      <c r="U256" s="2" t="s">
        <v>1057</v>
      </c>
      <c r="V256" s="6">
        <f>(Sales[[#This Row],[Price_retail]]-Sales[[#This Row],[Price_current]])/Sales[[#This Row],[Price_retail]]</f>
        <v>0.34606569900687545</v>
      </c>
      <c r="W256" s="3" t="str" cm="1">
        <f t="array" ref="W25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57" spans="1:23" x14ac:dyDescent="0.35">
      <c r="A257" s="2" t="s">
        <v>1058</v>
      </c>
      <c r="B257" s="2" t="s">
        <v>1059</v>
      </c>
      <c r="C257" s="2" t="s">
        <v>3414</v>
      </c>
      <c r="D257" s="2" t="s">
        <v>1060</v>
      </c>
      <c r="E257" s="2" t="s">
        <v>4</v>
      </c>
      <c r="F257" s="2" t="s">
        <v>17</v>
      </c>
      <c r="G257" s="2" t="s">
        <v>50</v>
      </c>
      <c r="H257" s="2" t="s">
        <v>418</v>
      </c>
      <c r="I257" s="2" t="s">
        <v>3390</v>
      </c>
      <c r="J257" s="3">
        <v>16.059999999999999</v>
      </c>
      <c r="K257" s="3">
        <v>13.48</v>
      </c>
      <c r="L257" s="2" t="s">
        <v>8</v>
      </c>
      <c r="M257" s="2" t="s">
        <v>9</v>
      </c>
      <c r="N257" s="3">
        <v>618</v>
      </c>
      <c r="O257" s="2" t="s">
        <v>3392</v>
      </c>
      <c r="P257" s="2" t="s">
        <v>53</v>
      </c>
      <c r="Q257" s="3"/>
      <c r="R257" s="3"/>
      <c r="S257" s="2" t="s">
        <v>21</v>
      </c>
      <c r="T257" s="4">
        <v>44955</v>
      </c>
      <c r="U257" s="2" t="s">
        <v>1061</v>
      </c>
      <c r="V257" s="6">
        <f>(Sales[[#This Row],[Price_retail]]-Sales[[#This Row],[Price_current]])/Sales[[#This Row],[Price_retail]]</f>
        <v>0.16064757160647564</v>
      </c>
      <c r="W257" s="3" t="str" cm="1">
        <f t="array" ref="W257">_xlfn.IFS(Sales[[#This Row],[Discount]]=0%,"No Discount",Sales[[#This Row],[Discount]]&lt;=20%,"Light",Sales[[#This Row],[Discount]]&lt;=50%,"Moderate",Sales[[#This Row],[Discount]]&lt;=80%,"High",
TRUE,"Very High")</f>
        <v>Light</v>
      </c>
    </row>
    <row r="258" spans="1:23" x14ac:dyDescent="0.35">
      <c r="A258" s="2" t="s">
        <v>1062</v>
      </c>
      <c r="B258" s="2" t="s">
        <v>1063</v>
      </c>
      <c r="C258" s="2" t="s">
        <v>333</v>
      </c>
      <c r="D258" s="2" t="s">
        <v>446</v>
      </c>
      <c r="E258" s="2" t="s">
        <v>4</v>
      </c>
      <c r="F258" s="2" t="s">
        <v>17</v>
      </c>
      <c r="G258" s="2" t="s">
        <v>50</v>
      </c>
      <c r="H258" s="2" t="s">
        <v>145</v>
      </c>
      <c r="I258" s="2" t="s">
        <v>3395</v>
      </c>
      <c r="J258" s="3">
        <v>8.99</v>
      </c>
      <c r="K258" s="3">
        <v>8.99</v>
      </c>
      <c r="L258" s="2" t="s">
        <v>3391</v>
      </c>
      <c r="M258" s="2" t="s">
        <v>9</v>
      </c>
      <c r="N258" s="3">
        <v>298</v>
      </c>
      <c r="O258" s="2" t="s">
        <v>98</v>
      </c>
      <c r="P258" s="2" t="s">
        <v>368</v>
      </c>
      <c r="Q258" s="3"/>
      <c r="R258" s="3"/>
      <c r="S258" s="2" t="s">
        <v>12</v>
      </c>
      <c r="T258" s="4">
        <v>44955</v>
      </c>
      <c r="U258" s="2" t="s">
        <v>1064</v>
      </c>
      <c r="V258" s="6">
        <f>(Sales[[#This Row],[Price_retail]]-Sales[[#This Row],[Price_current]])/Sales[[#This Row],[Price_retail]]</f>
        <v>0</v>
      </c>
      <c r="W258" s="3" t="str" cm="1">
        <f t="array" ref="W25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59" spans="1:23" x14ac:dyDescent="0.35">
      <c r="A259" s="2" t="s">
        <v>1065</v>
      </c>
      <c r="B259" s="2" t="s">
        <v>1066</v>
      </c>
      <c r="C259" s="2" t="s">
        <v>3394</v>
      </c>
      <c r="D259" s="2" t="s">
        <v>608</v>
      </c>
      <c r="E259" s="2" t="s">
        <v>4</v>
      </c>
      <c r="F259" s="2" t="s">
        <v>17</v>
      </c>
      <c r="G259" s="2" t="s">
        <v>27</v>
      </c>
      <c r="H259" s="2" t="s">
        <v>51</v>
      </c>
      <c r="I259" s="2" t="s">
        <v>3390</v>
      </c>
      <c r="J259" s="3">
        <v>14.89</v>
      </c>
      <c r="K259" s="3">
        <v>9.15</v>
      </c>
      <c r="L259" s="2" t="s">
        <v>8</v>
      </c>
      <c r="M259" s="2" t="s">
        <v>9</v>
      </c>
      <c r="N259" s="3">
        <v>513</v>
      </c>
      <c r="O259" s="2" t="s">
        <v>261</v>
      </c>
      <c r="P259" s="2" t="s">
        <v>221</v>
      </c>
      <c r="Q259" s="3"/>
      <c r="R259" s="3"/>
      <c r="S259" s="2" t="s">
        <v>21</v>
      </c>
      <c r="T259" s="4">
        <v>44955</v>
      </c>
      <c r="U259" s="2" t="s">
        <v>1067</v>
      </c>
      <c r="V259" s="6">
        <f>(Sales[[#This Row],[Price_retail]]-Sales[[#This Row],[Price_current]])/Sales[[#This Row],[Price_retail]]</f>
        <v>0.38549361987911351</v>
      </c>
      <c r="W259" s="3" t="str" cm="1">
        <f t="array" ref="W25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60" spans="1:23" x14ac:dyDescent="0.35">
      <c r="A260" s="2" t="s">
        <v>1068</v>
      </c>
      <c r="B260" s="2" t="s">
        <v>1069</v>
      </c>
      <c r="C260" s="2" t="s">
        <v>318</v>
      </c>
      <c r="D260" s="2" t="s">
        <v>450</v>
      </c>
      <c r="E260" s="2" t="s">
        <v>4</v>
      </c>
      <c r="F260" s="2" t="s">
        <v>5</v>
      </c>
      <c r="G260" s="2" t="s">
        <v>121</v>
      </c>
      <c r="H260" s="2" t="s">
        <v>59</v>
      </c>
      <c r="I260" s="2" t="s">
        <v>3389</v>
      </c>
      <c r="J260" s="3">
        <v>29.99</v>
      </c>
      <c r="K260" s="3">
        <v>29.99</v>
      </c>
      <c r="L260" s="2" t="s">
        <v>3391</v>
      </c>
      <c r="M260" s="2" t="s">
        <v>9</v>
      </c>
      <c r="N260" s="3">
        <v>446</v>
      </c>
      <c r="O260" s="2" t="s">
        <v>43</v>
      </c>
      <c r="P260" s="2" t="s">
        <v>215</v>
      </c>
      <c r="Q260" s="3"/>
      <c r="R260" s="3"/>
      <c r="S260" s="2" t="s">
        <v>12</v>
      </c>
      <c r="T260" s="4">
        <v>44955</v>
      </c>
      <c r="U260" s="2" t="s">
        <v>1070</v>
      </c>
      <c r="V260" s="6">
        <f>(Sales[[#This Row],[Price_retail]]-Sales[[#This Row],[Price_current]])/Sales[[#This Row],[Price_retail]]</f>
        <v>0</v>
      </c>
      <c r="W260" s="3" t="str" cm="1">
        <f t="array" ref="W26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1" spans="1:23" x14ac:dyDescent="0.35">
      <c r="A261" s="2" t="s">
        <v>1071</v>
      </c>
      <c r="B261" s="2" t="s">
        <v>1072</v>
      </c>
      <c r="C261" s="2" t="s">
        <v>1073</v>
      </c>
      <c r="D261" s="2" t="s">
        <v>74</v>
      </c>
      <c r="E261" s="2" t="s">
        <v>4</v>
      </c>
      <c r="F261" s="2" t="s">
        <v>17</v>
      </c>
      <c r="G261" s="2" t="s">
        <v>50</v>
      </c>
      <c r="H261" s="2" t="s">
        <v>35</v>
      </c>
      <c r="I261" s="2" t="s">
        <v>3390</v>
      </c>
      <c r="J261" s="3">
        <v>10.88</v>
      </c>
      <c r="K261" s="3">
        <v>8.5</v>
      </c>
      <c r="L261" s="2" t="s">
        <v>8</v>
      </c>
      <c r="M261" s="2" t="s">
        <v>9</v>
      </c>
      <c r="N261" s="3">
        <v>463</v>
      </c>
      <c r="O261" s="2" t="s">
        <v>104</v>
      </c>
      <c r="P261" s="2" t="s">
        <v>177</v>
      </c>
      <c r="Q261" s="3"/>
      <c r="R261" s="3"/>
      <c r="S261" s="2" t="s">
        <v>21</v>
      </c>
      <c r="T261" s="4">
        <v>44955</v>
      </c>
      <c r="U261" s="2" t="s">
        <v>1074</v>
      </c>
      <c r="V261" s="6">
        <f>(Sales[[#This Row],[Price_retail]]-Sales[[#This Row],[Price_current]])/Sales[[#This Row],[Price_retail]]</f>
        <v>0.21875000000000006</v>
      </c>
      <c r="W261" s="3" t="str" cm="1">
        <f t="array" ref="W26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62" spans="1:23" x14ac:dyDescent="0.35">
      <c r="A262" s="2" t="s">
        <v>1075</v>
      </c>
      <c r="B262" s="2" t="s">
        <v>1076</v>
      </c>
      <c r="C262" s="2" t="s">
        <v>102</v>
      </c>
      <c r="D262" s="2" t="s">
        <v>220</v>
      </c>
      <c r="E262" s="2" t="s">
        <v>4</v>
      </c>
      <c r="F262" s="2" t="s">
        <v>17</v>
      </c>
      <c r="G262" s="2" t="s">
        <v>27</v>
      </c>
      <c r="H262" s="2" t="s">
        <v>139</v>
      </c>
      <c r="I262" s="2" t="s">
        <v>3395</v>
      </c>
      <c r="J262" s="3">
        <v>27.46</v>
      </c>
      <c r="K262" s="3">
        <v>25.5</v>
      </c>
      <c r="L262" s="2" t="s">
        <v>8</v>
      </c>
      <c r="M262" s="2" t="s">
        <v>9</v>
      </c>
      <c r="N262" s="3">
        <v>333</v>
      </c>
      <c r="O262" s="2" t="s">
        <v>140</v>
      </c>
      <c r="P262" s="2" t="s">
        <v>368</v>
      </c>
      <c r="Q262" s="3"/>
      <c r="R262" s="3"/>
      <c r="S262" s="2" t="s">
        <v>21</v>
      </c>
      <c r="T262" s="4">
        <v>44955</v>
      </c>
      <c r="U262" s="2" t="s">
        <v>1077</v>
      </c>
      <c r="V262" s="6">
        <f>(Sales[[#This Row],[Price_retail]]-Sales[[#This Row],[Price_current]])/Sales[[#This Row],[Price_retail]]</f>
        <v>7.1376547705753857E-2</v>
      </c>
      <c r="W262" s="3" t="str" cm="1">
        <f t="array" ref="W262">_xlfn.IFS(Sales[[#This Row],[Discount]]=0%,"No Discount",Sales[[#This Row],[Discount]]&lt;=20%,"Light",Sales[[#This Row],[Discount]]&lt;=50%,"Moderate",Sales[[#This Row],[Discount]]&lt;=80%,"High",
TRUE,"Very High")</f>
        <v>Light</v>
      </c>
    </row>
    <row r="263" spans="1:23" x14ac:dyDescent="0.35">
      <c r="A263" s="2" t="s">
        <v>1078</v>
      </c>
      <c r="B263" s="2" t="s">
        <v>1079</v>
      </c>
      <c r="C263" s="2" t="s">
        <v>423</v>
      </c>
      <c r="D263" s="2" t="s">
        <v>1050</v>
      </c>
      <c r="E263" s="2" t="s">
        <v>4</v>
      </c>
      <c r="F263" s="2" t="s">
        <v>5</v>
      </c>
      <c r="G263" s="2" t="s">
        <v>6</v>
      </c>
      <c r="H263" s="2" t="s">
        <v>68</v>
      </c>
      <c r="I263" s="2" t="s">
        <v>3390</v>
      </c>
      <c r="J263" s="3">
        <v>16.45</v>
      </c>
      <c r="K263" s="3">
        <v>16.45</v>
      </c>
      <c r="L263" s="2" t="s">
        <v>3391</v>
      </c>
      <c r="M263" s="2" t="s">
        <v>9</v>
      </c>
      <c r="N263" s="3">
        <v>44</v>
      </c>
      <c r="O263" s="2" t="s">
        <v>3392</v>
      </c>
      <c r="P263" s="2" t="s">
        <v>238</v>
      </c>
      <c r="Q263" s="3"/>
      <c r="R263" s="3"/>
      <c r="S263" s="2" t="s">
        <v>21</v>
      </c>
      <c r="T263" s="4">
        <v>44955</v>
      </c>
      <c r="U263" s="2" t="s">
        <v>1080</v>
      </c>
      <c r="V263" s="6">
        <f>(Sales[[#This Row],[Price_retail]]-Sales[[#This Row],[Price_current]])/Sales[[#This Row],[Price_retail]]</f>
        <v>0</v>
      </c>
      <c r="W263" s="3" t="str" cm="1">
        <f t="array" ref="W2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4" spans="1:23" x14ac:dyDescent="0.35">
      <c r="A264" s="2" t="s">
        <v>1081</v>
      </c>
      <c r="B264" s="2" t="s">
        <v>1082</v>
      </c>
      <c r="C264" s="2" t="s">
        <v>306</v>
      </c>
      <c r="D264" s="2" t="s">
        <v>490</v>
      </c>
      <c r="E264" s="2" t="s">
        <v>4</v>
      </c>
      <c r="F264" s="2" t="s">
        <v>17</v>
      </c>
      <c r="G264" s="2" t="s">
        <v>27</v>
      </c>
      <c r="H264" s="2" t="s">
        <v>185</v>
      </c>
      <c r="I264" s="2" t="s">
        <v>3390</v>
      </c>
      <c r="J264" s="3">
        <v>8.99</v>
      </c>
      <c r="K264" s="3">
        <v>8.99</v>
      </c>
      <c r="L264" s="2" t="s">
        <v>3391</v>
      </c>
      <c r="M264" s="2" t="s">
        <v>9</v>
      </c>
      <c r="N264" s="3">
        <v>745</v>
      </c>
      <c r="O264" s="2" t="s">
        <v>52</v>
      </c>
      <c r="P264" s="2" t="s">
        <v>61</v>
      </c>
      <c r="Q264" s="3"/>
      <c r="R264" s="3"/>
      <c r="S264" s="2" t="s">
        <v>21</v>
      </c>
      <c r="T264" s="4">
        <v>44955</v>
      </c>
      <c r="U264" s="2" t="s">
        <v>1083</v>
      </c>
      <c r="V264" s="6">
        <f>(Sales[[#This Row],[Price_retail]]-Sales[[#This Row],[Price_current]])/Sales[[#This Row],[Price_retail]]</f>
        <v>0</v>
      </c>
      <c r="W264" s="3" t="str" cm="1">
        <f t="array" ref="W2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5" spans="1:23" x14ac:dyDescent="0.35">
      <c r="A265" s="2" t="s">
        <v>1084</v>
      </c>
      <c r="B265" s="2" t="s">
        <v>1085</v>
      </c>
      <c r="C265" s="2" t="s">
        <v>1086</v>
      </c>
      <c r="D265" s="2" t="s">
        <v>424</v>
      </c>
      <c r="E265" s="2" t="s">
        <v>4</v>
      </c>
      <c r="F265" s="2" t="s">
        <v>5</v>
      </c>
      <c r="G265" s="2" t="s">
        <v>82</v>
      </c>
      <c r="H265" s="2" t="s">
        <v>59</v>
      </c>
      <c r="I265" s="2" t="s">
        <v>3393</v>
      </c>
      <c r="J265" s="3">
        <v>8.99</v>
      </c>
      <c r="K265" s="3">
        <v>8.99</v>
      </c>
      <c r="L265" s="2" t="s">
        <v>3391</v>
      </c>
      <c r="M265" s="2" t="s">
        <v>9</v>
      </c>
      <c r="N265" s="3">
        <v>211</v>
      </c>
      <c r="O265" s="2" t="s">
        <v>347</v>
      </c>
      <c r="P265" s="2" t="s">
        <v>30</v>
      </c>
      <c r="Q265" s="3"/>
      <c r="R265" s="3"/>
      <c r="S265" s="2" t="s">
        <v>21</v>
      </c>
      <c r="T265" s="4">
        <v>44955</v>
      </c>
      <c r="U265" s="2" t="s">
        <v>1087</v>
      </c>
      <c r="V265" s="6">
        <f>(Sales[[#This Row],[Price_retail]]-Sales[[#This Row],[Price_current]])/Sales[[#This Row],[Price_retail]]</f>
        <v>0</v>
      </c>
      <c r="W265" s="3" t="str" cm="1">
        <f t="array" ref="W2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6" spans="1:23" x14ac:dyDescent="0.35">
      <c r="A266" s="2" t="s">
        <v>1088</v>
      </c>
      <c r="B266" s="2" t="s">
        <v>1089</v>
      </c>
      <c r="C266" s="2" t="s">
        <v>1090</v>
      </c>
      <c r="D266" s="2" t="s">
        <v>1091</v>
      </c>
      <c r="E266" s="2" t="s">
        <v>4</v>
      </c>
      <c r="F266" s="2" t="s">
        <v>17</v>
      </c>
      <c r="G266" s="2" t="s">
        <v>67</v>
      </c>
      <c r="H266" s="2" t="s">
        <v>7</v>
      </c>
      <c r="I266" s="2" t="s">
        <v>3395</v>
      </c>
      <c r="J266" s="3">
        <v>25.94</v>
      </c>
      <c r="K266" s="3">
        <v>12.72</v>
      </c>
      <c r="L266" s="2" t="s">
        <v>8</v>
      </c>
      <c r="M266" s="2" t="s">
        <v>9</v>
      </c>
      <c r="N266" s="3">
        <v>396</v>
      </c>
      <c r="O266" s="2" t="s">
        <v>3392</v>
      </c>
      <c r="P266" s="2" t="s">
        <v>92</v>
      </c>
      <c r="Q266" s="3"/>
      <c r="R266" s="3"/>
      <c r="S266" s="2" t="s">
        <v>21</v>
      </c>
      <c r="T266" s="4">
        <v>44955</v>
      </c>
      <c r="U266" s="2" t="s">
        <v>1092</v>
      </c>
      <c r="V266" s="6">
        <f>(Sales[[#This Row],[Price_retail]]-Sales[[#This Row],[Price_current]])/Sales[[#This Row],[Price_retail]]</f>
        <v>0.5096376252891287</v>
      </c>
      <c r="W266" s="3" t="str" cm="1">
        <f t="array" ref="W266">_xlfn.IFS(Sales[[#This Row],[Discount]]=0%,"No Discount",Sales[[#This Row],[Discount]]&lt;=20%,"Light",Sales[[#This Row],[Discount]]&lt;=50%,"Moderate",Sales[[#This Row],[Discount]]&lt;=80%,"High",
TRUE,"Very High")</f>
        <v>High</v>
      </c>
    </row>
    <row r="267" spans="1:23" x14ac:dyDescent="0.35">
      <c r="A267" s="2" t="s">
        <v>1093</v>
      </c>
      <c r="B267" s="2" t="s">
        <v>1094</v>
      </c>
      <c r="C267" s="2" t="s">
        <v>3394</v>
      </c>
      <c r="D267" s="2" t="s">
        <v>501</v>
      </c>
      <c r="E267" s="2" t="s">
        <v>4</v>
      </c>
      <c r="F267" s="2" t="s">
        <v>17</v>
      </c>
      <c r="G267" s="2" t="s">
        <v>27</v>
      </c>
      <c r="H267" s="2" t="s">
        <v>83</v>
      </c>
      <c r="I267" s="2" t="s">
        <v>3393</v>
      </c>
      <c r="J267" s="3">
        <v>21.2</v>
      </c>
      <c r="K267" s="3">
        <v>21.2</v>
      </c>
      <c r="L267" s="2" t="s">
        <v>3391</v>
      </c>
      <c r="M267" s="2" t="s">
        <v>9</v>
      </c>
      <c r="N267" s="3">
        <v>250</v>
      </c>
      <c r="O267" s="2" t="s">
        <v>3392</v>
      </c>
      <c r="P267" s="2" t="s">
        <v>328</v>
      </c>
      <c r="Q267" s="3"/>
      <c r="R267" s="3"/>
      <c r="S267" s="2" t="s">
        <v>21</v>
      </c>
      <c r="T267" s="4">
        <v>44955</v>
      </c>
      <c r="U267" s="2" t="s">
        <v>1095</v>
      </c>
      <c r="V267" s="6">
        <f>(Sales[[#This Row],[Price_retail]]-Sales[[#This Row],[Price_current]])/Sales[[#This Row],[Price_retail]]</f>
        <v>0</v>
      </c>
      <c r="W267" s="3" t="str" cm="1">
        <f t="array" ref="W2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8" spans="1:23" x14ac:dyDescent="0.35">
      <c r="A268" s="2" t="s">
        <v>1096</v>
      </c>
      <c r="B268" s="2" t="s">
        <v>1097</v>
      </c>
      <c r="C268" s="2" t="s">
        <v>318</v>
      </c>
      <c r="D268" s="2" t="s">
        <v>133</v>
      </c>
      <c r="E268" s="2" t="s">
        <v>4</v>
      </c>
      <c r="F268" s="2" t="s">
        <v>17</v>
      </c>
      <c r="G268" s="2" t="s">
        <v>27</v>
      </c>
      <c r="H268" s="2" t="s">
        <v>134</v>
      </c>
      <c r="I268" s="2" t="s">
        <v>3390</v>
      </c>
      <c r="J268" s="3">
        <v>16.54</v>
      </c>
      <c r="K268" s="3">
        <v>16.54</v>
      </c>
      <c r="L268" s="2" t="s">
        <v>3391</v>
      </c>
      <c r="M268" s="2" t="s">
        <v>9</v>
      </c>
      <c r="N268" s="3">
        <v>520</v>
      </c>
      <c r="O268" s="2" t="s">
        <v>287</v>
      </c>
      <c r="P268" s="2" t="s">
        <v>368</v>
      </c>
      <c r="Q268" s="3"/>
      <c r="R268" s="3"/>
      <c r="S268" s="2" t="s">
        <v>21</v>
      </c>
      <c r="T268" s="4">
        <v>44955</v>
      </c>
      <c r="U268" s="2" t="s">
        <v>1098</v>
      </c>
      <c r="V268" s="6">
        <f>(Sales[[#This Row],[Price_retail]]-Sales[[#This Row],[Price_current]])/Sales[[#This Row],[Price_retail]]</f>
        <v>0</v>
      </c>
      <c r="W268" s="3" t="str" cm="1">
        <f t="array" ref="W26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69" spans="1:23" x14ac:dyDescent="0.35">
      <c r="A269" s="2" t="s">
        <v>1099</v>
      </c>
      <c r="B269" s="2" t="s">
        <v>1100</v>
      </c>
      <c r="C269" s="2" t="s">
        <v>3433</v>
      </c>
      <c r="D269" s="2" t="s">
        <v>1101</v>
      </c>
      <c r="E269" s="2" t="s">
        <v>4</v>
      </c>
      <c r="F269" s="2" t="s">
        <v>5</v>
      </c>
      <c r="G269" s="2" t="s">
        <v>121</v>
      </c>
      <c r="H269" s="2" t="s">
        <v>134</v>
      </c>
      <c r="I269" s="2" t="s">
        <v>3395</v>
      </c>
      <c r="J269" s="3">
        <v>13.45</v>
      </c>
      <c r="K269" s="3">
        <v>827</v>
      </c>
      <c r="L269" s="2" t="s">
        <v>8</v>
      </c>
      <c r="M269" s="2" t="s">
        <v>9</v>
      </c>
      <c r="N269" s="3">
        <v>634</v>
      </c>
      <c r="O269" s="2" t="s">
        <v>359</v>
      </c>
      <c r="P269" s="2" t="s">
        <v>61</v>
      </c>
      <c r="Q269" s="3"/>
      <c r="R269" s="3"/>
      <c r="S269" s="2" t="s">
        <v>21</v>
      </c>
      <c r="T269" s="4">
        <v>44955</v>
      </c>
      <c r="U269" s="2" t="s">
        <v>1102</v>
      </c>
      <c r="V269" s="6">
        <f>(Sales[[#This Row],[Price_retail]]-Sales[[#This Row],[Price_current]])/Sales[[#This Row],[Price_retail]]</f>
        <v>-60.486988847583646</v>
      </c>
      <c r="W269" s="3" t="str" cm="1">
        <f t="array" ref="W269">_xlfn.IFS(Sales[[#This Row],[Discount]]=0%,"No Discount",Sales[[#This Row],[Discount]]&lt;=20%,"Light",Sales[[#This Row],[Discount]]&lt;=50%,"Moderate",Sales[[#This Row],[Discount]]&lt;=80%,"High",
TRUE,"Very High")</f>
        <v>Light</v>
      </c>
    </row>
    <row r="270" spans="1:23" x14ac:dyDescent="0.35">
      <c r="A270" s="2" t="s">
        <v>1103</v>
      </c>
      <c r="B270" s="2" t="s">
        <v>1104</v>
      </c>
      <c r="C270" s="2" t="s">
        <v>108</v>
      </c>
      <c r="D270" s="2" t="s">
        <v>694</v>
      </c>
      <c r="E270" s="2" t="s">
        <v>4</v>
      </c>
      <c r="F270" s="2" t="s">
        <v>5</v>
      </c>
      <c r="G270" s="2" t="s">
        <v>121</v>
      </c>
      <c r="H270" s="2" t="s">
        <v>139</v>
      </c>
      <c r="I270" s="2" t="s">
        <v>3390</v>
      </c>
      <c r="J270" s="3">
        <v>17.559999999999999</v>
      </c>
      <c r="K270" s="3">
        <v>17.559999999999999</v>
      </c>
      <c r="L270" s="2" t="s">
        <v>3391</v>
      </c>
      <c r="M270" s="2" t="s">
        <v>9</v>
      </c>
      <c r="N270" s="3">
        <v>755</v>
      </c>
      <c r="O270" s="2" t="s">
        <v>191</v>
      </c>
      <c r="P270" s="2" t="s">
        <v>221</v>
      </c>
      <c r="Q270" s="3"/>
      <c r="R270" s="3"/>
      <c r="S270" s="2" t="s">
        <v>21</v>
      </c>
      <c r="T270" s="4">
        <v>44955</v>
      </c>
      <c r="U270" s="2" t="s">
        <v>1105</v>
      </c>
      <c r="V270" s="6">
        <f>(Sales[[#This Row],[Price_retail]]-Sales[[#This Row],[Price_current]])/Sales[[#This Row],[Price_retail]]</f>
        <v>0</v>
      </c>
      <c r="W270" s="3" t="str" cm="1">
        <f t="array" ref="W2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1" spans="1:23" x14ac:dyDescent="0.35">
      <c r="A271" s="2" t="s">
        <v>1107</v>
      </c>
      <c r="B271" s="2" t="s">
        <v>1108</v>
      </c>
      <c r="C271" s="2" t="s">
        <v>546</v>
      </c>
      <c r="D271" s="2" t="s">
        <v>542</v>
      </c>
      <c r="E271" s="2" t="s">
        <v>4</v>
      </c>
      <c r="F271" s="2" t="s">
        <v>17</v>
      </c>
      <c r="G271" s="2" t="s">
        <v>67</v>
      </c>
      <c r="H271" s="2" t="s">
        <v>333</v>
      </c>
      <c r="I271" s="2" t="s">
        <v>3390</v>
      </c>
      <c r="J271" s="3">
        <v>35.22</v>
      </c>
      <c r="K271" s="3">
        <v>35.22</v>
      </c>
      <c r="L271" s="2" t="s">
        <v>3391</v>
      </c>
      <c r="M271" s="2" t="s">
        <v>9</v>
      </c>
      <c r="N271" s="3">
        <v>943</v>
      </c>
      <c r="O271" s="2" t="s">
        <v>3392</v>
      </c>
      <c r="P271" s="2" t="s">
        <v>192</v>
      </c>
      <c r="Q271" s="3"/>
      <c r="R271" s="3"/>
      <c r="S271" s="2" t="s">
        <v>12</v>
      </c>
      <c r="T271" s="4">
        <v>44955</v>
      </c>
      <c r="U271" s="2" t="s">
        <v>1109</v>
      </c>
      <c r="V271" s="6">
        <f>(Sales[[#This Row],[Price_retail]]-Sales[[#This Row],[Price_current]])/Sales[[#This Row],[Price_retail]]</f>
        <v>0</v>
      </c>
      <c r="W271" s="3" t="str" cm="1">
        <f t="array" ref="W27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2" spans="1:23" x14ac:dyDescent="0.35">
      <c r="A272" s="2" t="s">
        <v>1110</v>
      </c>
      <c r="B272" s="2" t="s">
        <v>1111</v>
      </c>
      <c r="C272" s="2" t="s">
        <v>2915</v>
      </c>
      <c r="D272" s="2" t="s">
        <v>196</v>
      </c>
      <c r="E272" s="2" t="s">
        <v>4</v>
      </c>
      <c r="F272" s="2" t="s">
        <v>17</v>
      </c>
      <c r="G272" s="2" t="s">
        <v>67</v>
      </c>
      <c r="H272" s="2" t="s">
        <v>7</v>
      </c>
      <c r="I272" s="2" t="s">
        <v>3395</v>
      </c>
      <c r="J272" s="3">
        <v>36.159999999999997</v>
      </c>
      <c r="K272" s="3">
        <v>36.159999999999997</v>
      </c>
      <c r="L272" s="2" t="s">
        <v>3391</v>
      </c>
      <c r="M272" s="2" t="s">
        <v>9</v>
      </c>
      <c r="N272" s="3">
        <v>159</v>
      </c>
      <c r="O272" s="2" t="s">
        <v>163</v>
      </c>
      <c r="P272" s="2" t="s">
        <v>76</v>
      </c>
      <c r="Q272" s="3"/>
      <c r="R272" s="3"/>
      <c r="S272" s="2" t="s">
        <v>21</v>
      </c>
      <c r="T272" s="4">
        <v>44955</v>
      </c>
      <c r="U272" s="2" t="s">
        <v>1112</v>
      </c>
      <c r="V272" s="6">
        <f>(Sales[[#This Row],[Price_retail]]-Sales[[#This Row],[Price_current]])/Sales[[#This Row],[Price_retail]]</f>
        <v>0</v>
      </c>
      <c r="W272" s="3" t="str" cm="1">
        <f t="array" ref="W27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3" spans="1:23" x14ac:dyDescent="0.35">
      <c r="A273" s="2" t="s">
        <v>1113</v>
      </c>
      <c r="B273" s="2" t="s">
        <v>1114</v>
      </c>
      <c r="C273" s="2" t="s">
        <v>1115</v>
      </c>
      <c r="D273" s="2" t="s">
        <v>861</v>
      </c>
      <c r="E273" s="2" t="s">
        <v>4</v>
      </c>
      <c r="F273" s="2" t="s">
        <v>17</v>
      </c>
      <c r="G273" s="2" t="s">
        <v>67</v>
      </c>
      <c r="H273" s="2" t="s">
        <v>139</v>
      </c>
      <c r="I273" s="2" t="s">
        <v>3390</v>
      </c>
      <c r="J273" s="3">
        <v>19.190000000000001</v>
      </c>
      <c r="K273" s="3">
        <v>13.04</v>
      </c>
      <c r="L273" s="2" t="s">
        <v>8</v>
      </c>
      <c r="M273" s="2" t="s">
        <v>9</v>
      </c>
      <c r="N273" s="3">
        <v>545</v>
      </c>
      <c r="O273" s="2" t="s">
        <v>69</v>
      </c>
      <c r="P273" s="2" t="s">
        <v>76</v>
      </c>
      <c r="Q273" s="3"/>
      <c r="R273" s="3"/>
      <c r="S273" s="2" t="s">
        <v>21</v>
      </c>
      <c r="T273" s="4">
        <v>44955</v>
      </c>
      <c r="U273" s="2" t="s">
        <v>1116</v>
      </c>
      <c r="V273" s="6">
        <f>(Sales[[#This Row],[Price_retail]]-Sales[[#This Row],[Price_current]])/Sales[[#This Row],[Price_retail]]</f>
        <v>0.32047941636268901</v>
      </c>
      <c r="W273" s="3" t="str" cm="1">
        <f t="array" ref="W27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74" spans="1:23" x14ac:dyDescent="0.35">
      <c r="A274" s="2" t="s">
        <v>1117</v>
      </c>
      <c r="B274" s="2" t="s">
        <v>1118</v>
      </c>
      <c r="C274" s="2" t="s">
        <v>412</v>
      </c>
      <c r="D274" s="2" t="s">
        <v>253</v>
      </c>
      <c r="E274" s="2" t="s">
        <v>4</v>
      </c>
      <c r="F274" s="2" t="s">
        <v>5</v>
      </c>
      <c r="G274" s="2" t="s">
        <v>121</v>
      </c>
      <c r="H274" s="2" t="s">
        <v>35</v>
      </c>
      <c r="I274" s="2" t="s">
        <v>3390</v>
      </c>
      <c r="J274" s="3">
        <v>14.23</v>
      </c>
      <c r="K274" s="3">
        <v>10.119999999999999</v>
      </c>
      <c r="L274" s="2" t="s">
        <v>8</v>
      </c>
      <c r="M274" s="2" t="s">
        <v>9</v>
      </c>
      <c r="N274" s="3">
        <v>502</v>
      </c>
      <c r="O274" s="2" t="s">
        <v>140</v>
      </c>
      <c r="P274" s="2" t="s">
        <v>238</v>
      </c>
      <c r="Q274" s="3"/>
      <c r="R274" s="3"/>
      <c r="S274" s="2" t="s">
        <v>21</v>
      </c>
      <c r="T274" s="4">
        <v>44955</v>
      </c>
      <c r="U274" s="2" t="s">
        <v>1119</v>
      </c>
      <c r="V274" s="6">
        <f>(Sales[[#This Row],[Price_retail]]-Sales[[#This Row],[Price_current]])/Sales[[#This Row],[Price_retail]]</f>
        <v>0.28882642304989464</v>
      </c>
      <c r="W274" s="3" t="str" cm="1">
        <f t="array" ref="W27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75" spans="1:23" x14ac:dyDescent="0.35">
      <c r="A275" s="2" t="s">
        <v>1120</v>
      </c>
      <c r="B275" s="2" t="s">
        <v>1121</v>
      </c>
      <c r="C275" s="2" t="s">
        <v>242</v>
      </c>
      <c r="D275" s="2" t="s">
        <v>625</v>
      </c>
      <c r="E275" s="2" t="s">
        <v>4</v>
      </c>
      <c r="F275" s="2" t="s">
        <v>17</v>
      </c>
      <c r="G275" s="2" t="s">
        <v>50</v>
      </c>
      <c r="H275" s="2" t="s">
        <v>333</v>
      </c>
      <c r="I275" s="2" t="s">
        <v>3390</v>
      </c>
      <c r="J275" s="3">
        <v>16.95</v>
      </c>
      <c r="K275" s="3">
        <v>16.95</v>
      </c>
      <c r="L275" s="2" t="s">
        <v>3391</v>
      </c>
      <c r="M275" s="2" t="s">
        <v>9</v>
      </c>
      <c r="N275" s="3">
        <v>540</v>
      </c>
      <c r="O275" s="2" t="s">
        <v>104</v>
      </c>
      <c r="P275" s="2" t="s">
        <v>221</v>
      </c>
      <c r="Q275" s="3"/>
      <c r="R275" s="3"/>
      <c r="S275" s="2" t="s">
        <v>12</v>
      </c>
      <c r="T275" s="4">
        <v>44955</v>
      </c>
      <c r="U275" s="2" t="s">
        <v>1122</v>
      </c>
      <c r="V275" s="6">
        <f>(Sales[[#This Row],[Price_retail]]-Sales[[#This Row],[Price_current]])/Sales[[#This Row],[Price_retail]]</f>
        <v>0</v>
      </c>
      <c r="W275" s="3" t="str" cm="1">
        <f t="array" ref="W27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6" spans="1:23" x14ac:dyDescent="0.35">
      <c r="A276" s="2" t="s">
        <v>1123</v>
      </c>
      <c r="B276" s="2" t="s">
        <v>1124</v>
      </c>
      <c r="C276" s="2" t="s">
        <v>242</v>
      </c>
      <c r="D276" s="2" t="s">
        <v>1125</v>
      </c>
      <c r="E276" s="2" t="s">
        <v>4</v>
      </c>
      <c r="F276" s="2" t="s">
        <v>5</v>
      </c>
      <c r="G276" s="2" t="s">
        <v>82</v>
      </c>
      <c r="H276" s="2" t="s">
        <v>333</v>
      </c>
      <c r="I276" s="2" t="s">
        <v>3395</v>
      </c>
      <c r="J276" s="3">
        <v>20.85</v>
      </c>
      <c r="K276" s="3">
        <v>20.85</v>
      </c>
      <c r="L276" s="2" t="s">
        <v>3391</v>
      </c>
      <c r="M276" s="2" t="s">
        <v>9</v>
      </c>
      <c r="N276" s="3">
        <v>394</v>
      </c>
      <c r="O276" s="2" t="s">
        <v>98</v>
      </c>
      <c r="P276" s="2" t="s">
        <v>238</v>
      </c>
      <c r="Q276" s="3"/>
      <c r="R276" s="3"/>
      <c r="S276" s="2" t="s">
        <v>21</v>
      </c>
      <c r="T276" s="4">
        <v>44955</v>
      </c>
      <c r="U276" s="2" t="s">
        <v>1126</v>
      </c>
      <c r="V276" s="6">
        <f>(Sales[[#This Row],[Price_retail]]-Sales[[#This Row],[Price_current]])/Sales[[#This Row],[Price_retail]]</f>
        <v>0</v>
      </c>
      <c r="W276" s="3" t="str" cm="1">
        <f t="array" ref="W27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7" spans="1:23" x14ac:dyDescent="0.35">
      <c r="A277" s="2" t="s">
        <v>1127</v>
      </c>
      <c r="B277" s="2" t="s">
        <v>1128</v>
      </c>
      <c r="C277" s="2" t="s">
        <v>1743</v>
      </c>
      <c r="D277" s="2" t="s">
        <v>526</v>
      </c>
      <c r="E277" s="2" t="s">
        <v>4</v>
      </c>
      <c r="F277" s="2" t="s">
        <v>5</v>
      </c>
      <c r="G277" s="2" t="s">
        <v>121</v>
      </c>
      <c r="H277" s="2" t="s">
        <v>59</v>
      </c>
      <c r="I277" s="2" t="s">
        <v>3393</v>
      </c>
      <c r="J277" s="3">
        <v>20.8</v>
      </c>
      <c r="K277" s="3">
        <v>10.45</v>
      </c>
      <c r="L277" s="2" t="s">
        <v>8</v>
      </c>
      <c r="M277" s="2" t="s">
        <v>9</v>
      </c>
      <c r="N277" s="3">
        <v>774</v>
      </c>
      <c r="O277" s="2" t="s">
        <v>191</v>
      </c>
      <c r="P277" s="2" t="s">
        <v>186</v>
      </c>
      <c r="Q277" s="3"/>
      <c r="R277" s="3"/>
      <c r="S277" s="2" t="s">
        <v>21</v>
      </c>
      <c r="T277" s="4">
        <v>44955</v>
      </c>
      <c r="U277" s="2" t="s">
        <v>1129</v>
      </c>
      <c r="V277" s="6">
        <f>(Sales[[#This Row],[Price_retail]]-Sales[[#This Row],[Price_current]])/Sales[[#This Row],[Price_retail]]</f>
        <v>0.49759615384615391</v>
      </c>
      <c r="W277" s="3" t="str" cm="1">
        <f t="array" ref="W27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78" spans="1:23" x14ac:dyDescent="0.35">
      <c r="A278" s="2" t="s">
        <v>1130</v>
      </c>
      <c r="B278" s="2" t="s">
        <v>1131</v>
      </c>
      <c r="C278" s="2" t="s">
        <v>469</v>
      </c>
      <c r="D278" s="2" t="s">
        <v>674</v>
      </c>
      <c r="E278" s="2" t="s">
        <v>4</v>
      </c>
      <c r="F278" s="2" t="s">
        <v>5</v>
      </c>
      <c r="G278" s="2" t="s">
        <v>121</v>
      </c>
      <c r="H278" s="2" t="s">
        <v>333</v>
      </c>
      <c r="I278" s="2" t="s">
        <v>3395</v>
      </c>
      <c r="J278" s="3">
        <v>32.119999999999997</v>
      </c>
      <c r="K278" s="3">
        <v>32.119999999999997</v>
      </c>
      <c r="L278" s="2" t="s">
        <v>3391</v>
      </c>
      <c r="M278" s="2" t="s">
        <v>9</v>
      </c>
      <c r="N278" s="3">
        <v>107</v>
      </c>
      <c r="O278" s="2" t="s">
        <v>29</v>
      </c>
      <c r="P278" s="2" t="s">
        <v>238</v>
      </c>
      <c r="Q278" s="3"/>
      <c r="R278" s="3"/>
      <c r="S278" s="2" t="s">
        <v>21</v>
      </c>
      <c r="T278" s="4">
        <v>44955</v>
      </c>
      <c r="U278" s="2" t="s">
        <v>1132</v>
      </c>
      <c r="V278" s="6">
        <f>(Sales[[#This Row],[Price_retail]]-Sales[[#This Row],[Price_current]])/Sales[[#This Row],[Price_retail]]</f>
        <v>0</v>
      </c>
      <c r="W278" s="3" t="str" cm="1">
        <f t="array" ref="W2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79" spans="1:23" x14ac:dyDescent="0.35">
      <c r="A279" s="2" t="s">
        <v>1133</v>
      </c>
      <c r="B279" s="2" t="s">
        <v>1134</v>
      </c>
      <c r="C279" s="2" t="s">
        <v>1135</v>
      </c>
      <c r="D279" s="2" t="s">
        <v>372</v>
      </c>
      <c r="E279" s="2" t="s">
        <v>4</v>
      </c>
      <c r="F279" s="2" t="s">
        <v>5</v>
      </c>
      <c r="G279" s="2" t="s">
        <v>82</v>
      </c>
      <c r="H279" s="2" t="s">
        <v>134</v>
      </c>
      <c r="I279" s="2" t="s">
        <v>3390</v>
      </c>
      <c r="J279" s="3">
        <v>50.08</v>
      </c>
      <c r="K279" s="3">
        <v>15.02</v>
      </c>
      <c r="L279" s="2" t="s">
        <v>8</v>
      </c>
      <c r="M279" s="2" t="s">
        <v>9</v>
      </c>
      <c r="N279" s="3">
        <v>393</v>
      </c>
      <c r="O279" s="2" t="s">
        <v>287</v>
      </c>
      <c r="P279" s="2" t="s">
        <v>192</v>
      </c>
      <c r="Q279" s="3"/>
      <c r="R279" s="3"/>
      <c r="S279" s="2" t="s">
        <v>21</v>
      </c>
      <c r="T279" s="4">
        <v>44955</v>
      </c>
      <c r="U279" s="2" t="s">
        <v>1136</v>
      </c>
      <c r="V279" s="6">
        <f>(Sales[[#This Row],[Price_retail]]-Sales[[#This Row],[Price_current]])/Sales[[#This Row],[Price_retail]]</f>
        <v>0.70007987220447288</v>
      </c>
      <c r="W279" s="3" t="str" cm="1">
        <f t="array" ref="W279">_xlfn.IFS(Sales[[#This Row],[Discount]]=0%,"No Discount",Sales[[#This Row],[Discount]]&lt;=20%,"Light",Sales[[#This Row],[Discount]]&lt;=50%,"Moderate",Sales[[#This Row],[Discount]]&lt;=80%,"High",
TRUE,"Very High")</f>
        <v>High</v>
      </c>
    </row>
    <row r="280" spans="1:23" x14ac:dyDescent="0.35">
      <c r="A280" s="2" t="s">
        <v>1137</v>
      </c>
      <c r="B280" s="2" t="s">
        <v>1138</v>
      </c>
      <c r="C280" s="2" t="s">
        <v>616</v>
      </c>
      <c r="D280" s="2" t="s">
        <v>1139</v>
      </c>
      <c r="E280" s="2" t="s">
        <v>4</v>
      </c>
      <c r="F280" s="2" t="s">
        <v>17</v>
      </c>
      <c r="G280" s="2" t="s">
        <v>18</v>
      </c>
      <c r="H280" s="2" t="s">
        <v>418</v>
      </c>
      <c r="I280" s="2" t="s">
        <v>3395</v>
      </c>
      <c r="J280" s="3">
        <v>13.97</v>
      </c>
      <c r="K280" s="3">
        <v>13.97</v>
      </c>
      <c r="L280" s="2" t="s">
        <v>3391</v>
      </c>
      <c r="M280" s="2" t="s">
        <v>9</v>
      </c>
      <c r="N280" s="3">
        <v>60</v>
      </c>
      <c r="O280" s="2" t="s">
        <v>91</v>
      </c>
      <c r="P280" s="2" t="s">
        <v>44</v>
      </c>
      <c r="Q280" s="3"/>
      <c r="R280" s="3"/>
      <c r="S280" s="2" t="s">
        <v>21</v>
      </c>
      <c r="T280" s="4">
        <v>44955</v>
      </c>
      <c r="U280" s="2" t="s">
        <v>1140</v>
      </c>
      <c r="V280" s="6">
        <f>(Sales[[#This Row],[Price_retail]]-Sales[[#This Row],[Price_current]])/Sales[[#This Row],[Price_retail]]</f>
        <v>0</v>
      </c>
      <c r="W280" s="3" t="str" cm="1">
        <f t="array" ref="W28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1" spans="1:23" x14ac:dyDescent="0.35">
      <c r="A281" s="2" t="s">
        <v>1141</v>
      </c>
      <c r="B281" s="2" t="s">
        <v>1142</v>
      </c>
      <c r="C281" s="2" t="s">
        <v>1143</v>
      </c>
      <c r="D281" s="2" t="s">
        <v>742</v>
      </c>
      <c r="E281" s="2" t="s">
        <v>4</v>
      </c>
      <c r="F281" s="2" t="s">
        <v>5</v>
      </c>
      <c r="G281" s="2" t="s">
        <v>6</v>
      </c>
      <c r="H281" s="2" t="s">
        <v>168</v>
      </c>
      <c r="I281" s="2" t="s">
        <v>3395</v>
      </c>
      <c r="J281" s="3">
        <v>51.2</v>
      </c>
      <c r="K281" s="3">
        <v>51.2</v>
      </c>
      <c r="L281" s="2" t="s">
        <v>248</v>
      </c>
      <c r="M281" s="2" t="s">
        <v>9</v>
      </c>
      <c r="N281" s="3">
        <v>897</v>
      </c>
      <c r="O281" s="2" t="s">
        <v>75</v>
      </c>
      <c r="P281" s="2" t="s">
        <v>30</v>
      </c>
      <c r="Q281" s="3"/>
      <c r="R281" s="3"/>
      <c r="S281" s="2" t="s">
        <v>21</v>
      </c>
      <c r="T281" s="4">
        <v>44955</v>
      </c>
      <c r="U281" s="2" t="s">
        <v>1144</v>
      </c>
      <c r="V281" s="6">
        <f>(Sales[[#This Row],[Price_retail]]-Sales[[#This Row],[Price_current]])/Sales[[#This Row],[Price_retail]]</f>
        <v>0</v>
      </c>
      <c r="W281" s="3" t="str" cm="1">
        <f t="array" ref="W28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2" spans="1:23" x14ac:dyDescent="0.35">
      <c r="A282" s="2" t="s">
        <v>1145</v>
      </c>
      <c r="B282" s="2" t="s">
        <v>1146</v>
      </c>
      <c r="C282" s="2" t="s">
        <v>569</v>
      </c>
      <c r="D282" s="2" t="s">
        <v>1147</v>
      </c>
      <c r="E282" s="2" t="s">
        <v>4</v>
      </c>
      <c r="F282" s="2" t="s">
        <v>5</v>
      </c>
      <c r="G282" s="2" t="s">
        <v>121</v>
      </c>
      <c r="H282" s="2" t="s">
        <v>51</v>
      </c>
      <c r="I282" s="2" t="s">
        <v>3390</v>
      </c>
      <c r="J282" s="3">
        <v>29.81</v>
      </c>
      <c r="K282" s="3">
        <v>18.37</v>
      </c>
      <c r="L282" s="2" t="s">
        <v>8</v>
      </c>
      <c r="M282" s="2" t="s">
        <v>9</v>
      </c>
      <c r="N282" s="3">
        <v>756</v>
      </c>
      <c r="O282" s="2" t="s">
        <v>29</v>
      </c>
      <c r="P282" s="2" t="s">
        <v>221</v>
      </c>
      <c r="Q282" s="3"/>
      <c r="R282" s="3"/>
      <c r="S282" s="2" t="s">
        <v>12</v>
      </c>
      <c r="T282" s="4">
        <v>44955</v>
      </c>
      <c r="U282" s="2" t="s">
        <v>1148</v>
      </c>
      <c r="V282" s="6">
        <f>(Sales[[#This Row],[Price_retail]]-Sales[[#This Row],[Price_current]])/Sales[[#This Row],[Price_retail]]</f>
        <v>0.38376383763837635</v>
      </c>
      <c r="W282" s="3" t="str" cm="1">
        <f t="array" ref="W28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83" spans="1:23" x14ac:dyDescent="0.35">
      <c r="A283" s="2" t="s">
        <v>1149</v>
      </c>
      <c r="B283" s="2" t="s">
        <v>1150</v>
      </c>
      <c r="C283" s="2" t="s">
        <v>3394</v>
      </c>
      <c r="D283" s="2" t="s">
        <v>678</v>
      </c>
      <c r="E283" s="2" t="s">
        <v>4</v>
      </c>
      <c r="F283" s="2" t="s">
        <v>17</v>
      </c>
      <c r="G283" s="2" t="s">
        <v>50</v>
      </c>
      <c r="H283" s="2" t="s">
        <v>134</v>
      </c>
      <c r="I283" s="2" t="s">
        <v>3390</v>
      </c>
      <c r="J283" s="3">
        <v>27.72</v>
      </c>
      <c r="K283" s="3">
        <v>27.72</v>
      </c>
      <c r="L283" s="2" t="s">
        <v>3391</v>
      </c>
      <c r="M283" s="2" t="s">
        <v>9</v>
      </c>
      <c r="N283" s="3">
        <v>951</v>
      </c>
      <c r="O283" s="2" t="s">
        <v>287</v>
      </c>
      <c r="P283" s="2" t="s">
        <v>221</v>
      </c>
      <c r="Q283" s="3"/>
      <c r="R283" s="3"/>
      <c r="S283" s="2" t="s">
        <v>21</v>
      </c>
      <c r="T283" s="4">
        <v>44955</v>
      </c>
      <c r="U283" s="2" t="s">
        <v>1151</v>
      </c>
      <c r="V283" s="6">
        <f>(Sales[[#This Row],[Price_retail]]-Sales[[#This Row],[Price_current]])/Sales[[#This Row],[Price_retail]]</f>
        <v>0</v>
      </c>
      <c r="W283" s="3" t="str" cm="1">
        <f t="array" ref="W2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4" spans="1:23" x14ac:dyDescent="0.35">
      <c r="A284" s="2" t="s">
        <v>1152</v>
      </c>
      <c r="B284" s="2" t="s">
        <v>1153</v>
      </c>
      <c r="C284" s="2" t="s">
        <v>1154</v>
      </c>
      <c r="D284" s="2" t="s">
        <v>3416</v>
      </c>
      <c r="E284" s="2" t="s">
        <v>4</v>
      </c>
      <c r="F284" s="2" t="s">
        <v>5</v>
      </c>
      <c r="G284" s="2" t="s">
        <v>6</v>
      </c>
      <c r="H284" s="2" t="s">
        <v>19</v>
      </c>
      <c r="I284" s="2" t="s">
        <v>3390</v>
      </c>
      <c r="J284" s="3">
        <v>35.67</v>
      </c>
      <c r="K284" s="3">
        <v>35.67</v>
      </c>
      <c r="L284" s="2" t="s">
        <v>3391</v>
      </c>
      <c r="M284" s="2" t="s">
        <v>9</v>
      </c>
      <c r="N284" s="3">
        <v>989</v>
      </c>
      <c r="O284" s="2" t="s">
        <v>3392</v>
      </c>
      <c r="P284" s="2" t="s">
        <v>215</v>
      </c>
      <c r="Q284" s="3"/>
      <c r="R284" s="3"/>
      <c r="S284" s="2"/>
      <c r="T284" s="4">
        <v>44955</v>
      </c>
      <c r="U284" s="2" t="s">
        <v>1155</v>
      </c>
      <c r="V284" s="6">
        <f>(Sales[[#This Row],[Price_retail]]-Sales[[#This Row],[Price_current]])/Sales[[#This Row],[Price_retail]]</f>
        <v>0</v>
      </c>
      <c r="W284" s="3" t="str" cm="1">
        <f t="array" ref="W2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5" spans="1:23" x14ac:dyDescent="0.35">
      <c r="A285" s="2" t="s">
        <v>1156</v>
      </c>
      <c r="B285" s="2" t="s">
        <v>1157</v>
      </c>
      <c r="C285" s="2" t="s">
        <v>1115</v>
      </c>
      <c r="D285" s="2" t="s">
        <v>214</v>
      </c>
      <c r="E285" s="2" t="s">
        <v>4</v>
      </c>
      <c r="F285" s="2" t="s">
        <v>5</v>
      </c>
      <c r="G285" s="2" t="s">
        <v>6</v>
      </c>
      <c r="H285" s="2" t="s">
        <v>139</v>
      </c>
      <c r="I285" s="2" t="s">
        <v>3390</v>
      </c>
      <c r="J285" s="3">
        <v>39.53</v>
      </c>
      <c r="K285" s="3">
        <v>39.53</v>
      </c>
      <c r="L285" s="2" t="s">
        <v>3391</v>
      </c>
      <c r="M285" s="2" t="s">
        <v>9</v>
      </c>
      <c r="N285" s="3">
        <v>358</v>
      </c>
      <c r="O285" s="2" t="s">
        <v>29</v>
      </c>
      <c r="P285" s="2" t="s">
        <v>334</v>
      </c>
      <c r="Q285" s="3"/>
      <c r="R285" s="3"/>
      <c r="S285" s="2" t="s">
        <v>21</v>
      </c>
      <c r="T285" s="4">
        <v>44955</v>
      </c>
      <c r="U285" s="2" t="s">
        <v>1158</v>
      </c>
      <c r="V285" s="6">
        <f>(Sales[[#This Row],[Price_retail]]-Sales[[#This Row],[Price_current]])/Sales[[#This Row],[Price_retail]]</f>
        <v>0</v>
      </c>
      <c r="W285" s="3" t="str" cm="1">
        <f t="array" ref="W28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6" spans="1:23" x14ac:dyDescent="0.35">
      <c r="A286" s="2" t="s">
        <v>1159</v>
      </c>
      <c r="B286" s="2" t="s">
        <v>1160</v>
      </c>
      <c r="C286" s="2" t="s">
        <v>399</v>
      </c>
      <c r="D286" s="2" t="s">
        <v>1161</v>
      </c>
      <c r="E286" s="2" t="s">
        <v>4</v>
      </c>
      <c r="F286" s="2" t="s">
        <v>17</v>
      </c>
      <c r="G286" s="2" t="s">
        <v>67</v>
      </c>
      <c r="H286" s="2" t="s">
        <v>28</v>
      </c>
      <c r="I286" s="2" t="s">
        <v>3390</v>
      </c>
      <c r="J286" s="3">
        <v>12.14</v>
      </c>
      <c r="K286" s="3">
        <v>9.6300000000000008</v>
      </c>
      <c r="L286" s="2" t="s">
        <v>8</v>
      </c>
      <c r="M286" s="2" t="s">
        <v>9</v>
      </c>
      <c r="N286" s="3">
        <v>182</v>
      </c>
      <c r="O286" s="2" t="s">
        <v>98</v>
      </c>
      <c r="P286" s="2" t="s">
        <v>84</v>
      </c>
      <c r="Q286" s="3"/>
      <c r="R286" s="3"/>
      <c r="S286" s="2" t="s">
        <v>21</v>
      </c>
      <c r="T286" s="4">
        <v>44955</v>
      </c>
      <c r="U286" s="2" t="s">
        <v>1162</v>
      </c>
      <c r="V286" s="6">
        <f>(Sales[[#This Row],[Price_retail]]-Sales[[#This Row],[Price_current]])/Sales[[#This Row],[Price_retail]]</f>
        <v>0.20675453047775944</v>
      </c>
      <c r="W286" s="3" t="str" cm="1">
        <f t="array" ref="W28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87" spans="1:23" x14ac:dyDescent="0.35">
      <c r="A287" s="2" t="s">
        <v>1163</v>
      </c>
      <c r="B287" s="2" t="s">
        <v>1164</v>
      </c>
      <c r="C287" s="2" t="s">
        <v>242</v>
      </c>
      <c r="D287" s="2" t="s">
        <v>1165</v>
      </c>
      <c r="E287" s="2" t="s">
        <v>4</v>
      </c>
      <c r="F287" s="2" t="s">
        <v>17</v>
      </c>
      <c r="G287" s="2" t="s">
        <v>27</v>
      </c>
      <c r="H287" s="2" t="s">
        <v>185</v>
      </c>
      <c r="I287" s="2" t="s">
        <v>3395</v>
      </c>
      <c r="J287" s="3">
        <v>40.56</v>
      </c>
      <c r="K287" s="3">
        <v>27.93</v>
      </c>
      <c r="L287" s="2" t="s">
        <v>8</v>
      </c>
      <c r="M287" s="2" t="s">
        <v>9</v>
      </c>
      <c r="N287" s="3">
        <v>491</v>
      </c>
      <c r="O287" s="2" t="s">
        <v>347</v>
      </c>
      <c r="P287" s="2" t="s">
        <v>288</v>
      </c>
      <c r="Q287" s="3"/>
      <c r="R287" s="3"/>
      <c r="S287" s="2" t="s">
        <v>21</v>
      </c>
      <c r="T287" s="4">
        <v>44955</v>
      </c>
      <c r="U287" s="2" t="s">
        <v>1166</v>
      </c>
      <c r="V287" s="6">
        <f>(Sales[[#This Row],[Price_retail]]-Sales[[#This Row],[Price_current]])/Sales[[#This Row],[Price_retail]]</f>
        <v>0.31139053254437876</v>
      </c>
      <c r="W287" s="3" t="str" cm="1">
        <f t="array" ref="W2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88" spans="1:23" x14ac:dyDescent="0.35">
      <c r="A288" s="2" t="s">
        <v>1167</v>
      </c>
      <c r="B288" s="2" t="s">
        <v>1168</v>
      </c>
      <c r="C288" s="2" t="s">
        <v>3417</v>
      </c>
      <c r="D288" s="2" t="s">
        <v>1169</v>
      </c>
      <c r="E288" s="2" t="s">
        <v>4</v>
      </c>
      <c r="F288" s="2" t="s">
        <v>5</v>
      </c>
      <c r="G288" s="2" t="s">
        <v>6</v>
      </c>
      <c r="H288" s="2" t="s">
        <v>237</v>
      </c>
      <c r="I288" s="2" t="s">
        <v>3393</v>
      </c>
      <c r="J288" s="3">
        <v>28.26</v>
      </c>
      <c r="K288" s="3">
        <v>28.26</v>
      </c>
      <c r="L288" s="2" t="s">
        <v>3391</v>
      </c>
      <c r="M288" s="2" t="s">
        <v>9</v>
      </c>
      <c r="N288" s="3">
        <v>470</v>
      </c>
      <c r="O288" s="2" t="s">
        <v>29</v>
      </c>
      <c r="P288" s="2" t="s">
        <v>30</v>
      </c>
      <c r="Q288" s="3"/>
      <c r="R288" s="3"/>
      <c r="S288" s="2" t="s">
        <v>21</v>
      </c>
      <c r="T288" s="4">
        <v>44955</v>
      </c>
      <c r="U288" s="2" t="s">
        <v>1170</v>
      </c>
      <c r="V288" s="6">
        <f>(Sales[[#This Row],[Price_retail]]-Sales[[#This Row],[Price_current]])/Sales[[#This Row],[Price_retail]]</f>
        <v>0</v>
      </c>
      <c r="W288" s="3" t="str" cm="1">
        <f t="array" ref="W28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89" spans="1:23" x14ac:dyDescent="0.35">
      <c r="A289" s="2" t="s">
        <v>1171</v>
      </c>
      <c r="B289" s="2" t="s">
        <v>1172</v>
      </c>
      <c r="C289" s="2" t="s">
        <v>569</v>
      </c>
      <c r="D289" s="2" t="s">
        <v>1139</v>
      </c>
      <c r="E289" s="2" t="s">
        <v>4</v>
      </c>
      <c r="F289" s="2" t="s">
        <v>17</v>
      </c>
      <c r="G289" s="2" t="s">
        <v>27</v>
      </c>
      <c r="H289" s="2" t="s">
        <v>418</v>
      </c>
      <c r="I289" s="2" t="s">
        <v>3395</v>
      </c>
      <c r="J289" s="3">
        <v>12.39</v>
      </c>
      <c r="K289" s="3">
        <v>11.77</v>
      </c>
      <c r="L289" s="2" t="s">
        <v>8</v>
      </c>
      <c r="M289" s="2" t="s">
        <v>9</v>
      </c>
      <c r="N289" s="3">
        <v>647</v>
      </c>
      <c r="O289" s="2" t="s">
        <v>91</v>
      </c>
      <c r="P289" s="2" t="s">
        <v>215</v>
      </c>
      <c r="Q289" s="3"/>
      <c r="R289" s="3"/>
      <c r="S289" s="2" t="s">
        <v>21</v>
      </c>
      <c r="T289" s="4">
        <v>44955</v>
      </c>
      <c r="U289" s="2" t="s">
        <v>1173</v>
      </c>
      <c r="V289" s="6">
        <f>(Sales[[#This Row],[Price_retail]]-Sales[[#This Row],[Price_current]])/Sales[[#This Row],[Price_retail]]</f>
        <v>5.0040355125100966E-2</v>
      </c>
      <c r="W289" s="3" t="str" cm="1">
        <f t="array" ref="W289">_xlfn.IFS(Sales[[#This Row],[Discount]]=0%,"No Discount",Sales[[#This Row],[Discount]]&lt;=20%,"Light",Sales[[#This Row],[Discount]]&lt;=50%,"Moderate",Sales[[#This Row],[Discount]]&lt;=80%,"High",
TRUE,"Very High")</f>
        <v>Light</v>
      </c>
    </row>
    <row r="290" spans="1:23" x14ac:dyDescent="0.35">
      <c r="A290" s="2" t="s">
        <v>1174</v>
      </c>
      <c r="B290" s="2" t="s">
        <v>1175</v>
      </c>
      <c r="C290" s="2" t="s">
        <v>484</v>
      </c>
      <c r="D290" s="2" t="s">
        <v>1176</v>
      </c>
      <c r="E290" s="2" t="s">
        <v>4</v>
      </c>
      <c r="F290" s="2" t="s">
        <v>17</v>
      </c>
      <c r="G290" s="2" t="s">
        <v>27</v>
      </c>
      <c r="H290" s="2" t="s">
        <v>83</v>
      </c>
      <c r="I290" s="2" t="s">
        <v>3390</v>
      </c>
      <c r="J290" s="3">
        <v>12.88</v>
      </c>
      <c r="K290" s="3">
        <v>12.88</v>
      </c>
      <c r="L290" s="2" t="s">
        <v>3391</v>
      </c>
      <c r="M290" s="2" t="s">
        <v>9</v>
      </c>
      <c r="N290" s="3">
        <v>980</v>
      </c>
      <c r="O290" s="2" t="s">
        <v>91</v>
      </c>
      <c r="P290" s="2" t="s">
        <v>92</v>
      </c>
      <c r="Q290" s="3"/>
      <c r="R290" s="3"/>
      <c r="S290" s="2" t="s">
        <v>21</v>
      </c>
      <c r="T290" s="4">
        <v>44955</v>
      </c>
      <c r="U290" s="2" t="s">
        <v>1177</v>
      </c>
      <c r="V290" s="6">
        <f>(Sales[[#This Row],[Price_retail]]-Sales[[#This Row],[Price_current]])/Sales[[#This Row],[Price_retail]]</f>
        <v>0</v>
      </c>
      <c r="W290" s="3" t="str" cm="1">
        <f t="array" ref="W29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1" spans="1:23" x14ac:dyDescent="0.35">
      <c r="A291" s="2" t="s">
        <v>1178</v>
      </c>
      <c r="B291" s="2" t="s">
        <v>1179</v>
      </c>
      <c r="C291" s="2" t="s">
        <v>1180</v>
      </c>
      <c r="D291" s="2" t="s">
        <v>929</v>
      </c>
      <c r="E291" s="2" t="s">
        <v>4</v>
      </c>
      <c r="F291" s="2" t="s">
        <v>5</v>
      </c>
      <c r="G291" s="2" t="s">
        <v>121</v>
      </c>
      <c r="H291" s="2" t="s">
        <v>51</v>
      </c>
      <c r="I291" s="2" t="s">
        <v>3395</v>
      </c>
      <c r="J291" s="3">
        <v>8.99</v>
      </c>
      <c r="K291" s="3">
        <v>8.99</v>
      </c>
      <c r="L291" s="2" t="s">
        <v>3391</v>
      </c>
      <c r="M291" s="2" t="s">
        <v>9</v>
      </c>
      <c r="N291" s="3">
        <v>622</v>
      </c>
      <c r="O291" s="2" t="s">
        <v>69</v>
      </c>
      <c r="P291" s="2" t="s">
        <v>629</v>
      </c>
      <c r="Q291" s="3"/>
      <c r="R291" s="3"/>
      <c r="S291" s="2" t="s">
        <v>21</v>
      </c>
      <c r="T291" s="4">
        <v>44955</v>
      </c>
      <c r="U291" s="2" t="s">
        <v>1181</v>
      </c>
      <c r="V291" s="6">
        <f>(Sales[[#This Row],[Price_retail]]-Sales[[#This Row],[Price_current]])/Sales[[#This Row],[Price_retail]]</f>
        <v>0</v>
      </c>
      <c r="W291" s="3" t="str" cm="1">
        <f t="array" ref="W29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2" spans="1:23" x14ac:dyDescent="0.35">
      <c r="A292" s="2" t="s">
        <v>1182</v>
      </c>
      <c r="B292" s="2" t="s">
        <v>1183</v>
      </c>
      <c r="C292" s="2" t="s">
        <v>108</v>
      </c>
      <c r="D292" s="2" t="s">
        <v>1184</v>
      </c>
      <c r="E292" s="2" t="s">
        <v>4</v>
      </c>
      <c r="F292" s="2" t="s">
        <v>17</v>
      </c>
      <c r="G292" s="2" t="s">
        <v>50</v>
      </c>
      <c r="H292" s="2" t="s">
        <v>90</v>
      </c>
      <c r="I292" s="2" t="s">
        <v>3393</v>
      </c>
      <c r="J292" s="3">
        <v>21.42</v>
      </c>
      <c r="K292" s="3">
        <v>21.42</v>
      </c>
      <c r="L292" s="2" t="s">
        <v>3391</v>
      </c>
      <c r="M292" s="2" t="s">
        <v>9</v>
      </c>
      <c r="N292" s="3">
        <v>408</v>
      </c>
      <c r="O292" s="2" t="s">
        <v>20</v>
      </c>
      <c r="P292" s="2" t="s">
        <v>186</v>
      </c>
      <c r="Q292" s="3"/>
      <c r="R292" s="3"/>
      <c r="S292" s="2" t="s">
        <v>12</v>
      </c>
      <c r="T292" s="4">
        <v>44955</v>
      </c>
      <c r="U292" s="2" t="s">
        <v>1185</v>
      </c>
      <c r="V292" s="6">
        <f>(Sales[[#This Row],[Price_retail]]-Sales[[#This Row],[Price_current]])/Sales[[#This Row],[Price_retail]]</f>
        <v>0</v>
      </c>
      <c r="W292" s="3" t="str" cm="1">
        <f t="array" ref="W2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3" spans="1:23" x14ac:dyDescent="0.35">
      <c r="A293" s="2" t="s">
        <v>1186</v>
      </c>
      <c r="B293" s="2" t="s">
        <v>1187</v>
      </c>
      <c r="C293" s="2" t="s">
        <v>333</v>
      </c>
      <c r="D293" s="2" t="s">
        <v>74</v>
      </c>
      <c r="E293" s="2" t="s">
        <v>4</v>
      </c>
      <c r="F293" s="2" t="s">
        <v>17</v>
      </c>
      <c r="G293" s="2" t="s">
        <v>67</v>
      </c>
      <c r="H293" s="2" t="s">
        <v>35</v>
      </c>
      <c r="I293" s="2" t="s">
        <v>3395</v>
      </c>
      <c r="J293" s="3">
        <v>19.23</v>
      </c>
      <c r="K293" s="3">
        <v>19.23</v>
      </c>
      <c r="L293" s="2" t="s">
        <v>3391</v>
      </c>
      <c r="M293" s="2" t="s">
        <v>9</v>
      </c>
      <c r="N293" s="3">
        <v>642</v>
      </c>
      <c r="O293" s="2" t="s">
        <v>664</v>
      </c>
      <c r="P293" s="2" t="s">
        <v>70</v>
      </c>
      <c r="Q293" s="3"/>
      <c r="R293" s="3"/>
      <c r="S293" s="2" t="s">
        <v>12</v>
      </c>
      <c r="T293" s="4">
        <v>44955</v>
      </c>
      <c r="U293" s="2" t="s">
        <v>1188</v>
      </c>
      <c r="V293" s="6">
        <f>(Sales[[#This Row],[Price_retail]]-Sales[[#This Row],[Price_current]])/Sales[[#This Row],[Price_retail]]</f>
        <v>0</v>
      </c>
      <c r="W293" s="3" t="str" cm="1">
        <f t="array" ref="W2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4" spans="1:23" x14ac:dyDescent="0.35">
      <c r="A294" s="2" t="s">
        <v>1189</v>
      </c>
      <c r="B294" s="2" t="s">
        <v>1190</v>
      </c>
      <c r="C294" s="2" t="s">
        <v>65</v>
      </c>
      <c r="D294" s="2" t="s">
        <v>742</v>
      </c>
      <c r="E294" s="2" t="s">
        <v>4</v>
      </c>
      <c r="F294" s="2" t="s">
        <v>5</v>
      </c>
      <c r="G294" s="2" t="s">
        <v>82</v>
      </c>
      <c r="H294" s="2" t="s">
        <v>168</v>
      </c>
      <c r="I294" s="2" t="s">
        <v>3390</v>
      </c>
      <c r="J294" s="3">
        <v>11.48</v>
      </c>
      <c r="K294" s="3">
        <v>11.48</v>
      </c>
      <c r="L294" s="2" t="s">
        <v>3391</v>
      </c>
      <c r="M294" s="2" t="s">
        <v>9</v>
      </c>
      <c r="N294" s="3">
        <v>975</v>
      </c>
      <c r="O294" s="2" t="s">
        <v>20</v>
      </c>
      <c r="P294" s="2" t="s">
        <v>3392</v>
      </c>
      <c r="Q294" s="3"/>
      <c r="R294" s="3"/>
      <c r="S294" s="2" t="s">
        <v>21</v>
      </c>
      <c r="T294" s="4">
        <v>44955</v>
      </c>
      <c r="U294" s="2" t="s">
        <v>1191</v>
      </c>
      <c r="V294" s="6">
        <f>(Sales[[#This Row],[Price_retail]]-Sales[[#This Row],[Price_current]])/Sales[[#This Row],[Price_retail]]</f>
        <v>0</v>
      </c>
      <c r="W294" s="3" t="str" cm="1">
        <f t="array" ref="W29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5" spans="1:23" x14ac:dyDescent="0.35">
      <c r="A295" s="2" t="s">
        <v>1192</v>
      </c>
      <c r="B295" s="2" t="s">
        <v>1193</v>
      </c>
      <c r="C295" s="2" t="s">
        <v>3394</v>
      </c>
      <c r="D295" s="2" t="s">
        <v>521</v>
      </c>
      <c r="E295" s="2" t="s">
        <v>4</v>
      </c>
      <c r="F295" s="2" t="s">
        <v>5</v>
      </c>
      <c r="G295" s="2" t="s">
        <v>6</v>
      </c>
      <c r="H295" s="2" t="s">
        <v>19</v>
      </c>
      <c r="I295" s="2" t="s">
        <v>3390</v>
      </c>
      <c r="J295" s="3">
        <v>26.14</v>
      </c>
      <c r="K295" s="3">
        <v>26.14</v>
      </c>
      <c r="L295" s="2" t="s">
        <v>3391</v>
      </c>
      <c r="M295" s="2" t="s">
        <v>9</v>
      </c>
      <c r="N295" s="3">
        <v>49</v>
      </c>
      <c r="O295" s="2" t="s">
        <v>3392</v>
      </c>
      <c r="P295" s="2" t="s">
        <v>92</v>
      </c>
      <c r="Q295" s="3"/>
      <c r="R295" s="3"/>
      <c r="S295" s="2" t="s">
        <v>12</v>
      </c>
      <c r="T295" s="4">
        <v>44955</v>
      </c>
      <c r="U295" s="2" t="s">
        <v>1194</v>
      </c>
      <c r="V295" s="6">
        <f>(Sales[[#This Row],[Price_retail]]-Sales[[#This Row],[Price_current]])/Sales[[#This Row],[Price_retail]]</f>
        <v>0</v>
      </c>
      <c r="W295" s="3" t="str" cm="1">
        <f t="array" ref="W29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6" spans="1:23" x14ac:dyDescent="0.35">
      <c r="A296" s="2" t="s">
        <v>1195</v>
      </c>
      <c r="B296" s="2" t="s">
        <v>1196</v>
      </c>
      <c r="C296" s="2" t="s">
        <v>786</v>
      </c>
      <c r="D296" s="2" t="s">
        <v>272</v>
      </c>
      <c r="E296" s="2" t="s">
        <v>4</v>
      </c>
      <c r="F296" s="2" t="s">
        <v>5</v>
      </c>
      <c r="G296" s="2" t="s">
        <v>6</v>
      </c>
      <c r="H296" s="2" t="s">
        <v>51</v>
      </c>
      <c r="I296" s="2" t="s">
        <v>3390</v>
      </c>
      <c r="J296" s="3">
        <v>8.99</v>
      </c>
      <c r="K296" s="3">
        <v>8.99</v>
      </c>
      <c r="L296" s="2" t="s">
        <v>3391</v>
      </c>
      <c r="M296" s="2" t="s">
        <v>9</v>
      </c>
      <c r="N296" s="3">
        <v>945</v>
      </c>
      <c r="O296" s="2" t="s">
        <v>664</v>
      </c>
      <c r="P296" s="2" t="s">
        <v>53</v>
      </c>
      <c r="Q296" s="3"/>
      <c r="R296" s="3"/>
      <c r="S296" s="2" t="s">
        <v>12</v>
      </c>
      <c r="T296" s="4">
        <v>44955</v>
      </c>
      <c r="U296" s="2" t="s">
        <v>1197</v>
      </c>
      <c r="V296" s="6">
        <f>(Sales[[#This Row],[Price_retail]]-Sales[[#This Row],[Price_current]])/Sales[[#This Row],[Price_retail]]</f>
        <v>0</v>
      </c>
      <c r="W296" s="3" t="str" cm="1">
        <f t="array" ref="W29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7" spans="1:23" x14ac:dyDescent="0.35">
      <c r="A297" s="2" t="s">
        <v>1198</v>
      </c>
      <c r="B297" s="2" t="s">
        <v>1199</v>
      </c>
      <c r="C297" s="2" t="s">
        <v>2</v>
      </c>
      <c r="D297" s="2" t="s">
        <v>138</v>
      </c>
      <c r="E297" s="2" t="s">
        <v>4</v>
      </c>
      <c r="F297" s="2" t="s">
        <v>5</v>
      </c>
      <c r="G297" s="2" t="s">
        <v>82</v>
      </c>
      <c r="H297" s="2" t="s">
        <v>139</v>
      </c>
      <c r="I297" s="2" t="s">
        <v>3395</v>
      </c>
      <c r="J297" s="3">
        <v>30.24</v>
      </c>
      <c r="K297" s="3">
        <v>19.05</v>
      </c>
      <c r="L297" s="2" t="s">
        <v>8</v>
      </c>
      <c r="M297" s="2" t="s">
        <v>9</v>
      </c>
      <c r="N297" s="3">
        <v>220</v>
      </c>
      <c r="O297" s="2" t="s">
        <v>91</v>
      </c>
      <c r="P297" s="2" t="s">
        <v>3392</v>
      </c>
      <c r="Q297" s="3"/>
      <c r="R297" s="3"/>
      <c r="S297" s="2" t="s">
        <v>12</v>
      </c>
      <c r="T297" s="4">
        <v>44955</v>
      </c>
      <c r="U297" s="2" t="s">
        <v>1200</v>
      </c>
      <c r="V297" s="6">
        <f>(Sales[[#This Row],[Price_retail]]-Sales[[#This Row],[Price_current]])/Sales[[#This Row],[Price_retail]]</f>
        <v>0.3700396825396825</v>
      </c>
      <c r="W297" s="3" t="str" cm="1">
        <f t="array" ref="W29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298" spans="1:23" x14ac:dyDescent="0.35">
      <c r="A298" s="2" t="s">
        <v>1201</v>
      </c>
      <c r="B298" s="2" t="s">
        <v>1202</v>
      </c>
      <c r="C298" s="2" t="s">
        <v>3400</v>
      </c>
      <c r="D298" s="2" t="s">
        <v>1011</v>
      </c>
      <c r="E298" s="2" t="s">
        <v>4</v>
      </c>
      <c r="F298" s="2" t="s">
        <v>17</v>
      </c>
      <c r="G298" s="2" t="s">
        <v>50</v>
      </c>
      <c r="H298" s="2" t="s">
        <v>68</v>
      </c>
      <c r="I298" s="2" t="s">
        <v>3390</v>
      </c>
      <c r="J298" s="3">
        <v>11.95</v>
      </c>
      <c r="K298" s="3">
        <v>11.95</v>
      </c>
      <c r="L298" s="2" t="s">
        <v>3391</v>
      </c>
      <c r="M298" s="2" t="s">
        <v>9</v>
      </c>
      <c r="N298" s="3">
        <v>292</v>
      </c>
      <c r="O298" s="2" t="s">
        <v>347</v>
      </c>
      <c r="P298" s="2" t="s">
        <v>238</v>
      </c>
      <c r="Q298" s="3"/>
      <c r="R298" s="3"/>
      <c r="S298" s="2" t="s">
        <v>12</v>
      </c>
      <c r="T298" s="4">
        <v>44955</v>
      </c>
      <c r="U298" s="2" t="s">
        <v>1203</v>
      </c>
      <c r="V298" s="6">
        <f>(Sales[[#This Row],[Price_retail]]-Sales[[#This Row],[Price_current]])/Sales[[#This Row],[Price_retail]]</f>
        <v>0</v>
      </c>
      <c r="W298" s="3" t="str" cm="1">
        <f t="array" ref="W29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299" spans="1:23" x14ac:dyDescent="0.35">
      <c r="A299" s="2" t="s">
        <v>1204</v>
      </c>
      <c r="B299" s="2" t="s">
        <v>1205</v>
      </c>
      <c r="C299" s="2" t="s">
        <v>3394</v>
      </c>
      <c r="D299" s="2" t="s">
        <v>1206</v>
      </c>
      <c r="E299" s="2" t="s">
        <v>4</v>
      </c>
      <c r="F299" s="2" t="s">
        <v>17</v>
      </c>
      <c r="G299" s="2" t="s">
        <v>18</v>
      </c>
      <c r="H299" s="2" t="s">
        <v>418</v>
      </c>
      <c r="I299" s="2" t="s">
        <v>3393</v>
      </c>
      <c r="J299" s="3">
        <v>85.77</v>
      </c>
      <c r="K299" s="3">
        <v>85.77</v>
      </c>
      <c r="L299" s="2" t="s">
        <v>3391</v>
      </c>
      <c r="M299" s="2" t="s">
        <v>9</v>
      </c>
      <c r="N299" s="3">
        <v>506</v>
      </c>
      <c r="O299" s="2" t="s">
        <v>359</v>
      </c>
      <c r="P299" s="2" t="s">
        <v>221</v>
      </c>
      <c r="Q299" s="3"/>
      <c r="R299" s="3"/>
      <c r="S299" s="2" t="s">
        <v>21</v>
      </c>
      <c r="T299" s="4">
        <v>44955</v>
      </c>
      <c r="U299" s="2" t="s">
        <v>1207</v>
      </c>
      <c r="V299" s="6">
        <f>(Sales[[#This Row],[Price_retail]]-Sales[[#This Row],[Price_current]])/Sales[[#This Row],[Price_retail]]</f>
        <v>0</v>
      </c>
      <c r="W299" s="3" t="str" cm="1">
        <f t="array" ref="W29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00" spans="1:23" x14ac:dyDescent="0.35">
      <c r="A300" s="2" t="s">
        <v>1208</v>
      </c>
      <c r="B300" s="2" t="s">
        <v>1209</v>
      </c>
      <c r="C300" s="2" t="s">
        <v>323</v>
      </c>
      <c r="D300" s="2" t="s">
        <v>220</v>
      </c>
      <c r="E300" s="2" t="s">
        <v>4</v>
      </c>
      <c r="F300" s="2" t="s">
        <v>17</v>
      </c>
      <c r="G300" s="2" t="s">
        <v>67</v>
      </c>
      <c r="H300" s="2" t="s">
        <v>139</v>
      </c>
      <c r="I300" s="2" t="s">
        <v>3390</v>
      </c>
      <c r="J300" s="3">
        <v>23.66</v>
      </c>
      <c r="K300" s="3">
        <v>23.66</v>
      </c>
      <c r="L300" s="2" t="s">
        <v>3391</v>
      </c>
      <c r="M300" s="2" t="s">
        <v>9</v>
      </c>
      <c r="N300" s="3">
        <v>731</v>
      </c>
      <c r="O300" s="2" t="s">
        <v>91</v>
      </c>
      <c r="P300" s="2" t="s">
        <v>30</v>
      </c>
      <c r="Q300" s="3"/>
      <c r="R300" s="3"/>
      <c r="S300" s="2" t="s">
        <v>21</v>
      </c>
      <c r="T300" s="4">
        <v>44955</v>
      </c>
      <c r="U300" s="2" t="s">
        <v>1210</v>
      </c>
      <c r="V300" s="6">
        <f>(Sales[[#This Row],[Price_retail]]-Sales[[#This Row],[Price_current]])/Sales[[#This Row],[Price_retail]]</f>
        <v>0</v>
      </c>
      <c r="W300" s="3" t="str" cm="1">
        <f t="array" ref="W30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01" spans="1:23" x14ac:dyDescent="0.35">
      <c r="A301" s="2" t="s">
        <v>1211</v>
      </c>
      <c r="B301" s="2" t="s">
        <v>1212</v>
      </c>
      <c r="C301" s="2" t="s">
        <v>102</v>
      </c>
      <c r="D301" s="2" t="s">
        <v>432</v>
      </c>
      <c r="E301" s="2" t="s">
        <v>4</v>
      </c>
      <c r="F301" s="2" t="s">
        <v>5</v>
      </c>
      <c r="G301" s="2" t="s">
        <v>121</v>
      </c>
      <c r="H301" s="2" t="s">
        <v>35</v>
      </c>
      <c r="I301" s="2" t="s">
        <v>3390</v>
      </c>
      <c r="J301" s="3">
        <v>10.3</v>
      </c>
      <c r="K301" s="3">
        <v>6.36</v>
      </c>
      <c r="L301" s="2" t="s">
        <v>8</v>
      </c>
      <c r="M301" s="2" t="s">
        <v>9</v>
      </c>
      <c r="N301" s="3">
        <v>766</v>
      </c>
      <c r="O301" s="2" t="s">
        <v>3392</v>
      </c>
      <c r="P301" s="2" t="s">
        <v>3392</v>
      </c>
      <c r="Q301" s="3"/>
      <c r="R301" s="3"/>
      <c r="S301" s="2" t="s">
        <v>21</v>
      </c>
      <c r="T301" s="4">
        <v>44955</v>
      </c>
      <c r="U301" s="2" t="s">
        <v>1213</v>
      </c>
      <c r="V301" s="6">
        <f>(Sales[[#This Row],[Price_retail]]-Sales[[#This Row],[Price_current]])/Sales[[#This Row],[Price_retail]]</f>
        <v>0.3825242718446602</v>
      </c>
      <c r="W301" s="3" t="str" cm="1">
        <f t="array" ref="W30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02" spans="1:23" x14ac:dyDescent="0.35">
      <c r="A302" s="2" t="s">
        <v>1214</v>
      </c>
      <c r="B302" s="2" t="s">
        <v>1215</v>
      </c>
      <c r="C302" s="2" t="s">
        <v>3394</v>
      </c>
      <c r="D302" s="2" t="s">
        <v>1206</v>
      </c>
      <c r="E302" s="2" t="s">
        <v>4</v>
      </c>
      <c r="F302" s="2" t="s">
        <v>17</v>
      </c>
      <c r="G302" s="2" t="s">
        <v>67</v>
      </c>
      <c r="H302" s="2" t="s">
        <v>418</v>
      </c>
      <c r="I302" s="2" t="s">
        <v>3393</v>
      </c>
      <c r="J302" s="3">
        <v>12.47</v>
      </c>
      <c r="K302" s="3">
        <v>6.37</v>
      </c>
      <c r="L302" s="2" t="s">
        <v>8</v>
      </c>
      <c r="M302" s="2" t="s">
        <v>9</v>
      </c>
      <c r="N302" s="3">
        <v>432</v>
      </c>
      <c r="O302" s="2" t="s">
        <v>302</v>
      </c>
      <c r="P302" s="2" t="s">
        <v>186</v>
      </c>
      <c r="Q302" s="3"/>
      <c r="R302" s="3"/>
      <c r="S302" s="2" t="s">
        <v>21</v>
      </c>
      <c r="T302" s="4">
        <v>44955</v>
      </c>
      <c r="U302" s="2" t="s">
        <v>1216</v>
      </c>
      <c r="V302" s="6">
        <f>(Sales[[#This Row],[Price_retail]]-Sales[[#This Row],[Price_current]])/Sales[[#This Row],[Price_retail]]</f>
        <v>0.48917401764234164</v>
      </c>
      <c r="W302" s="3" t="str" cm="1">
        <f t="array" ref="W30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03" spans="1:23" x14ac:dyDescent="0.35">
      <c r="A303" s="2" t="s">
        <v>1217</v>
      </c>
      <c r="B303" s="2" t="s">
        <v>1218</v>
      </c>
      <c r="C303" s="2" t="s">
        <v>246</v>
      </c>
      <c r="D303" s="2" t="s">
        <v>699</v>
      </c>
      <c r="E303" s="2" t="s">
        <v>4</v>
      </c>
      <c r="F303" s="2" t="s">
        <v>5</v>
      </c>
      <c r="G303" s="2" t="s">
        <v>121</v>
      </c>
      <c r="H303" s="2" t="s">
        <v>68</v>
      </c>
      <c r="I303" s="2" t="s">
        <v>3393</v>
      </c>
      <c r="J303" s="3">
        <v>8.99</v>
      </c>
      <c r="K303" s="3">
        <v>4.7</v>
      </c>
      <c r="L303" s="2" t="s">
        <v>8</v>
      </c>
      <c r="M303" s="2" t="s">
        <v>9</v>
      </c>
      <c r="N303" s="3">
        <v>957</v>
      </c>
      <c r="O303" s="2" t="s">
        <v>261</v>
      </c>
      <c r="P303" s="2" t="s">
        <v>334</v>
      </c>
      <c r="Q303" s="3"/>
      <c r="R303" s="3"/>
      <c r="S303" s="2" t="s">
        <v>21</v>
      </c>
      <c r="T303" s="4">
        <v>44955</v>
      </c>
      <c r="U303" s="2" t="s">
        <v>1219</v>
      </c>
      <c r="V303" s="6">
        <f>(Sales[[#This Row],[Price_retail]]-Sales[[#This Row],[Price_current]])/Sales[[#This Row],[Price_retail]]</f>
        <v>0.47719688542825361</v>
      </c>
      <c r="W303" s="3" t="str" cm="1">
        <f t="array" ref="W30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04" spans="1:23" x14ac:dyDescent="0.35">
      <c r="A304" s="2" t="s">
        <v>1220</v>
      </c>
      <c r="B304" s="2" t="s">
        <v>1221</v>
      </c>
      <c r="C304" s="2" t="s">
        <v>3433</v>
      </c>
      <c r="D304" s="2" t="s">
        <v>332</v>
      </c>
      <c r="E304" s="2" t="s">
        <v>4</v>
      </c>
      <c r="F304" s="2" t="s">
        <v>5</v>
      </c>
      <c r="G304" s="2" t="s">
        <v>6</v>
      </c>
      <c r="H304" s="2" t="s">
        <v>333</v>
      </c>
      <c r="I304" s="2" t="s">
        <v>3390</v>
      </c>
      <c r="J304" s="3">
        <v>20.39</v>
      </c>
      <c r="K304" s="3">
        <v>20.39</v>
      </c>
      <c r="L304" s="2" t="s">
        <v>3391</v>
      </c>
      <c r="M304" s="2" t="s">
        <v>9</v>
      </c>
      <c r="N304" s="3">
        <v>136</v>
      </c>
      <c r="O304" s="2" t="s">
        <v>69</v>
      </c>
      <c r="P304" s="2" t="s">
        <v>192</v>
      </c>
      <c r="Q304" s="3"/>
      <c r="R304" s="3"/>
      <c r="S304" s="2" t="s">
        <v>12</v>
      </c>
      <c r="T304" s="4">
        <v>44955</v>
      </c>
      <c r="U304" s="2" t="s">
        <v>1222</v>
      </c>
      <c r="V304" s="6">
        <f>(Sales[[#This Row],[Price_retail]]-Sales[[#This Row],[Price_current]])/Sales[[#This Row],[Price_retail]]</f>
        <v>0</v>
      </c>
      <c r="W304" s="3" t="str" cm="1">
        <f t="array" ref="W30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05" spans="1:23" x14ac:dyDescent="0.35">
      <c r="A305" s="2" t="s">
        <v>1223</v>
      </c>
      <c r="B305" s="2" t="s">
        <v>1224</v>
      </c>
      <c r="C305" s="2" t="s">
        <v>469</v>
      </c>
      <c r="D305" s="2" t="s">
        <v>490</v>
      </c>
      <c r="E305" s="2" t="s">
        <v>4</v>
      </c>
      <c r="F305" s="2" t="s">
        <v>17</v>
      </c>
      <c r="G305" s="2" t="s">
        <v>50</v>
      </c>
      <c r="H305" s="2" t="s">
        <v>185</v>
      </c>
      <c r="I305" s="2" t="s">
        <v>3395</v>
      </c>
      <c r="J305" s="3">
        <v>12.42</v>
      </c>
      <c r="K305" s="3">
        <v>816</v>
      </c>
      <c r="L305" s="2" t="s">
        <v>8</v>
      </c>
      <c r="M305" s="2" t="s">
        <v>9</v>
      </c>
      <c r="N305" s="3">
        <v>224</v>
      </c>
      <c r="O305" s="2" t="s">
        <v>140</v>
      </c>
      <c r="P305" s="2" t="s">
        <v>192</v>
      </c>
      <c r="Q305" s="3"/>
      <c r="R305" s="3"/>
      <c r="S305" s="2" t="s">
        <v>21</v>
      </c>
      <c r="T305" s="4">
        <v>44955</v>
      </c>
      <c r="U305" s="2" t="s">
        <v>1225</v>
      </c>
      <c r="V305" s="6">
        <f>(Sales[[#This Row],[Price_retail]]-Sales[[#This Row],[Price_current]])/Sales[[#This Row],[Price_retail]]</f>
        <v>-64.700483091787447</v>
      </c>
      <c r="W305" s="3" t="str" cm="1">
        <f t="array" ref="W305">_xlfn.IFS(Sales[[#This Row],[Discount]]=0%,"No Discount",Sales[[#This Row],[Discount]]&lt;=20%,"Light",Sales[[#This Row],[Discount]]&lt;=50%,"Moderate",Sales[[#This Row],[Discount]]&lt;=80%,"High",
TRUE,"Very High")</f>
        <v>Light</v>
      </c>
    </row>
    <row r="306" spans="1:23" x14ac:dyDescent="0.35">
      <c r="A306" s="2" t="s">
        <v>1226</v>
      </c>
      <c r="B306" s="2" t="s">
        <v>1227</v>
      </c>
      <c r="C306" s="2" t="s">
        <v>616</v>
      </c>
      <c r="D306" s="2" t="s">
        <v>342</v>
      </c>
      <c r="E306" s="2" t="s">
        <v>4</v>
      </c>
      <c r="F306" s="2" t="s">
        <v>17</v>
      </c>
      <c r="G306" s="2" t="s">
        <v>27</v>
      </c>
      <c r="H306" s="2" t="s">
        <v>237</v>
      </c>
      <c r="I306" s="2" t="s">
        <v>3390</v>
      </c>
      <c r="J306" s="3">
        <v>30.7</v>
      </c>
      <c r="K306" s="3">
        <v>30.7</v>
      </c>
      <c r="L306" s="2" t="s">
        <v>3391</v>
      </c>
      <c r="M306" s="2" t="s">
        <v>9</v>
      </c>
      <c r="N306" s="3">
        <v>776</v>
      </c>
      <c r="O306" s="2" t="s">
        <v>20</v>
      </c>
      <c r="P306" s="2" t="s">
        <v>76</v>
      </c>
      <c r="Q306" s="3"/>
      <c r="R306" s="3"/>
      <c r="S306" s="2" t="s">
        <v>21</v>
      </c>
      <c r="T306" s="4">
        <v>44955</v>
      </c>
      <c r="U306" s="2" t="s">
        <v>1228</v>
      </c>
      <c r="V306" s="6">
        <f>(Sales[[#This Row],[Price_retail]]-Sales[[#This Row],[Price_current]])/Sales[[#This Row],[Price_retail]]</f>
        <v>0</v>
      </c>
      <c r="W306" s="3" t="str" cm="1">
        <f t="array" ref="W3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07" spans="1:23" x14ac:dyDescent="0.35">
      <c r="A307" s="2" t="s">
        <v>1229</v>
      </c>
      <c r="B307" s="2" t="s">
        <v>1230</v>
      </c>
      <c r="C307" s="2" t="s">
        <v>690</v>
      </c>
      <c r="D307" s="2" t="s">
        <v>470</v>
      </c>
      <c r="E307" s="2" t="s">
        <v>4</v>
      </c>
      <c r="F307" s="2" t="s">
        <v>17</v>
      </c>
      <c r="G307" s="2" t="s">
        <v>67</v>
      </c>
      <c r="H307" s="2" t="s">
        <v>185</v>
      </c>
      <c r="I307" s="2" t="s">
        <v>3395</v>
      </c>
      <c r="J307" s="3">
        <v>13.45</v>
      </c>
      <c r="K307" s="3">
        <v>13.45</v>
      </c>
      <c r="L307" s="2" t="s">
        <v>3391</v>
      </c>
      <c r="M307" s="2" t="s">
        <v>9</v>
      </c>
      <c r="N307" s="3">
        <v>655</v>
      </c>
      <c r="O307" s="2" t="s">
        <v>267</v>
      </c>
      <c r="P307" s="2" t="s">
        <v>44</v>
      </c>
      <c r="Q307" s="3"/>
      <c r="R307" s="3"/>
      <c r="S307" s="2" t="s">
        <v>21</v>
      </c>
      <c r="T307" s="4">
        <v>44955</v>
      </c>
      <c r="U307" s="2" t="s">
        <v>1231</v>
      </c>
      <c r="V307" s="6">
        <f>(Sales[[#This Row],[Price_retail]]-Sales[[#This Row],[Price_current]])/Sales[[#This Row],[Price_retail]]</f>
        <v>0</v>
      </c>
      <c r="W307" s="3" t="str" cm="1">
        <f t="array" ref="W30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08" spans="1:23" x14ac:dyDescent="0.35">
      <c r="A308" s="2" t="s">
        <v>1232</v>
      </c>
      <c r="B308" s="2" t="s">
        <v>1233</v>
      </c>
      <c r="C308" s="2" t="s">
        <v>3401</v>
      </c>
      <c r="D308" s="2" t="s">
        <v>115</v>
      </c>
      <c r="E308" s="2" t="s">
        <v>4</v>
      </c>
      <c r="F308" s="2" t="s">
        <v>17</v>
      </c>
      <c r="G308" s="2" t="s">
        <v>27</v>
      </c>
      <c r="H308" s="2" t="s">
        <v>90</v>
      </c>
      <c r="I308" s="2" t="s">
        <v>3393</v>
      </c>
      <c r="J308" s="3">
        <v>33.5</v>
      </c>
      <c r="K308" s="3">
        <v>25.24</v>
      </c>
      <c r="L308" s="2" t="s">
        <v>8</v>
      </c>
      <c r="M308" s="2" t="s">
        <v>9</v>
      </c>
      <c r="N308" s="3">
        <v>146</v>
      </c>
      <c r="O308" s="2" t="s">
        <v>140</v>
      </c>
      <c r="P308" s="2" t="s">
        <v>122</v>
      </c>
      <c r="Q308" s="3"/>
      <c r="R308" s="3"/>
      <c r="S308" s="2" t="s">
        <v>21</v>
      </c>
      <c r="T308" s="4">
        <v>44955</v>
      </c>
      <c r="U308" s="2" t="s">
        <v>1234</v>
      </c>
      <c r="V308" s="6">
        <f>(Sales[[#This Row],[Price_retail]]-Sales[[#This Row],[Price_current]])/Sales[[#This Row],[Price_retail]]</f>
        <v>0.24656716417910451</v>
      </c>
      <c r="W308" s="3" t="str" cm="1">
        <f t="array" ref="W30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09" spans="1:23" x14ac:dyDescent="0.35">
      <c r="A309" s="2" t="s">
        <v>1235</v>
      </c>
      <c r="B309" s="2" t="s">
        <v>1236</v>
      </c>
      <c r="C309" s="2" t="s">
        <v>1237</v>
      </c>
      <c r="D309" s="2" t="s">
        <v>1238</v>
      </c>
      <c r="E309" s="2" t="s">
        <v>4</v>
      </c>
      <c r="F309" s="2" t="s">
        <v>5</v>
      </c>
      <c r="G309" s="2" t="s">
        <v>82</v>
      </c>
      <c r="H309" s="2" t="s">
        <v>168</v>
      </c>
      <c r="I309" s="2" t="s">
        <v>3393</v>
      </c>
      <c r="J309" s="3">
        <v>23.73</v>
      </c>
      <c r="K309" s="3">
        <v>23.73</v>
      </c>
      <c r="L309" s="2" t="s">
        <v>3391</v>
      </c>
      <c r="M309" s="2" t="s">
        <v>9</v>
      </c>
      <c r="N309" s="3">
        <v>232</v>
      </c>
      <c r="O309" s="2" t="s">
        <v>43</v>
      </c>
      <c r="P309" s="2" t="s">
        <v>221</v>
      </c>
      <c r="Q309" s="3"/>
      <c r="R309" s="3"/>
      <c r="S309" s="2" t="s">
        <v>21</v>
      </c>
      <c r="T309" s="4">
        <v>44955</v>
      </c>
      <c r="U309" s="2" t="s">
        <v>1239</v>
      </c>
      <c r="V309" s="6">
        <f>(Sales[[#This Row],[Price_retail]]-Sales[[#This Row],[Price_current]])/Sales[[#This Row],[Price_retail]]</f>
        <v>0</v>
      </c>
      <c r="W309" s="3" t="str" cm="1">
        <f t="array" ref="W30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0" spans="1:23" x14ac:dyDescent="0.35">
      <c r="A310" s="2" t="s">
        <v>1240</v>
      </c>
      <c r="B310" s="2" t="s">
        <v>1241</v>
      </c>
      <c r="C310" s="2" t="s">
        <v>1242</v>
      </c>
      <c r="D310" s="2" t="s">
        <v>1243</v>
      </c>
      <c r="E310" s="2" t="s">
        <v>4</v>
      </c>
      <c r="F310" s="2" t="s">
        <v>17</v>
      </c>
      <c r="G310" s="2" t="s">
        <v>67</v>
      </c>
      <c r="H310" s="2" t="s">
        <v>90</v>
      </c>
      <c r="I310" s="2" t="s">
        <v>3390</v>
      </c>
      <c r="J310" s="3">
        <v>15.89</v>
      </c>
      <c r="K310" s="3">
        <v>15.89</v>
      </c>
      <c r="L310" s="2" t="s">
        <v>3391</v>
      </c>
      <c r="M310" s="2" t="s">
        <v>9</v>
      </c>
      <c r="N310" s="3">
        <v>57</v>
      </c>
      <c r="O310" s="2" t="s">
        <v>20</v>
      </c>
      <c r="P310" s="2" t="s">
        <v>61</v>
      </c>
      <c r="Q310" s="3"/>
      <c r="R310" s="3"/>
      <c r="S310" s="2" t="s">
        <v>21</v>
      </c>
      <c r="T310" s="4">
        <v>44955</v>
      </c>
      <c r="U310" s="2" t="s">
        <v>1244</v>
      </c>
      <c r="V310" s="6">
        <f>(Sales[[#This Row],[Price_retail]]-Sales[[#This Row],[Price_current]])/Sales[[#This Row],[Price_retail]]</f>
        <v>0</v>
      </c>
      <c r="W310" s="3" t="str" cm="1">
        <f t="array" ref="W3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1" spans="1:23" x14ac:dyDescent="0.35">
      <c r="A311" s="2" t="s">
        <v>1245</v>
      </c>
      <c r="B311" s="2" t="s">
        <v>1246</v>
      </c>
      <c r="C311" s="2" t="s">
        <v>25</v>
      </c>
      <c r="D311" s="2" t="s">
        <v>1247</v>
      </c>
      <c r="E311" s="2" t="s">
        <v>4</v>
      </c>
      <c r="F311" s="2" t="s">
        <v>5</v>
      </c>
      <c r="G311" s="2" t="s">
        <v>82</v>
      </c>
      <c r="H311" s="2" t="s">
        <v>237</v>
      </c>
      <c r="I311" s="2" t="s">
        <v>3390</v>
      </c>
      <c r="J311" s="3">
        <v>37.31</v>
      </c>
      <c r="K311" s="3">
        <v>37.31</v>
      </c>
      <c r="L311" s="2" t="s">
        <v>3391</v>
      </c>
      <c r="M311" s="2" t="s">
        <v>9</v>
      </c>
      <c r="N311" s="3">
        <v>30</v>
      </c>
      <c r="O311" s="2" t="s">
        <v>20</v>
      </c>
      <c r="P311" s="2" t="s">
        <v>61</v>
      </c>
      <c r="Q311" s="3"/>
      <c r="R311" s="3"/>
      <c r="S311" s="2" t="s">
        <v>21</v>
      </c>
      <c r="T311" s="4">
        <v>44955</v>
      </c>
      <c r="U311" s="2" t="s">
        <v>1248</v>
      </c>
      <c r="V311" s="6">
        <f>(Sales[[#This Row],[Price_retail]]-Sales[[#This Row],[Price_current]])/Sales[[#This Row],[Price_retail]]</f>
        <v>0</v>
      </c>
      <c r="W311" s="3" t="str" cm="1">
        <f t="array" ref="W31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2" spans="1:23" x14ac:dyDescent="0.35">
      <c r="A312" s="2" t="s">
        <v>1249</v>
      </c>
      <c r="B312" s="2" t="s">
        <v>1250</v>
      </c>
      <c r="C312" s="2" t="s">
        <v>1090</v>
      </c>
      <c r="D312" s="2" t="s">
        <v>319</v>
      </c>
      <c r="E312" s="2" t="s">
        <v>4</v>
      </c>
      <c r="F312" s="2" t="s">
        <v>5</v>
      </c>
      <c r="G312" s="2" t="s">
        <v>82</v>
      </c>
      <c r="H312" s="2" t="s">
        <v>90</v>
      </c>
      <c r="I312" s="2" t="s">
        <v>3393</v>
      </c>
      <c r="J312" s="3">
        <v>26.41</v>
      </c>
      <c r="K312" s="3">
        <v>26.41</v>
      </c>
      <c r="L312" s="2" t="s">
        <v>3391</v>
      </c>
      <c r="M312" s="2" t="s">
        <v>9</v>
      </c>
      <c r="N312" s="3">
        <v>856</v>
      </c>
      <c r="O312" s="2" t="s">
        <v>3392</v>
      </c>
      <c r="P312" s="2" t="s">
        <v>30</v>
      </c>
      <c r="Q312" s="3"/>
      <c r="R312" s="3"/>
      <c r="S312" s="2" t="s">
        <v>21</v>
      </c>
      <c r="T312" s="4">
        <v>44955</v>
      </c>
      <c r="U312" s="2" t="s">
        <v>1251</v>
      </c>
      <c r="V312" s="6">
        <f>(Sales[[#This Row],[Price_retail]]-Sales[[#This Row],[Price_current]])/Sales[[#This Row],[Price_retail]]</f>
        <v>0</v>
      </c>
      <c r="W312" s="3" t="str" cm="1">
        <f t="array" ref="W31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3" spans="1:23" x14ac:dyDescent="0.35">
      <c r="A313" s="2" t="s">
        <v>1252</v>
      </c>
      <c r="B313" s="2" t="s">
        <v>1253</v>
      </c>
      <c r="C313" s="2" t="s">
        <v>750</v>
      </c>
      <c r="D313" s="2" t="s">
        <v>887</v>
      </c>
      <c r="E313" s="2" t="s">
        <v>4</v>
      </c>
      <c r="F313" s="2" t="s">
        <v>5</v>
      </c>
      <c r="G313" s="2" t="s">
        <v>121</v>
      </c>
      <c r="H313" s="2" t="s">
        <v>185</v>
      </c>
      <c r="I313" s="2" t="s">
        <v>3393</v>
      </c>
      <c r="J313" s="3">
        <v>79.08</v>
      </c>
      <c r="K313" s="3">
        <v>52.72</v>
      </c>
      <c r="L313" s="2" t="s">
        <v>8</v>
      </c>
      <c r="M313" s="2" t="s">
        <v>9</v>
      </c>
      <c r="N313" s="3">
        <v>602</v>
      </c>
      <c r="O313" s="2" t="s">
        <v>191</v>
      </c>
      <c r="P313" s="2" t="s">
        <v>92</v>
      </c>
      <c r="Q313" s="3"/>
      <c r="R313" s="3"/>
      <c r="S313" s="2" t="s">
        <v>21</v>
      </c>
      <c r="T313" s="4">
        <v>44955</v>
      </c>
      <c r="U313" s="2" t="s">
        <v>1254</v>
      </c>
      <c r="V313" s="6">
        <f>(Sales[[#This Row],[Price_retail]]-Sales[[#This Row],[Price_current]])/Sales[[#This Row],[Price_retail]]</f>
        <v>0.33333333333333331</v>
      </c>
      <c r="W313" s="3" t="str" cm="1">
        <f t="array" ref="W31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14" spans="1:23" x14ac:dyDescent="0.35">
      <c r="A314" s="2" t="s">
        <v>1255</v>
      </c>
      <c r="B314" s="2" t="s">
        <v>1256</v>
      </c>
      <c r="C314" s="2" t="s">
        <v>423</v>
      </c>
      <c r="D314" s="2" t="s">
        <v>581</v>
      </c>
      <c r="E314" s="2" t="s">
        <v>4</v>
      </c>
      <c r="F314" s="2" t="s">
        <v>17</v>
      </c>
      <c r="G314" s="2" t="s">
        <v>67</v>
      </c>
      <c r="H314" s="2" t="s">
        <v>7</v>
      </c>
      <c r="I314" s="2" t="s">
        <v>3395</v>
      </c>
      <c r="J314" s="3">
        <v>12.49</v>
      </c>
      <c r="K314" s="3">
        <v>7.74</v>
      </c>
      <c r="L314" s="2" t="s">
        <v>8</v>
      </c>
      <c r="M314" s="2" t="s">
        <v>9</v>
      </c>
      <c r="N314" s="3">
        <v>689</v>
      </c>
      <c r="O314" s="2" t="s">
        <v>69</v>
      </c>
      <c r="P314" s="2" t="s">
        <v>238</v>
      </c>
      <c r="Q314" s="3"/>
      <c r="R314" s="3"/>
      <c r="S314" s="2" t="s">
        <v>21</v>
      </c>
      <c r="T314" s="4">
        <v>44955</v>
      </c>
      <c r="U314" s="2" t="s">
        <v>1257</v>
      </c>
      <c r="V314" s="6">
        <f>(Sales[[#This Row],[Price_retail]]-Sales[[#This Row],[Price_current]])/Sales[[#This Row],[Price_retail]]</f>
        <v>0.38030424339471575</v>
      </c>
      <c r="W314" s="3" t="str" cm="1">
        <f t="array" ref="W31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15" spans="1:23" x14ac:dyDescent="0.35">
      <c r="A315" s="2" t="s">
        <v>1258</v>
      </c>
      <c r="B315" s="2" t="s">
        <v>1259</v>
      </c>
      <c r="C315" s="2" t="s">
        <v>2915</v>
      </c>
      <c r="D315" s="2" t="s">
        <v>1050</v>
      </c>
      <c r="E315" s="2" t="s">
        <v>4</v>
      </c>
      <c r="F315" s="2" t="s">
        <v>5</v>
      </c>
      <c r="G315" s="2" t="s">
        <v>82</v>
      </c>
      <c r="H315" s="2" t="s">
        <v>68</v>
      </c>
      <c r="I315" s="2" t="s">
        <v>3390</v>
      </c>
      <c r="J315" s="3">
        <v>21.56</v>
      </c>
      <c r="K315" s="3">
        <v>21.56</v>
      </c>
      <c r="L315" s="2" t="s">
        <v>3391</v>
      </c>
      <c r="M315" s="2" t="s">
        <v>9</v>
      </c>
      <c r="N315" s="3">
        <v>564</v>
      </c>
      <c r="O315" s="2" t="s">
        <v>43</v>
      </c>
      <c r="P315" s="2" t="s">
        <v>3392</v>
      </c>
      <c r="Q315" s="3"/>
      <c r="R315" s="3"/>
      <c r="S315" s="2" t="s">
        <v>12</v>
      </c>
      <c r="T315" s="4">
        <v>44955</v>
      </c>
      <c r="U315" s="2" t="s">
        <v>1260</v>
      </c>
      <c r="V315" s="6">
        <f>(Sales[[#This Row],[Price_retail]]-Sales[[#This Row],[Price_current]])/Sales[[#This Row],[Price_retail]]</f>
        <v>0</v>
      </c>
      <c r="W315" s="3" t="str" cm="1">
        <f t="array" ref="W31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6" spans="1:23" x14ac:dyDescent="0.35">
      <c r="A316" s="2" t="s">
        <v>1261</v>
      </c>
      <c r="B316" s="2" t="s">
        <v>1262</v>
      </c>
      <c r="C316" s="2" t="s">
        <v>387</v>
      </c>
      <c r="D316" s="2" t="s">
        <v>699</v>
      </c>
      <c r="E316" s="2" t="s">
        <v>4</v>
      </c>
      <c r="F316" s="2" t="s">
        <v>5</v>
      </c>
      <c r="G316" s="2" t="s">
        <v>121</v>
      </c>
      <c r="H316" s="2" t="s">
        <v>68</v>
      </c>
      <c r="I316" s="2" t="s">
        <v>3390</v>
      </c>
      <c r="J316" s="3">
        <v>37.07</v>
      </c>
      <c r="K316" s="3">
        <v>31.29</v>
      </c>
      <c r="L316" s="2" t="s">
        <v>8</v>
      </c>
      <c r="M316" s="2" t="s">
        <v>9</v>
      </c>
      <c r="N316" s="3">
        <v>486</v>
      </c>
      <c r="O316" s="2" t="s">
        <v>36</v>
      </c>
      <c r="P316" s="2" t="s">
        <v>186</v>
      </c>
      <c r="Q316" s="3"/>
      <c r="R316" s="3"/>
      <c r="S316" s="2" t="s">
        <v>21</v>
      </c>
      <c r="T316" s="4">
        <v>44955</v>
      </c>
      <c r="U316" s="2" t="s">
        <v>1263</v>
      </c>
      <c r="V316" s="6">
        <f>(Sales[[#This Row],[Price_retail]]-Sales[[#This Row],[Price_current]])/Sales[[#This Row],[Price_retail]]</f>
        <v>0.15592123010520639</v>
      </c>
      <c r="W316" s="3" t="str" cm="1">
        <f t="array" ref="W316">_xlfn.IFS(Sales[[#This Row],[Discount]]=0%,"No Discount",Sales[[#This Row],[Discount]]&lt;=20%,"Light",Sales[[#This Row],[Discount]]&lt;=50%,"Moderate",Sales[[#This Row],[Discount]]&lt;=80%,"High",
TRUE,"Very High")</f>
        <v>Light</v>
      </c>
    </row>
    <row r="317" spans="1:23" x14ac:dyDescent="0.35">
      <c r="A317" s="2" t="s">
        <v>1264</v>
      </c>
      <c r="B317" s="2" t="s">
        <v>1265</v>
      </c>
      <c r="C317" s="2" t="s">
        <v>65</v>
      </c>
      <c r="D317" s="2" t="s">
        <v>913</v>
      </c>
      <c r="E317" s="2" t="s">
        <v>4</v>
      </c>
      <c r="F317" s="2" t="s">
        <v>17</v>
      </c>
      <c r="G317" s="2" t="s">
        <v>27</v>
      </c>
      <c r="H317" s="2" t="s">
        <v>51</v>
      </c>
      <c r="I317" s="2" t="s">
        <v>3393</v>
      </c>
      <c r="J317" s="3">
        <v>8.99</v>
      </c>
      <c r="K317" s="3">
        <v>8.99</v>
      </c>
      <c r="L317" s="2" t="s">
        <v>3391</v>
      </c>
      <c r="M317" s="2" t="s">
        <v>9</v>
      </c>
      <c r="N317" s="3">
        <v>905</v>
      </c>
      <c r="O317" s="2" t="s">
        <v>75</v>
      </c>
      <c r="P317" s="2" t="s">
        <v>3392</v>
      </c>
      <c r="Q317" s="3"/>
      <c r="R317" s="3"/>
      <c r="S317" s="2" t="s">
        <v>21</v>
      </c>
      <c r="T317" s="4">
        <v>44955</v>
      </c>
      <c r="U317" s="2" t="s">
        <v>1266</v>
      </c>
      <c r="V317" s="6">
        <f>(Sales[[#This Row],[Price_retail]]-Sales[[#This Row],[Price_current]])/Sales[[#This Row],[Price_retail]]</f>
        <v>0</v>
      </c>
      <c r="W317" s="3" t="str" cm="1">
        <f t="array" ref="W31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8" spans="1:23" x14ac:dyDescent="0.35">
      <c r="A318" s="2" t="s">
        <v>1267</v>
      </c>
      <c r="B318" s="2" t="s">
        <v>1268</v>
      </c>
      <c r="C318" s="2" t="s">
        <v>3394</v>
      </c>
      <c r="D318" s="2" t="s">
        <v>686</v>
      </c>
      <c r="E318" s="2" t="s">
        <v>4</v>
      </c>
      <c r="F318" s="2" t="s">
        <v>5</v>
      </c>
      <c r="G318" s="2" t="s">
        <v>121</v>
      </c>
      <c r="H318" s="2" t="s">
        <v>7</v>
      </c>
      <c r="I318" s="2" t="s">
        <v>3393</v>
      </c>
      <c r="J318" s="3">
        <v>32.28</v>
      </c>
      <c r="K318" s="3">
        <v>32.28</v>
      </c>
      <c r="L318" s="2" t="s">
        <v>3391</v>
      </c>
      <c r="M318" s="2" t="s">
        <v>9</v>
      </c>
      <c r="N318" s="3">
        <v>233</v>
      </c>
      <c r="O318" s="2" t="s">
        <v>267</v>
      </c>
      <c r="P318" s="2" t="s">
        <v>177</v>
      </c>
      <c r="Q318" s="3"/>
      <c r="R318" s="3"/>
      <c r="S318" s="2" t="s">
        <v>21</v>
      </c>
      <c r="T318" s="4">
        <v>44955</v>
      </c>
      <c r="U318" s="2" t="s">
        <v>1269</v>
      </c>
      <c r="V318" s="6">
        <f>(Sales[[#This Row],[Price_retail]]-Sales[[#This Row],[Price_current]])/Sales[[#This Row],[Price_retail]]</f>
        <v>0</v>
      </c>
      <c r="W318" s="3" t="str" cm="1">
        <f t="array" ref="W3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19" spans="1:23" x14ac:dyDescent="0.35">
      <c r="A319" s="2" t="s">
        <v>1270</v>
      </c>
      <c r="B319" s="2" t="s">
        <v>1271</v>
      </c>
      <c r="C319" s="2" t="s">
        <v>3434</v>
      </c>
      <c r="D319" s="2" t="s">
        <v>557</v>
      </c>
      <c r="E319" s="2" t="s">
        <v>4</v>
      </c>
      <c r="F319" s="2" t="s">
        <v>5</v>
      </c>
      <c r="G319" s="2" t="s">
        <v>121</v>
      </c>
      <c r="H319" s="2" t="s">
        <v>28</v>
      </c>
      <c r="I319" s="2" t="s">
        <v>3390</v>
      </c>
      <c r="J319" s="3">
        <v>19.920000000000002</v>
      </c>
      <c r="K319" s="3">
        <v>19.920000000000002</v>
      </c>
      <c r="L319" s="2" t="s">
        <v>3391</v>
      </c>
      <c r="M319" s="2" t="s">
        <v>9</v>
      </c>
      <c r="N319" s="3">
        <v>624</v>
      </c>
      <c r="O319" s="2" t="s">
        <v>163</v>
      </c>
      <c r="P319" s="2" t="s">
        <v>70</v>
      </c>
      <c r="Q319" s="3"/>
      <c r="R319" s="3"/>
      <c r="S319" s="2" t="s">
        <v>21</v>
      </c>
      <c r="T319" s="4">
        <v>44955</v>
      </c>
      <c r="U319" s="2" t="s">
        <v>1272</v>
      </c>
      <c r="V319" s="6">
        <f>(Sales[[#This Row],[Price_retail]]-Sales[[#This Row],[Price_current]])/Sales[[#This Row],[Price_retail]]</f>
        <v>0</v>
      </c>
      <c r="W319" s="3" t="str" cm="1">
        <f t="array" ref="W31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0" spans="1:23" x14ac:dyDescent="0.35">
      <c r="A320" s="2" t="s">
        <v>1273</v>
      </c>
      <c r="B320" s="2" t="s">
        <v>1274</v>
      </c>
      <c r="C320" s="2" t="s">
        <v>3412</v>
      </c>
      <c r="D320" s="2" t="s">
        <v>400</v>
      </c>
      <c r="E320" s="2" t="s">
        <v>4</v>
      </c>
      <c r="F320" s="2" t="s">
        <v>5</v>
      </c>
      <c r="G320" s="2" t="s">
        <v>6</v>
      </c>
      <c r="H320" s="2" t="s">
        <v>185</v>
      </c>
      <c r="I320" s="2" t="s">
        <v>3395</v>
      </c>
      <c r="J320" s="3">
        <v>9.6</v>
      </c>
      <c r="K320" s="3">
        <v>7.4</v>
      </c>
      <c r="L320" s="2" t="s">
        <v>8</v>
      </c>
      <c r="M320" s="2" t="s">
        <v>9</v>
      </c>
      <c r="N320" s="3">
        <v>86</v>
      </c>
      <c r="O320" s="2" t="s">
        <v>52</v>
      </c>
      <c r="P320" s="2" t="s">
        <v>128</v>
      </c>
      <c r="Q320" s="3"/>
      <c r="R320" s="3"/>
      <c r="S320" s="2" t="s">
        <v>21</v>
      </c>
      <c r="T320" s="4">
        <v>44955</v>
      </c>
      <c r="U320" s="2" t="s">
        <v>1275</v>
      </c>
      <c r="V320" s="6">
        <f>(Sales[[#This Row],[Price_retail]]-Sales[[#This Row],[Price_current]])/Sales[[#This Row],[Price_retail]]</f>
        <v>0.2291666666666666</v>
      </c>
      <c r="W320" s="3" t="str" cm="1">
        <f t="array" ref="W32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21" spans="1:23" x14ac:dyDescent="0.35">
      <c r="A321" s="2" t="s">
        <v>1276</v>
      </c>
      <c r="B321" s="2" t="s">
        <v>1277</v>
      </c>
      <c r="C321" s="2" t="s">
        <v>1973</v>
      </c>
      <c r="D321" s="2" t="s">
        <v>214</v>
      </c>
      <c r="E321" s="2" t="s">
        <v>4</v>
      </c>
      <c r="F321" s="2" t="s">
        <v>5</v>
      </c>
      <c r="G321" s="2" t="s">
        <v>6</v>
      </c>
      <c r="H321" s="2" t="s">
        <v>139</v>
      </c>
      <c r="I321" s="2" t="s">
        <v>3393</v>
      </c>
      <c r="J321" s="3">
        <v>8.99</v>
      </c>
      <c r="K321" s="3">
        <v>8.99</v>
      </c>
      <c r="L321" s="2" t="s">
        <v>3391</v>
      </c>
      <c r="M321" s="2" t="s">
        <v>9</v>
      </c>
      <c r="N321" s="3">
        <v>364</v>
      </c>
      <c r="O321" s="2" t="s">
        <v>3392</v>
      </c>
      <c r="P321" s="2" t="s">
        <v>92</v>
      </c>
      <c r="Q321" s="3"/>
      <c r="R321" s="3"/>
      <c r="S321" s="2" t="s">
        <v>21</v>
      </c>
      <c r="T321" s="4">
        <v>44955</v>
      </c>
      <c r="U321" s="2" t="s">
        <v>1278</v>
      </c>
      <c r="V321" s="6">
        <f>(Sales[[#This Row],[Price_retail]]-Sales[[#This Row],[Price_current]])/Sales[[#This Row],[Price_retail]]</f>
        <v>0</v>
      </c>
      <c r="W321" s="3" t="str" cm="1">
        <f t="array" ref="W3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2" spans="1:23" x14ac:dyDescent="0.35">
      <c r="A322" s="2" t="s">
        <v>1279</v>
      </c>
      <c r="B322" s="2" t="s">
        <v>1280</v>
      </c>
      <c r="C322" s="2" t="s">
        <v>1281</v>
      </c>
      <c r="D322" s="2" t="s">
        <v>470</v>
      </c>
      <c r="E322" s="2" t="s">
        <v>4</v>
      </c>
      <c r="F322" s="2" t="s">
        <v>17</v>
      </c>
      <c r="G322" s="2" t="s">
        <v>50</v>
      </c>
      <c r="H322" s="2" t="s">
        <v>185</v>
      </c>
      <c r="I322" s="2" t="s">
        <v>3393</v>
      </c>
      <c r="J322" s="3">
        <v>10.81</v>
      </c>
      <c r="K322" s="3">
        <v>10.81</v>
      </c>
      <c r="L322" s="2" t="s">
        <v>3391</v>
      </c>
      <c r="M322" s="2" t="s">
        <v>9</v>
      </c>
      <c r="N322" s="3">
        <v>321</v>
      </c>
      <c r="O322" s="2" t="s">
        <v>60</v>
      </c>
      <c r="P322" s="2" t="s">
        <v>44</v>
      </c>
      <c r="Q322" s="3"/>
      <c r="R322" s="3"/>
      <c r="S322" s="2" t="s">
        <v>21</v>
      </c>
      <c r="T322" s="4">
        <v>44955</v>
      </c>
      <c r="U322" s="2" t="s">
        <v>1282</v>
      </c>
      <c r="V322" s="6">
        <f>(Sales[[#This Row],[Price_retail]]-Sales[[#This Row],[Price_current]])/Sales[[#This Row],[Price_retail]]</f>
        <v>0</v>
      </c>
      <c r="W322" s="3" t="str" cm="1">
        <f t="array" ref="W32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3" spans="1:23" x14ac:dyDescent="0.35">
      <c r="A323" s="2" t="s">
        <v>1283</v>
      </c>
      <c r="B323" s="2" t="s">
        <v>1284</v>
      </c>
      <c r="C323" s="2" t="s">
        <v>454</v>
      </c>
      <c r="D323" s="2" t="s">
        <v>1285</v>
      </c>
      <c r="E323" s="2" t="s">
        <v>4</v>
      </c>
      <c r="F323" s="2" t="s">
        <v>17</v>
      </c>
      <c r="G323" s="2" t="s">
        <v>50</v>
      </c>
      <c r="H323" s="2" t="s">
        <v>134</v>
      </c>
      <c r="I323" s="2" t="s">
        <v>3393</v>
      </c>
      <c r="J323" s="3">
        <v>8.99</v>
      </c>
      <c r="K323" s="3">
        <v>6.5</v>
      </c>
      <c r="L323" s="2" t="s">
        <v>8</v>
      </c>
      <c r="M323" s="2" t="s">
        <v>9</v>
      </c>
      <c r="N323" s="3">
        <v>527</v>
      </c>
      <c r="O323" s="2" t="s">
        <v>287</v>
      </c>
      <c r="P323" s="2" t="s">
        <v>37</v>
      </c>
      <c r="Q323" s="3"/>
      <c r="R323" s="3"/>
      <c r="S323" s="2" t="s">
        <v>21</v>
      </c>
      <c r="T323" s="4">
        <v>44955</v>
      </c>
      <c r="U323" s="2" t="s">
        <v>1286</v>
      </c>
      <c r="V323" s="6">
        <f>(Sales[[#This Row],[Price_retail]]-Sales[[#This Row],[Price_current]])/Sales[[#This Row],[Price_retail]]</f>
        <v>0.27697441601779754</v>
      </c>
      <c r="W323" s="3" t="str" cm="1">
        <f t="array" ref="W32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24" spans="1:23" x14ac:dyDescent="0.35">
      <c r="A324" s="2" t="s">
        <v>1287</v>
      </c>
      <c r="B324" s="2" t="s">
        <v>1288</v>
      </c>
      <c r="C324" s="2" t="s">
        <v>750</v>
      </c>
      <c r="D324" s="2" t="s">
        <v>127</v>
      </c>
      <c r="E324" s="2" t="s">
        <v>4</v>
      </c>
      <c r="F324" s="2" t="s">
        <v>5</v>
      </c>
      <c r="G324" s="2" t="s">
        <v>82</v>
      </c>
      <c r="H324" s="2" t="s">
        <v>110</v>
      </c>
      <c r="I324" s="2" t="s">
        <v>3393</v>
      </c>
      <c r="J324" s="3">
        <v>11.95</v>
      </c>
      <c r="K324" s="3">
        <v>11.95</v>
      </c>
      <c r="L324" s="2" t="s">
        <v>3391</v>
      </c>
      <c r="M324" s="2" t="s">
        <v>9</v>
      </c>
      <c r="N324" s="3">
        <v>120</v>
      </c>
      <c r="O324" s="2" t="s">
        <v>287</v>
      </c>
      <c r="P324" s="2" t="s">
        <v>37</v>
      </c>
      <c r="Q324" s="3"/>
      <c r="R324" s="3"/>
      <c r="S324" s="2" t="s">
        <v>21</v>
      </c>
      <c r="T324" s="4">
        <v>44955</v>
      </c>
      <c r="U324" s="2" t="s">
        <v>1289</v>
      </c>
      <c r="V324" s="6">
        <f>(Sales[[#This Row],[Price_retail]]-Sales[[#This Row],[Price_current]])/Sales[[#This Row],[Price_retail]]</f>
        <v>0</v>
      </c>
      <c r="W324" s="3" t="str" cm="1">
        <f t="array" ref="W3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5" spans="1:23" x14ac:dyDescent="0.35">
      <c r="A325" s="2" t="s">
        <v>1290</v>
      </c>
      <c r="B325" s="2" t="s">
        <v>1291</v>
      </c>
      <c r="C325" s="2" t="s">
        <v>469</v>
      </c>
      <c r="D325" s="2" t="s">
        <v>26</v>
      </c>
      <c r="E325" s="2" t="s">
        <v>4</v>
      </c>
      <c r="F325" s="2" t="s">
        <v>17</v>
      </c>
      <c r="G325" s="2" t="s">
        <v>27</v>
      </c>
      <c r="H325" s="2" t="s">
        <v>28</v>
      </c>
      <c r="I325" s="2" t="s">
        <v>3395</v>
      </c>
      <c r="J325" s="3">
        <v>22.03</v>
      </c>
      <c r="K325" s="3">
        <v>17.66</v>
      </c>
      <c r="L325" s="2" t="s">
        <v>8</v>
      </c>
      <c r="M325" s="2" t="s">
        <v>9</v>
      </c>
      <c r="N325" s="3">
        <v>663</v>
      </c>
      <c r="O325" s="2" t="s">
        <v>3392</v>
      </c>
      <c r="P325" s="2" t="s">
        <v>11</v>
      </c>
      <c r="Q325" s="3"/>
      <c r="R325" s="3"/>
      <c r="S325" s="2" t="s">
        <v>21</v>
      </c>
      <c r="T325" s="4">
        <v>44955</v>
      </c>
      <c r="U325" s="2" t="s">
        <v>1292</v>
      </c>
      <c r="V325" s="6">
        <f>(Sales[[#This Row],[Price_retail]]-Sales[[#This Row],[Price_current]])/Sales[[#This Row],[Price_retail]]</f>
        <v>0.1983658647299138</v>
      </c>
      <c r="W325" s="3" t="str" cm="1">
        <f t="array" ref="W325">_xlfn.IFS(Sales[[#This Row],[Discount]]=0%,"No Discount",Sales[[#This Row],[Discount]]&lt;=20%,"Light",Sales[[#This Row],[Discount]]&lt;=50%,"Moderate",Sales[[#This Row],[Discount]]&lt;=80%,"High",
TRUE,"Very High")</f>
        <v>Light</v>
      </c>
    </row>
    <row r="326" spans="1:23" x14ac:dyDescent="0.35">
      <c r="A326" s="2" t="s">
        <v>1293</v>
      </c>
      <c r="B326" s="2" t="s">
        <v>1294</v>
      </c>
      <c r="C326" s="2" t="s">
        <v>333</v>
      </c>
      <c r="D326" s="2" t="s">
        <v>604</v>
      </c>
      <c r="E326" s="2" t="s">
        <v>4</v>
      </c>
      <c r="F326" s="2" t="s">
        <v>5</v>
      </c>
      <c r="G326" s="2" t="s">
        <v>121</v>
      </c>
      <c r="H326" s="2"/>
      <c r="I326" s="2" t="s">
        <v>3395</v>
      </c>
      <c r="J326" s="3">
        <v>12.04</v>
      </c>
      <c r="K326" s="3">
        <v>8.1199999999999992</v>
      </c>
      <c r="L326" s="2" t="s">
        <v>8</v>
      </c>
      <c r="M326" s="2" t="s">
        <v>9</v>
      </c>
      <c r="N326" s="3">
        <v>997</v>
      </c>
      <c r="O326" s="2" t="s">
        <v>36</v>
      </c>
      <c r="P326" s="2" t="s">
        <v>368</v>
      </c>
      <c r="Q326" s="3"/>
      <c r="R326" s="3"/>
      <c r="S326" s="2" t="s">
        <v>12</v>
      </c>
      <c r="T326" s="4">
        <v>44955</v>
      </c>
      <c r="U326" s="2" t="s">
        <v>1295</v>
      </c>
      <c r="V326" s="6">
        <f>(Sales[[#This Row],[Price_retail]]-Sales[[#This Row],[Price_current]])/Sales[[#This Row],[Price_retail]]</f>
        <v>0.32558139534883723</v>
      </c>
      <c r="W326" s="3" t="str" cm="1">
        <f t="array" ref="W32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27" spans="1:23" x14ac:dyDescent="0.35">
      <c r="A327" s="2" t="s">
        <v>1296</v>
      </c>
      <c r="B327" s="2" t="s">
        <v>1297</v>
      </c>
      <c r="C327" s="2" t="s">
        <v>3394</v>
      </c>
      <c r="D327" s="2" t="s">
        <v>450</v>
      </c>
      <c r="E327" s="2" t="s">
        <v>4</v>
      </c>
      <c r="F327" s="2" t="s">
        <v>5</v>
      </c>
      <c r="G327" s="2" t="s">
        <v>121</v>
      </c>
      <c r="H327" s="2" t="s">
        <v>59</v>
      </c>
      <c r="I327" s="2" t="s">
        <v>3390</v>
      </c>
      <c r="J327" s="3">
        <v>33.57</v>
      </c>
      <c r="K327" s="3">
        <v>33.57</v>
      </c>
      <c r="L327" s="2" t="s">
        <v>3391</v>
      </c>
      <c r="M327" s="2" t="s">
        <v>9</v>
      </c>
      <c r="N327" s="3">
        <v>498</v>
      </c>
      <c r="O327" s="2" t="s">
        <v>98</v>
      </c>
      <c r="P327" s="2" t="s">
        <v>221</v>
      </c>
      <c r="Q327" s="3"/>
      <c r="R327" s="3"/>
      <c r="S327" s="2" t="s">
        <v>21</v>
      </c>
      <c r="T327" s="4">
        <v>44955</v>
      </c>
      <c r="U327" s="2" t="s">
        <v>1298</v>
      </c>
      <c r="V327" s="6">
        <f>(Sales[[#This Row],[Price_retail]]-Sales[[#This Row],[Price_current]])/Sales[[#This Row],[Price_retail]]</f>
        <v>0</v>
      </c>
      <c r="W327" s="3" t="str" cm="1">
        <f t="array" ref="W3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8" spans="1:23" x14ac:dyDescent="0.35">
      <c r="A328" s="2" t="s">
        <v>1299</v>
      </c>
      <c r="B328" s="2" t="s">
        <v>1300</v>
      </c>
      <c r="C328" s="2" t="s">
        <v>1743</v>
      </c>
      <c r="D328" s="2" t="s">
        <v>1301</v>
      </c>
      <c r="E328" s="2" t="s">
        <v>4</v>
      </c>
      <c r="F328" s="2" t="s">
        <v>17</v>
      </c>
      <c r="G328" s="2" t="s">
        <v>50</v>
      </c>
      <c r="H328" s="2" t="s">
        <v>237</v>
      </c>
      <c r="I328" s="2" t="s">
        <v>3393</v>
      </c>
      <c r="J328" s="3">
        <v>38.979999999999997</v>
      </c>
      <c r="K328" s="3">
        <v>38.979999999999997</v>
      </c>
      <c r="L328" s="2" t="s">
        <v>3391</v>
      </c>
      <c r="M328" s="2" t="s">
        <v>9</v>
      </c>
      <c r="N328" s="3">
        <v>752</v>
      </c>
      <c r="O328" s="2" t="s">
        <v>3392</v>
      </c>
      <c r="P328" s="2" t="s">
        <v>3392</v>
      </c>
      <c r="Q328" s="3"/>
      <c r="R328" s="3"/>
      <c r="S328" s="2" t="s">
        <v>21</v>
      </c>
      <c r="T328" s="4">
        <v>44955</v>
      </c>
      <c r="U328" s="2" t="s">
        <v>1302</v>
      </c>
      <c r="V328" s="6">
        <f>(Sales[[#This Row],[Price_retail]]-Sales[[#This Row],[Price_current]])/Sales[[#This Row],[Price_retail]]</f>
        <v>0</v>
      </c>
      <c r="W328" s="3" t="str" cm="1">
        <f t="array" ref="W3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29" spans="1:23" x14ac:dyDescent="0.35">
      <c r="A329" s="2" t="s">
        <v>1303</v>
      </c>
      <c r="B329" s="2" t="s">
        <v>1304</v>
      </c>
      <c r="C329" s="2" t="s">
        <v>3394</v>
      </c>
      <c r="D329" s="2" t="s">
        <v>729</v>
      </c>
      <c r="E329" s="2" t="s">
        <v>4</v>
      </c>
      <c r="F329" s="2" t="s">
        <v>17</v>
      </c>
      <c r="G329" s="2" t="s">
        <v>18</v>
      </c>
      <c r="H329" s="2" t="s">
        <v>168</v>
      </c>
      <c r="I329" s="2" t="s">
        <v>3390</v>
      </c>
      <c r="J329" s="3">
        <v>31.55</v>
      </c>
      <c r="K329" s="3">
        <v>31.55</v>
      </c>
      <c r="L329" s="2" t="s">
        <v>3391</v>
      </c>
      <c r="M329" s="2" t="s">
        <v>9</v>
      </c>
      <c r="N329" s="3">
        <v>144</v>
      </c>
      <c r="O329" s="2" t="s">
        <v>261</v>
      </c>
      <c r="P329" s="2" t="s">
        <v>3392</v>
      </c>
      <c r="Q329" s="3"/>
      <c r="R329" s="3"/>
      <c r="S329" s="2" t="s">
        <v>21</v>
      </c>
      <c r="T329" s="4">
        <v>44955</v>
      </c>
      <c r="U329" s="2" t="s">
        <v>1305</v>
      </c>
      <c r="V329" s="6">
        <f>(Sales[[#This Row],[Price_retail]]-Sales[[#This Row],[Price_current]])/Sales[[#This Row],[Price_retail]]</f>
        <v>0</v>
      </c>
      <c r="W329" s="3" t="str" cm="1">
        <f t="array" ref="W32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0" spans="1:23" x14ac:dyDescent="0.35">
      <c r="A330" s="2" t="s">
        <v>1306</v>
      </c>
      <c r="B330" s="2" t="s">
        <v>1307</v>
      </c>
      <c r="C330" s="2" t="s">
        <v>741</v>
      </c>
      <c r="D330" s="2" t="s">
        <v>861</v>
      </c>
      <c r="E330" s="2" t="s">
        <v>4</v>
      </c>
      <c r="F330" s="2" t="s">
        <v>17</v>
      </c>
      <c r="G330" s="2" t="s">
        <v>18</v>
      </c>
      <c r="H330" s="2" t="s">
        <v>139</v>
      </c>
      <c r="I330" s="2" t="s">
        <v>3393</v>
      </c>
      <c r="J330" s="3">
        <v>17.760000000000002</v>
      </c>
      <c r="K330" s="3">
        <v>17.760000000000002</v>
      </c>
      <c r="L330" s="2" t="s">
        <v>3391</v>
      </c>
      <c r="M330" s="2" t="s">
        <v>9</v>
      </c>
      <c r="N330" s="3">
        <v>979</v>
      </c>
      <c r="O330" s="2" t="s">
        <v>3392</v>
      </c>
      <c r="P330" s="2" t="s">
        <v>30</v>
      </c>
      <c r="Q330" s="3"/>
      <c r="R330" s="3"/>
      <c r="S330" s="2" t="s">
        <v>21</v>
      </c>
      <c r="T330" s="4">
        <v>44955</v>
      </c>
      <c r="U330" s="2" t="s">
        <v>1308</v>
      </c>
      <c r="V330" s="6">
        <f>(Sales[[#This Row],[Price_retail]]-Sales[[#This Row],[Price_current]])/Sales[[#This Row],[Price_retail]]</f>
        <v>0</v>
      </c>
      <c r="W330" s="3" t="str" cm="1">
        <f t="array" ref="W33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1" spans="1:23" x14ac:dyDescent="0.35">
      <c r="A331" s="2" t="s">
        <v>1309</v>
      </c>
      <c r="B331" s="2" t="s">
        <v>1310</v>
      </c>
      <c r="C331" s="2" t="s">
        <v>1839</v>
      </c>
      <c r="D331" s="2" t="s">
        <v>1000</v>
      </c>
      <c r="E331" s="2" t="s">
        <v>4</v>
      </c>
      <c r="F331" s="2" t="s">
        <v>17</v>
      </c>
      <c r="G331" s="2" t="s">
        <v>67</v>
      </c>
      <c r="H331" s="2" t="s">
        <v>68</v>
      </c>
      <c r="I331" s="2" t="s">
        <v>3393</v>
      </c>
      <c r="J331" s="3">
        <v>8.99</v>
      </c>
      <c r="K331" s="3">
        <v>8.99</v>
      </c>
      <c r="L331" s="2" t="s">
        <v>3391</v>
      </c>
      <c r="M331" s="2" t="s">
        <v>9</v>
      </c>
      <c r="N331" s="3">
        <v>117</v>
      </c>
      <c r="O331" s="2" t="s">
        <v>140</v>
      </c>
      <c r="P331" s="2" t="s">
        <v>186</v>
      </c>
      <c r="Q331" s="3"/>
      <c r="R331" s="3"/>
      <c r="S331" s="2" t="s">
        <v>21</v>
      </c>
      <c r="T331" s="4">
        <v>44955</v>
      </c>
      <c r="U331" s="2" t="s">
        <v>1311</v>
      </c>
      <c r="V331" s="6">
        <f>(Sales[[#This Row],[Price_retail]]-Sales[[#This Row],[Price_current]])/Sales[[#This Row],[Price_retail]]</f>
        <v>0</v>
      </c>
      <c r="W331" s="3" t="str" cm="1">
        <f t="array" ref="W3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2" spans="1:23" x14ac:dyDescent="0.35">
      <c r="A332" s="2" t="s">
        <v>1312</v>
      </c>
      <c r="B332" s="2" t="s">
        <v>1313</v>
      </c>
      <c r="C332" s="2" t="s">
        <v>1314</v>
      </c>
      <c r="D332" s="2" t="s">
        <v>1050</v>
      </c>
      <c r="E332" s="2" t="s">
        <v>4</v>
      </c>
      <c r="F332" s="2" t="s">
        <v>5</v>
      </c>
      <c r="G332" s="2" t="s">
        <v>6</v>
      </c>
      <c r="H332" s="2" t="s">
        <v>68</v>
      </c>
      <c r="I332" s="2" t="s">
        <v>3393</v>
      </c>
      <c r="J332" s="3">
        <v>10.62</v>
      </c>
      <c r="K332" s="3">
        <v>10.62</v>
      </c>
      <c r="L332" s="2" t="s">
        <v>3391</v>
      </c>
      <c r="M332" s="2" t="s">
        <v>9</v>
      </c>
      <c r="N332" s="3">
        <v>657</v>
      </c>
      <c r="O332" s="2" t="s">
        <v>104</v>
      </c>
      <c r="P332" s="2" t="s">
        <v>76</v>
      </c>
      <c r="Q332" s="3"/>
      <c r="R332" s="3"/>
      <c r="S332" s="2" t="s">
        <v>12</v>
      </c>
      <c r="T332" s="4">
        <v>44955</v>
      </c>
      <c r="U332" s="2" t="s">
        <v>1315</v>
      </c>
      <c r="V332" s="6">
        <f>(Sales[[#This Row],[Price_retail]]-Sales[[#This Row],[Price_current]])/Sales[[#This Row],[Price_retail]]</f>
        <v>0</v>
      </c>
      <c r="W332" s="3" t="str" cm="1">
        <f t="array" ref="W3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3" spans="1:23" x14ac:dyDescent="0.35">
      <c r="A333" s="2" t="s">
        <v>1316</v>
      </c>
      <c r="B333" s="2" t="s">
        <v>1317</v>
      </c>
      <c r="C333" s="2" t="s">
        <v>733</v>
      </c>
      <c r="D333" s="2" t="s">
        <v>3418</v>
      </c>
      <c r="E333" s="2" t="s">
        <v>4</v>
      </c>
      <c r="F333" s="2" t="s">
        <v>5</v>
      </c>
      <c r="G333" s="2" t="s">
        <v>82</v>
      </c>
      <c r="H333" s="2" t="s">
        <v>68</v>
      </c>
      <c r="I333" s="2" t="s">
        <v>3393</v>
      </c>
      <c r="J333" s="3">
        <v>24.79</v>
      </c>
      <c r="K333" s="3">
        <v>24.79</v>
      </c>
      <c r="L333" s="2" t="s">
        <v>3391</v>
      </c>
      <c r="M333" s="2" t="s">
        <v>9</v>
      </c>
      <c r="N333" s="3">
        <v>539</v>
      </c>
      <c r="O333" s="2" t="s">
        <v>267</v>
      </c>
      <c r="P333" s="2" t="s">
        <v>283</v>
      </c>
      <c r="Q333" s="3"/>
      <c r="R333" s="3"/>
      <c r="S333" s="2" t="s">
        <v>21</v>
      </c>
      <c r="T333" s="4">
        <v>44955</v>
      </c>
      <c r="U333" s="2" t="s">
        <v>1318</v>
      </c>
      <c r="V333" s="6">
        <f>(Sales[[#This Row],[Price_retail]]-Sales[[#This Row],[Price_current]])/Sales[[#This Row],[Price_retail]]</f>
        <v>0</v>
      </c>
      <c r="W333" s="3" t="str" cm="1">
        <f t="array" ref="W3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4" spans="1:23" x14ac:dyDescent="0.35">
      <c r="A334" s="2" t="s">
        <v>1319</v>
      </c>
      <c r="B334" s="2" t="s">
        <v>1320</v>
      </c>
      <c r="C334" s="2" t="s">
        <v>242</v>
      </c>
      <c r="D334" s="2" t="s">
        <v>42</v>
      </c>
      <c r="E334" s="2" t="s">
        <v>4</v>
      </c>
      <c r="F334" s="2" t="s">
        <v>5</v>
      </c>
      <c r="G334" s="2" t="s">
        <v>82</v>
      </c>
      <c r="H334" s="2" t="s">
        <v>19</v>
      </c>
      <c r="I334" s="2" t="s">
        <v>3390</v>
      </c>
      <c r="J334" s="3">
        <v>9.57</v>
      </c>
      <c r="K334" s="3">
        <v>9.57</v>
      </c>
      <c r="L334" s="2" t="s">
        <v>3391</v>
      </c>
      <c r="M334" s="2" t="s">
        <v>9</v>
      </c>
      <c r="N334" s="3">
        <v>253</v>
      </c>
      <c r="O334" s="2" t="s">
        <v>75</v>
      </c>
      <c r="P334" s="2" t="s">
        <v>37</v>
      </c>
      <c r="Q334" s="3"/>
      <c r="R334" s="3"/>
      <c r="S334" s="2" t="s">
        <v>21</v>
      </c>
      <c r="T334" s="4">
        <v>44955</v>
      </c>
      <c r="U334" s="2" t="s">
        <v>1321</v>
      </c>
      <c r="V334" s="6">
        <f>(Sales[[#This Row],[Price_retail]]-Sales[[#This Row],[Price_current]])/Sales[[#This Row],[Price_retail]]</f>
        <v>0</v>
      </c>
      <c r="W334" s="3" t="str" cm="1">
        <f t="array" ref="W33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5" spans="1:23" x14ac:dyDescent="0.35">
      <c r="A335" s="2" t="s">
        <v>1322</v>
      </c>
      <c r="B335" s="2" t="s">
        <v>1323</v>
      </c>
      <c r="C335" s="2" t="s">
        <v>242</v>
      </c>
      <c r="D335" s="2" t="s">
        <v>1324</v>
      </c>
      <c r="E335" s="2" t="s">
        <v>4</v>
      </c>
      <c r="F335" s="2" t="s">
        <v>17</v>
      </c>
      <c r="G335" s="2" t="s">
        <v>27</v>
      </c>
      <c r="H335" s="2" t="s">
        <v>19</v>
      </c>
      <c r="I335" s="2" t="s">
        <v>3393</v>
      </c>
      <c r="J335" s="3">
        <v>30.83</v>
      </c>
      <c r="K335" s="3">
        <v>30.83</v>
      </c>
      <c r="L335" s="2" t="s">
        <v>3391</v>
      </c>
      <c r="M335" s="2" t="s">
        <v>9</v>
      </c>
      <c r="N335" s="3">
        <v>251</v>
      </c>
      <c r="O335" s="2" t="s">
        <v>3392</v>
      </c>
      <c r="P335" s="2" t="s">
        <v>192</v>
      </c>
      <c r="Q335" s="3"/>
      <c r="R335" s="3"/>
      <c r="S335" s="2" t="s">
        <v>21</v>
      </c>
      <c r="T335" s="4">
        <v>44955</v>
      </c>
      <c r="U335" s="2" t="s">
        <v>1325</v>
      </c>
      <c r="V335" s="6">
        <f>(Sales[[#This Row],[Price_retail]]-Sales[[#This Row],[Price_current]])/Sales[[#This Row],[Price_retail]]</f>
        <v>0</v>
      </c>
      <c r="W335" s="3" t="str" cm="1">
        <f t="array" ref="W3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6" spans="1:23" x14ac:dyDescent="0.35">
      <c r="A336" s="2" t="s">
        <v>1326</v>
      </c>
      <c r="B336" s="2" t="s">
        <v>1327</v>
      </c>
      <c r="C336" s="2" t="s">
        <v>65</v>
      </c>
      <c r="D336" s="2" t="s">
        <v>196</v>
      </c>
      <c r="E336" s="2" t="s">
        <v>4</v>
      </c>
      <c r="F336" s="2" t="s">
        <v>17</v>
      </c>
      <c r="G336" s="2" t="s">
        <v>67</v>
      </c>
      <c r="H336" s="2" t="s">
        <v>7</v>
      </c>
      <c r="I336" s="2" t="s">
        <v>3395</v>
      </c>
      <c r="J336" s="3">
        <v>37.92</v>
      </c>
      <c r="K336" s="3">
        <v>37.92</v>
      </c>
      <c r="L336" s="2" t="s">
        <v>3391</v>
      </c>
      <c r="M336" s="2" t="s">
        <v>9</v>
      </c>
      <c r="N336" s="3">
        <v>589</v>
      </c>
      <c r="O336" s="2" t="s">
        <v>3392</v>
      </c>
      <c r="P336" s="2" t="s">
        <v>186</v>
      </c>
      <c r="Q336" s="3"/>
      <c r="R336" s="3"/>
      <c r="S336" s="2" t="s">
        <v>21</v>
      </c>
      <c r="T336" s="4">
        <v>44955</v>
      </c>
      <c r="U336" s="2" t="s">
        <v>1328</v>
      </c>
      <c r="V336" s="6">
        <f>(Sales[[#This Row],[Price_retail]]-Sales[[#This Row],[Price_current]])/Sales[[#This Row],[Price_retail]]</f>
        <v>0</v>
      </c>
      <c r="W336" s="3" t="str" cm="1">
        <f t="array" ref="W33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7" spans="1:23" x14ac:dyDescent="0.35">
      <c r="A337" s="2" t="s">
        <v>1329</v>
      </c>
      <c r="B337" s="2" t="s">
        <v>1330</v>
      </c>
      <c r="C337" s="2" t="s">
        <v>1115</v>
      </c>
      <c r="D337" s="2" t="s">
        <v>674</v>
      </c>
      <c r="E337" s="2" t="s">
        <v>4</v>
      </c>
      <c r="F337" s="2" t="s">
        <v>5</v>
      </c>
      <c r="G337" s="2" t="s">
        <v>6</v>
      </c>
      <c r="H337" s="2" t="s">
        <v>333</v>
      </c>
      <c r="I337" s="2" t="s">
        <v>3395</v>
      </c>
      <c r="J337" s="3">
        <v>8.99</v>
      </c>
      <c r="K337" s="3">
        <v>8.99</v>
      </c>
      <c r="L337" s="2" t="s">
        <v>3391</v>
      </c>
      <c r="M337" s="2" t="s">
        <v>9</v>
      </c>
      <c r="N337" s="3">
        <v>994</v>
      </c>
      <c r="O337" s="2" t="s">
        <v>36</v>
      </c>
      <c r="P337" s="2" t="s">
        <v>238</v>
      </c>
      <c r="Q337" s="3"/>
      <c r="R337" s="3"/>
      <c r="S337" s="2" t="s">
        <v>21</v>
      </c>
      <c r="T337" s="4">
        <v>44955</v>
      </c>
      <c r="U337" s="2" t="s">
        <v>1331</v>
      </c>
      <c r="V337" s="6">
        <f>(Sales[[#This Row],[Price_retail]]-Sales[[#This Row],[Price_current]])/Sales[[#This Row],[Price_retail]]</f>
        <v>0</v>
      </c>
      <c r="W337" s="3" t="str" cm="1">
        <f t="array" ref="W33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8" spans="1:23" x14ac:dyDescent="0.35">
      <c r="A338" s="2" t="s">
        <v>1332</v>
      </c>
      <c r="B338" s="2" t="s">
        <v>1333</v>
      </c>
      <c r="C338" s="2" t="s">
        <v>741</v>
      </c>
      <c r="D338" s="2" t="s">
        <v>413</v>
      </c>
      <c r="E338" s="2" t="s">
        <v>4</v>
      </c>
      <c r="F338" s="2" t="s">
        <v>17</v>
      </c>
      <c r="G338" s="2" t="s">
        <v>27</v>
      </c>
      <c r="H338" s="2" t="s">
        <v>19</v>
      </c>
      <c r="I338" s="2" t="s">
        <v>3393</v>
      </c>
      <c r="J338" s="3">
        <v>42.37</v>
      </c>
      <c r="K338" s="3">
        <v>42.37</v>
      </c>
      <c r="L338" s="2" t="s">
        <v>3391</v>
      </c>
      <c r="M338" s="2" t="s">
        <v>9</v>
      </c>
      <c r="N338" s="3">
        <v>353</v>
      </c>
      <c r="O338" s="2" t="s">
        <v>91</v>
      </c>
      <c r="P338" s="2" t="s">
        <v>215</v>
      </c>
      <c r="Q338" s="3"/>
      <c r="R338" s="3"/>
      <c r="S338" s="2" t="s">
        <v>21</v>
      </c>
      <c r="T338" s="4">
        <v>44955</v>
      </c>
      <c r="U338" s="2" t="s">
        <v>1334</v>
      </c>
      <c r="V338" s="6">
        <f>(Sales[[#This Row],[Price_retail]]-Sales[[#This Row],[Price_current]])/Sales[[#This Row],[Price_retail]]</f>
        <v>0</v>
      </c>
      <c r="W338" s="3" t="str" cm="1">
        <f t="array" ref="W3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39" spans="1:23" x14ac:dyDescent="0.35">
      <c r="A339" s="2" t="s">
        <v>1335</v>
      </c>
      <c r="B339" s="2" t="s">
        <v>1336</v>
      </c>
      <c r="C339" s="2" t="s">
        <v>65</v>
      </c>
      <c r="D339" s="2" t="s">
        <v>1176</v>
      </c>
      <c r="E339" s="2" t="s">
        <v>4</v>
      </c>
      <c r="F339" s="2" t="s">
        <v>17</v>
      </c>
      <c r="G339" s="2" t="s">
        <v>67</v>
      </c>
      <c r="H339" s="2" t="s">
        <v>83</v>
      </c>
      <c r="I339" s="2" t="s">
        <v>3390</v>
      </c>
      <c r="J339" s="3">
        <v>25.45</v>
      </c>
      <c r="K339" s="3">
        <v>25.45</v>
      </c>
      <c r="L339" s="2" t="s">
        <v>3391</v>
      </c>
      <c r="M339" s="2" t="s">
        <v>9</v>
      </c>
      <c r="N339" s="3">
        <v>62</v>
      </c>
      <c r="O339" s="2" t="s">
        <v>3392</v>
      </c>
      <c r="P339" s="2" t="s">
        <v>30</v>
      </c>
      <c r="Q339" s="3"/>
      <c r="R339" s="3"/>
      <c r="S339" s="2" t="s">
        <v>12</v>
      </c>
      <c r="T339" s="4">
        <v>44955</v>
      </c>
      <c r="U339" s="2" t="s">
        <v>1337</v>
      </c>
      <c r="V339" s="6">
        <f>(Sales[[#This Row],[Price_retail]]-Sales[[#This Row],[Price_current]])/Sales[[#This Row],[Price_retail]]</f>
        <v>0</v>
      </c>
      <c r="W339" s="3" t="str" cm="1">
        <f t="array" ref="W33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0" spans="1:23" x14ac:dyDescent="0.35">
      <c r="A340" s="2" t="s">
        <v>1338</v>
      </c>
      <c r="B340" s="2" t="s">
        <v>1339</v>
      </c>
      <c r="C340" s="2" t="s">
        <v>242</v>
      </c>
      <c r="D340" s="2" t="s">
        <v>144</v>
      </c>
      <c r="E340" s="2" t="s">
        <v>4</v>
      </c>
      <c r="F340" s="2" t="s">
        <v>17</v>
      </c>
      <c r="G340" s="2" t="s">
        <v>27</v>
      </c>
      <c r="H340" s="2" t="s">
        <v>145</v>
      </c>
      <c r="I340" s="2" t="s">
        <v>3393</v>
      </c>
      <c r="J340" s="3">
        <v>18.13</v>
      </c>
      <c r="K340" s="3">
        <v>18.13</v>
      </c>
      <c r="L340" s="2" t="s">
        <v>3391</v>
      </c>
      <c r="M340" s="2" t="s">
        <v>9</v>
      </c>
      <c r="N340" s="3">
        <v>241</v>
      </c>
      <c r="O340" s="2" t="s">
        <v>20</v>
      </c>
      <c r="P340" s="2" t="s">
        <v>3392</v>
      </c>
      <c r="Q340" s="3"/>
      <c r="R340" s="3"/>
      <c r="S340" s="2" t="s">
        <v>12</v>
      </c>
      <c r="T340" s="4">
        <v>44955</v>
      </c>
      <c r="U340" s="2" t="s">
        <v>1340</v>
      </c>
      <c r="V340" s="6">
        <f>(Sales[[#This Row],[Price_retail]]-Sales[[#This Row],[Price_current]])/Sales[[#This Row],[Price_retail]]</f>
        <v>0</v>
      </c>
      <c r="W340" s="3" t="str" cm="1">
        <f t="array" ref="W34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1" spans="1:23" x14ac:dyDescent="0.35">
      <c r="A341" s="2" t="s">
        <v>1341</v>
      </c>
      <c r="B341" s="2" t="s">
        <v>1342</v>
      </c>
      <c r="C341" s="2" t="s">
        <v>525</v>
      </c>
      <c r="D341" s="2" t="s">
        <v>617</v>
      </c>
      <c r="E341" s="2" t="s">
        <v>4</v>
      </c>
      <c r="F341" s="2" t="s">
        <v>5</v>
      </c>
      <c r="G341" s="2" t="s">
        <v>121</v>
      </c>
      <c r="H341" s="2" t="s">
        <v>83</v>
      </c>
      <c r="I341" s="2" t="s">
        <v>3393</v>
      </c>
      <c r="J341" s="3">
        <v>10.56</v>
      </c>
      <c r="K341" s="3">
        <v>7.6</v>
      </c>
      <c r="L341" s="2" t="s">
        <v>8</v>
      </c>
      <c r="M341" s="2" t="s">
        <v>9</v>
      </c>
      <c r="N341" s="3">
        <v>792</v>
      </c>
      <c r="O341" s="2" t="s">
        <v>52</v>
      </c>
      <c r="P341" s="2" t="s">
        <v>70</v>
      </c>
      <c r="Q341" s="3"/>
      <c r="R341" s="3"/>
      <c r="S341" s="2" t="s">
        <v>21</v>
      </c>
      <c r="T341" s="4">
        <v>44955</v>
      </c>
      <c r="U341" s="2" t="s">
        <v>1343</v>
      </c>
      <c r="V341" s="6">
        <f>(Sales[[#This Row],[Price_retail]]-Sales[[#This Row],[Price_current]])/Sales[[#This Row],[Price_retail]]</f>
        <v>0.28030303030303039</v>
      </c>
      <c r="W341" s="3" t="str" cm="1">
        <f t="array" ref="W34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42" spans="1:23" x14ac:dyDescent="0.35">
      <c r="A342" s="2" t="s">
        <v>1344</v>
      </c>
      <c r="B342" s="2" t="s">
        <v>1345</v>
      </c>
      <c r="C342" s="2" t="s">
        <v>721</v>
      </c>
      <c r="D342" s="2" t="s">
        <v>1091</v>
      </c>
      <c r="E342" s="2" t="s">
        <v>4</v>
      </c>
      <c r="F342" s="2" t="s">
        <v>17</v>
      </c>
      <c r="G342" s="2" t="s">
        <v>27</v>
      </c>
      <c r="H342" s="2" t="s">
        <v>7</v>
      </c>
      <c r="I342" s="2" t="s">
        <v>3390</v>
      </c>
      <c r="J342" s="3">
        <v>9.67</v>
      </c>
      <c r="K342" s="3">
        <v>9.67</v>
      </c>
      <c r="L342" s="2" t="s">
        <v>3391</v>
      </c>
      <c r="M342" s="2" t="s">
        <v>9</v>
      </c>
      <c r="N342" s="3">
        <v>982</v>
      </c>
      <c r="O342" s="2" t="s">
        <v>347</v>
      </c>
      <c r="P342" s="2" t="s">
        <v>84</v>
      </c>
      <c r="Q342" s="3"/>
      <c r="R342" s="3"/>
      <c r="S342" s="2" t="s">
        <v>12</v>
      </c>
      <c r="T342" s="4">
        <v>44955</v>
      </c>
      <c r="U342" s="2" t="s">
        <v>1346</v>
      </c>
      <c r="V342" s="6">
        <f>(Sales[[#This Row],[Price_retail]]-Sales[[#This Row],[Price_current]])/Sales[[#This Row],[Price_retail]]</f>
        <v>0</v>
      </c>
      <c r="W342" s="3" t="str" cm="1">
        <f t="array" ref="W34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3" spans="1:23" x14ac:dyDescent="0.35">
      <c r="A343" s="2" t="s">
        <v>1347</v>
      </c>
      <c r="B343" s="2" t="s">
        <v>1348</v>
      </c>
      <c r="C343" s="2" t="s">
        <v>41</v>
      </c>
      <c r="D343" s="2" t="s">
        <v>296</v>
      </c>
      <c r="E343" s="2" t="s">
        <v>4</v>
      </c>
      <c r="F343" s="2" t="s">
        <v>5</v>
      </c>
      <c r="G343" s="2" t="s">
        <v>82</v>
      </c>
      <c r="H343" s="2" t="s">
        <v>145</v>
      </c>
      <c r="I343" s="2" t="s">
        <v>3390</v>
      </c>
      <c r="J343" s="3">
        <v>8.99</v>
      </c>
      <c r="K343" s="3">
        <v>8.99</v>
      </c>
      <c r="L343" s="2" t="s">
        <v>3391</v>
      </c>
      <c r="M343" s="2" t="s">
        <v>9</v>
      </c>
      <c r="N343" s="3">
        <v>103</v>
      </c>
      <c r="O343" s="2" t="s">
        <v>3392</v>
      </c>
      <c r="P343" s="2" t="s">
        <v>186</v>
      </c>
      <c r="Q343" s="3"/>
      <c r="R343" s="3"/>
      <c r="S343" s="2" t="s">
        <v>21</v>
      </c>
      <c r="T343" s="4">
        <v>44955</v>
      </c>
      <c r="U343" s="2" t="s">
        <v>1349</v>
      </c>
      <c r="V343" s="6">
        <f>(Sales[[#This Row],[Price_retail]]-Sales[[#This Row],[Price_current]])/Sales[[#This Row],[Price_retail]]</f>
        <v>0</v>
      </c>
      <c r="W343" s="3" t="str" cm="1">
        <f t="array" ref="W3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4" spans="1:23" x14ac:dyDescent="0.35">
      <c r="A344" s="2" t="s">
        <v>1350</v>
      </c>
      <c r="B344" s="2" t="s">
        <v>1351</v>
      </c>
      <c r="C344" s="2" t="s">
        <v>242</v>
      </c>
      <c r="D344" s="2" t="s">
        <v>149</v>
      </c>
      <c r="E344" s="2" t="s">
        <v>4</v>
      </c>
      <c r="F344" s="2" t="s">
        <v>5</v>
      </c>
      <c r="G344" s="2" t="s">
        <v>82</v>
      </c>
      <c r="H344" s="2" t="s">
        <v>28</v>
      </c>
      <c r="I344" s="2" t="s">
        <v>3390</v>
      </c>
      <c r="J344" s="3">
        <v>40.21</v>
      </c>
      <c r="K344" s="3">
        <v>21.77</v>
      </c>
      <c r="L344" s="2" t="s">
        <v>8</v>
      </c>
      <c r="M344" s="2" t="s">
        <v>9</v>
      </c>
      <c r="N344" s="3">
        <v>479</v>
      </c>
      <c r="O344" s="2" t="s">
        <v>302</v>
      </c>
      <c r="P344" s="2" t="s">
        <v>128</v>
      </c>
      <c r="Q344" s="3"/>
      <c r="R344" s="3"/>
      <c r="S344" s="2" t="s">
        <v>12</v>
      </c>
      <c r="T344" s="4">
        <v>44955</v>
      </c>
      <c r="U344" s="2" t="s">
        <v>1352</v>
      </c>
      <c r="V344" s="6">
        <f>(Sales[[#This Row],[Price_retail]]-Sales[[#This Row],[Price_current]])/Sales[[#This Row],[Price_retail]]</f>
        <v>0.45859238995274809</v>
      </c>
      <c r="W344" s="3" t="str" cm="1">
        <f t="array" ref="W34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45" spans="1:23" x14ac:dyDescent="0.35">
      <c r="A345" s="2" t="s">
        <v>1353</v>
      </c>
      <c r="B345" s="2" t="s">
        <v>1354</v>
      </c>
      <c r="C345" s="2" t="s">
        <v>1355</v>
      </c>
      <c r="D345" s="2" t="s">
        <v>1139</v>
      </c>
      <c r="E345" s="2" t="s">
        <v>4</v>
      </c>
      <c r="F345" s="2" t="s">
        <v>17</v>
      </c>
      <c r="G345" s="2" t="s">
        <v>18</v>
      </c>
      <c r="H345" s="2" t="s">
        <v>418</v>
      </c>
      <c r="I345" s="2" t="s">
        <v>3393</v>
      </c>
      <c r="J345" s="3">
        <v>36.44</v>
      </c>
      <c r="K345" s="3">
        <v>36.44</v>
      </c>
      <c r="L345" s="2" t="s">
        <v>3391</v>
      </c>
      <c r="M345" s="2" t="s">
        <v>9</v>
      </c>
      <c r="N345" s="3">
        <v>440</v>
      </c>
      <c r="O345" s="2" t="s">
        <v>261</v>
      </c>
      <c r="P345" s="2" t="s">
        <v>288</v>
      </c>
      <c r="Q345" s="3"/>
      <c r="R345" s="3"/>
      <c r="S345" s="2" t="s">
        <v>21</v>
      </c>
      <c r="T345" s="4">
        <v>44955</v>
      </c>
      <c r="U345" s="2" t="s">
        <v>1356</v>
      </c>
      <c r="V345" s="6">
        <f>(Sales[[#This Row],[Price_retail]]-Sales[[#This Row],[Price_current]])/Sales[[#This Row],[Price_retail]]</f>
        <v>0</v>
      </c>
      <c r="W345" s="3" t="str" cm="1">
        <f t="array" ref="W3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6" spans="1:23" x14ac:dyDescent="0.35">
      <c r="A346" s="2" t="s">
        <v>1357</v>
      </c>
      <c r="B346" s="2" t="s">
        <v>1358</v>
      </c>
      <c r="C346" s="2" t="s">
        <v>1359</v>
      </c>
      <c r="D346" s="2" t="s">
        <v>1147</v>
      </c>
      <c r="E346" s="2" t="s">
        <v>4</v>
      </c>
      <c r="F346" s="2" t="s">
        <v>5</v>
      </c>
      <c r="G346" s="2" t="s">
        <v>121</v>
      </c>
      <c r="H346" s="2" t="s">
        <v>51</v>
      </c>
      <c r="I346" s="2" t="s">
        <v>3395</v>
      </c>
      <c r="J346" s="3">
        <v>8.99</v>
      </c>
      <c r="K346" s="3">
        <v>8.99</v>
      </c>
      <c r="L346" s="2" t="s">
        <v>3391</v>
      </c>
      <c r="M346" s="2" t="s">
        <v>9</v>
      </c>
      <c r="N346" s="3">
        <v>584</v>
      </c>
      <c r="O346" s="2" t="s">
        <v>3392</v>
      </c>
      <c r="P346" s="2" t="s">
        <v>419</v>
      </c>
      <c r="Q346" s="3"/>
      <c r="R346" s="3"/>
      <c r="S346" s="2" t="s">
        <v>12</v>
      </c>
      <c r="T346" s="4">
        <v>44955</v>
      </c>
      <c r="U346" s="2" t="s">
        <v>1360</v>
      </c>
      <c r="V346" s="6">
        <f>(Sales[[#This Row],[Price_retail]]-Sales[[#This Row],[Price_current]])/Sales[[#This Row],[Price_retail]]</f>
        <v>0</v>
      </c>
      <c r="W346" s="3" t="str" cm="1">
        <f t="array" ref="W34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7" spans="1:23" x14ac:dyDescent="0.35">
      <c r="A347" s="2" t="s">
        <v>1361</v>
      </c>
      <c r="B347" s="2" t="s">
        <v>1362</v>
      </c>
      <c r="C347" s="2" t="s">
        <v>88</v>
      </c>
      <c r="D347" s="2" t="s">
        <v>600</v>
      </c>
      <c r="E347" s="2" t="s">
        <v>4</v>
      </c>
      <c r="F347" s="2" t="s">
        <v>17</v>
      </c>
      <c r="G347" s="2" t="s">
        <v>27</v>
      </c>
      <c r="H347" s="2" t="s">
        <v>134</v>
      </c>
      <c r="I347" s="2" t="s">
        <v>3395</v>
      </c>
      <c r="J347" s="3">
        <v>11.54</v>
      </c>
      <c r="K347" s="3">
        <v>11.54</v>
      </c>
      <c r="L347" s="2" t="s">
        <v>3391</v>
      </c>
      <c r="M347" s="2" t="s">
        <v>9</v>
      </c>
      <c r="N347" s="3">
        <v>305</v>
      </c>
      <c r="O347" s="2" t="s">
        <v>75</v>
      </c>
      <c r="P347" s="2" t="s">
        <v>92</v>
      </c>
      <c r="Q347" s="3"/>
      <c r="R347" s="3"/>
      <c r="S347" s="2" t="s">
        <v>12</v>
      </c>
      <c r="T347" s="4">
        <v>44955</v>
      </c>
      <c r="U347" s="2" t="s">
        <v>1363</v>
      </c>
      <c r="V347" s="6">
        <f>(Sales[[#This Row],[Price_retail]]-Sales[[#This Row],[Price_current]])/Sales[[#This Row],[Price_retail]]</f>
        <v>0</v>
      </c>
      <c r="W347" s="3" t="str" cm="1">
        <f t="array" ref="W3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8" spans="1:23" x14ac:dyDescent="0.35">
      <c r="A348" s="2" t="s">
        <v>1364</v>
      </c>
      <c r="B348" s="2" t="s">
        <v>1365</v>
      </c>
      <c r="C348" s="2" t="s">
        <v>242</v>
      </c>
      <c r="D348" s="2" t="s">
        <v>725</v>
      </c>
      <c r="E348" s="2" t="s">
        <v>4</v>
      </c>
      <c r="F348" s="2" t="s">
        <v>17</v>
      </c>
      <c r="G348" s="2" t="s">
        <v>67</v>
      </c>
      <c r="H348" s="2" t="s">
        <v>110</v>
      </c>
      <c r="I348" s="2" t="s">
        <v>3389</v>
      </c>
      <c r="J348" s="3">
        <v>21.05</v>
      </c>
      <c r="K348" s="3">
        <v>21.05</v>
      </c>
      <c r="L348" s="2" t="s">
        <v>3391</v>
      </c>
      <c r="M348" s="2" t="s">
        <v>9</v>
      </c>
      <c r="N348" s="3">
        <v>849</v>
      </c>
      <c r="O348" s="2" t="s">
        <v>60</v>
      </c>
      <c r="P348" s="2" t="s">
        <v>177</v>
      </c>
      <c r="Q348" s="3"/>
      <c r="R348" s="3"/>
      <c r="S348" s="2" t="s">
        <v>12</v>
      </c>
      <c r="T348" s="4">
        <v>44955</v>
      </c>
      <c r="U348" s="2" t="s">
        <v>1366</v>
      </c>
      <c r="V348" s="6">
        <f>(Sales[[#This Row],[Price_retail]]-Sales[[#This Row],[Price_current]])/Sales[[#This Row],[Price_retail]]</f>
        <v>0</v>
      </c>
      <c r="W348" s="3" t="str" cm="1">
        <f t="array" ref="W34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49" spans="1:23" x14ac:dyDescent="0.35">
      <c r="A349" s="2" t="s">
        <v>1367</v>
      </c>
      <c r="B349" s="2" t="s">
        <v>1368</v>
      </c>
      <c r="C349" s="2" t="s">
        <v>1314</v>
      </c>
      <c r="D349" s="2" t="s">
        <v>577</v>
      </c>
      <c r="E349" s="2" t="s">
        <v>4</v>
      </c>
      <c r="F349" s="2" t="s">
        <v>5</v>
      </c>
      <c r="G349" s="2" t="s">
        <v>82</v>
      </c>
      <c r="H349" s="2" t="s">
        <v>168</v>
      </c>
      <c r="I349" s="2" t="s">
        <v>3393</v>
      </c>
      <c r="J349" s="3">
        <v>13.27</v>
      </c>
      <c r="K349" s="3">
        <v>12.53</v>
      </c>
      <c r="L349" s="2" t="s">
        <v>8</v>
      </c>
      <c r="M349" s="2" t="s">
        <v>9</v>
      </c>
      <c r="N349" s="3">
        <v>900</v>
      </c>
      <c r="O349" s="2" t="s">
        <v>359</v>
      </c>
      <c r="P349" s="2" t="s">
        <v>221</v>
      </c>
      <c r="Q349" s="3"/>
      <c r="R349" s="3"/>
      <c r="S349" s="2" t="s">
        <v>12</v>
      </c>
      <c r="T349" s="4">
        <v>44955</v>
      </c>
      <c r="U349" s="2" t="s">
        <v>1369</v>
      </c>
      <c r="V349" s="6">
        <f>(Sales[[#This Row],[Price_retail]]-Sales[[#This Row],[Price_current]])/Sales[[#This Row],[Price_retail]]</f>
        <v>5.5764883195177112E-2</v>
      </c>
      <c r="W349" s="3" t="str" cm="1">
        <f t="array" ref="W349">_xlfn.IFS(Sales[[#This Row],[Discount]]=0%,"No Discount",Sales[[#This Row],[Discount]]&lt;=20%,"Light",Sales[[#This Row],[Discount]]&lt;=50%,"Moderate",Sales[[#This Row],[Discount]]&lt;=80%,"High",
TRUE,"Very High")</f>
        <v>Light</v>
      </c>
    </row>
    <row r="350" spans="1:23" x14ac:dyDescent="0.35">
      <c r="A350" s="2" t="s">
        <v>1370</v>
      </c>
      <c r="B350" s="2" t="s">
        <v>1371</v>
      </c>
      <c r="C350" s="2" t="s">
        <v>1372</v>
      </c>
      <c r="D350" s="2" t="s">
        <v>704</v>
      </c>
      <c r="E350" s="2" t="s">
        <v>4</v>
      </c>
      <c r="F350" s="2" t="s">
        <v>17</v>
      </c>
      <c r="G350" s="2" t="s">
        <v>67</v>
      </c>
      <c r="H350" s="2" t="s">
        <v>51</v>
      </c>
      <c r="I350" s="2" t="s">
        <v>3395</v>
      </c>
      <c r="J350" s="3">
        <v>8.99</v>
      </c>
      <c r="K350" s="3">
        <v>5.89</v>
      </c>
      <c r="L350" s="2" t="s">
        <v>8</v>
      </c>
      <c r="M350" s="2" t="s">
        <v>9</v>
      </c>
      <c r="N350" s="3">
        <v>269</v>
      </c>
      <c r="O350" s="2" t="s">
        <v>163</v>
      </c>
      <c r="P350" s="2" t="s">
        <v>37</v>
      </c>
      <c r="Q350" s="3"/>
      <c r="R350" s="3"/>
      <c r="S350" s="2" t="s">
        <v>21</v>
      </c>
      <c r="T350" s="4">
        <v>44955</v>
      </c>
      <c r="U350" s="2" t="s">
        <v>1373</v>
      </c>
      <c r="V350" s="6">
        <f>(Sales[[#This Row],[Price_retail]]-Sales[[#This Row],[Price_current]])/Sales[[#This Row],[Price_retail]]</f>
        <v>0.34482758620689663</v>
      </c>
      <c r="W350" s="3" t="str" cm="1">
        <f t="array" ref="W35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51" spans="1:23" x14ac:dyDescent="0.35">
      <c r="A351" s="2" t="s">
        <v>1374</v>
      </c>
      <c r="B351" s="2" t="s">
        <v>1375</v>
      </c>
      <c r="C351" s="2" t="s">
        <v>65</v>
      </c>
      <c r="D351" s="2" t="s">
        <v>959</v>
      </c>
      <c r="E351" s="2" t="s">
        <v>4</v>
      </c>
      <c r="F351" s="2" t="s">
        <v>17</v>
      </c>
      <c r="G351" s="2" t="s">
        <v>67</v>
      </c>
      <c r="H351" s="2" t="s">
        <v>418</v>
      </c>
      <c r="I351" s="2" t="s">
        <v>3390</v>
      </c>
      <c r="J351" s="3">
        <v>10.89</v>
      </c>
      <c r="K351" s="3">
        <v>7.31</v>
      </c>
      <c r="L351" s="2" t="s">
        <v>8</v>
      </c>
      <c r="M351" s="2" t="s">
        <v>9</v>
      </c>
      <c r="N351" s="3">
        <v>71</v>
      </c>
      <c r="O351" s="2" t="s">
        <v>267</v>
      </c>
      <c r="P351" s="2" t="s">
        <v>221</v>
      </c>
      <c r="Q351" s="3"/>
      <c r="R351" s="3"/>
      <c r="S351" s="2" t="s">
        <v>21</v>
      </c>
      <c r="T351" s="4">
        <v>44955</v>
      </c>
      <c r="U351" s="2" t="s">
        <v>1376</v>
      </c>
      <c r="V351" s="6">
        <f>(Sales[[#This Row],[Price_retail]]-Sales[[#This Row],[Price_current]])/Sales[[#This Row],[Price_retail]]</f>
        <v>0.32874196510560155</v>
      </c>
      <c r="W351" s="3" t="str" cm="1">
        <f t="array" ref="W35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52" spans="1:23" x14ac:dyDescent="0.35">
      <c r="A352" s="2" t="s">
        <v>1377</v>
      </c>
      <c r="B352" s="2" t="s">
        <v>1378</v>
      </c>
      <c r="C352" s="2" t="s">
        <v>3413</v>
      </c>
      <c r="D352" s="2" t="s">
        <v>1379</v>
      </c>
      <c r="E352" s="2" t="s">
        <v>4</v>
      </c>
      <c r="F352" s="2" t="s">
        <v>17</v>
      </c>
      <c r="G352" s="2" t="s">
        <v>18</v>
      </c>
      <c r="H352" s="2" t="s">
        <v>28</v>
      </c>
      <c r="I352" s="2" t="s">
        <v>3395</v>
      </c>
      <c r="J352" s="3">
        <v>45.74</v>
      </c>
      <c r="K352" s="3">
        <v>45.74</v>
      </c>
      <c r="L352" s="2" t="s">
        <v>3391</v>
      </c>
      <c r="M352" s="2" t="s">
        <v>9</v>
      </c>
      <c r="N352" s="3">
        <v>649</v>
      </c>
      <c r="O352" s="2" t="s">
        <v>191</v>
      </c>
      <c r="P352" s="2" t="s">
        <v>128</v>
      </c>
      <c r="Q352" s="3"/>
      <c r="R352" s="3"/>
      <c r="S352" s="2" t="s">
        <v>12</v>
      </c>
      <c r="T352" s="4">
        <v>44955</v>
      </c>
      <c r="U352" s="2" t="s">
        <v>1380</v>
      </c>
      <c r="V352" s="6">
        <f>(Sales[[#This Row],[Price_retail]]-Sales[[#This Row],[Price_current]])/Sales[[#This Row],[Price_retail]]</f>
        <v>0</v>
      </c>
      <c r="W352" s="3" t="str" cm="1">
        <f t="array" ref="W3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53" spans="1:23" x14ac:dyDescent="0.35">
      <c r="A353" s="2" t="s">
        <v>1381</v>
      </c>
      <c r="B353" s="2" t="s">
        <v>1382</v>
      </c>
      <c r="C353" s="2" t="s">
        <v>886</v>
      </c>
      <c r="D353" s="2" t="s">
        <v>971</v>
      </c>
      <c r="E353" s="2" t="s">
        <v>4</v>
      </c>
      <c r="F353" s="2" t="s">
        <v>5</v>
      </c>
      <c r="G353" s="2" t="s">
        <v>6</v>
      </c>
      <c r="H353" s="2" t="s">
        <v>134</v>
      </c>
      <c r="I353" s="2" t="s">
        <v>3393</v>
      </c>
      <c r="J353" s="3">
        <v>11.31</v>
      </c>
      <c r="K353" s="3">
        <v>8.75</v>
      </c>
      <c r="L353" s="2" t="s">
        <v>8</v>
      </c>
      <c r="M353" s="2" t="s">
        <v>9</v>
      </c>
      <c r="N353" s="3">
        <v>910</v>
      </c>
      <c r="O353" s="2" t="s">
        <v>3392</v>
      </c>
      <c r="P353" s="2" t="s">
        <v>30</v>
      </c>
      <c r="Q353" s="3"/>
      <c r="R353" s="3"/>
      <c r="S353" s="2" t="s">
        <v>21</v>
      </c>
      <c r="T353" s="4">
        <v>44955</v>
      </c>
      <c r="U353" s="2" t="s">
        <v>1383</v>
      </c>
      <c r="V353" s="6">
        <f>(Sales[[#This Row],[Price_retail]]-Sales[[#This Row],[Price_current]])/Sales[[#This Row],[Price_retail]]</f>
        <v>0.22634836427939881</v>
      </c>
      <c r="W353" s="3" t="str" cm="1">
        <f t="array" ref="W35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54" spans="1:23" x14ac:dyDescent="0.35">
      <c r="A354" s="2" t="s">
        <v>1384</v>
      </c>
      <c r="B354" s="2" t="s">
        <v>1385</v>
      </c>
      <c r="C354" s="2" t="s">
        <v>3394</v>
      </c>
      <c r="D354" s="2" t="s">
        <v>1000</v>
      </c>
      <c r="E354" s="2" t="s">
        <v>4</v>
      </c>
      <c r="F354" s="2" t="s">
        <v>17</v>
      </c>
      <c r="G354" s="2" t="s">
        <v>18</v>
      </c>
      <c r="H354" s="2" t="s">
        <v>68</v>
      </c>
      <c r="I354" s="2" t="s">
        <v>3390</v>
      </c>
      <c r="J354" s="3">
        <v>14.3</v>
      </c>
      <c r="K354" s="3">
        <v>9.42</v>
      </c>
      <c r="L354" s="2" t="s">
        <v>8</v>
      </c>
      <c r="M354" s="2" t="s">
        <v>9</v>
      </c>
      <c r="N354" s="3">
        <v>725</v>
      </c>
      <c r="O354" s="2" t="s">
        <v>3392</v>
      </c>
      <c r="P354" s="2" t="s">
        <v>3392</v>
      </c>
      <c r="Q354" s="3"/>
      <c r="R354" s="3"/>
      <c r="S354" s="2" t="s">
        <v>21</v>
      </c>
      <c r="T354" s="4">
        <v>44955</v>
      </c>
      <c r="U354" s="2" t="s">
        <v>1386</v>
      </c>
      <c r="V354" s="6">
        <f>(Sales[[#This Row],[Price_retail]]-Sales[[#This Row],[Price_current]])/Sales[[#This Row],[Price_retail]]</f>
        <v>0.34125874125874128</v>
      </c>
      <c r="W354" s="3" t="str" cm="1">
        <f t="array" ref="W35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55" spans="1:23" x14ac:dyDescent="0.35">
      <c r="A355" s="2" t="s">
        <v>1387</v>
      </c>
      <c r="B355" s="2" t="s">
        <v>1388</v>
      </c>
      <c r="C355" s="2" t="s">
        <v>306</v>
      </c>
      <c r="D355" s="2" t="s">
        <v>220</v>
      </c>
      <c r="E355" s="2" t="s">
        <v>4</v>
      </c>
      <c r="F355" s="2" t="s">
        <v>17</v>
      </c>
      <c r="G355" s="2" t="s">
        <v>50</v>
      </c>
      <c r="H355" s="2" t="s">
        <v>139</v>
      </c>
      <c r="I355" s="2" t="s">
        <v>3389</v>
      </c>
      <c r="J355" s="3">
        <v>8.99</v>
      </c>
      <c r="K355" s="3">
        <v>7.18</v>
      </c>
      <c r="L355" s="2" t="s">
        <v>8</v>
      </c>
      <c r="M355" s="2" t="s">
        <v>9</v>
      </c>
      <c r="N355" s="3">
        <v>712</v>
      </c>
      <c r="O355" s="2" t="s">
        <v>359</v>
      </c>
      <c r="P355" s="2" t="s">
        <v>44</v>
      </c>
      <c r="Q355" s="3"/>
      <c r="R355" s="3"/>
      <c r="S355" s="2" t="s">
        <v>21</v>
      </c>
      <c r="T355" s="4">
        <v>44955</v>
      </c>
      <c r="U355" s="2" t="s">
        <v>1389</v>
      </c>
      <c r="V355" s="6">
        <f>(Sales[[#This Row],[Price_retail]]-Sales[[#This Row],[Price_current]])/Sales[[#This Row],[Price_retail]]</f>
        <v>0.20133481646273643</v>
      </c>
      <c r="W355" s="3" t="str" cm="1">
        <f t="array" ref="W35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56" spans="1:23" x14ac:dyDescent="0.35">
      <c r="A356" s="2" t="s">
        <v>1390</v>
      </c>
      <c r="B356" s="2" t="s">
        <v>1391</v>
      </c>
      <c r="C356" s="2" t="s">
        <v>1392</v>
      </c>
      <c r="D356" s="2" t="s">
        <v>201</v>
      </c>
      <c r="E356" s="2" t="s">
        <v>4</v>
      </c>
      <c r="F356" s="2" t="s">
        <v>5</v>
      </c>
      <c r="G356" s="2" t="s">
        <v>121</v>
      </c>
      <c r="H356" s="2" t="s">
        <v>185</v>
      </c>
      <c r="I356" s="2" t="s">
        <v>3393</v>
      </c>
      <c r="J356" s="3">
        <v>21.61</v>
      </c>
      <c r="K356" s="3">
        <v>21.61</v>
      </c>
      <c r="L356" s="2" t="s">
        <v>3391</v>
      </c>
      <c r="M356" s="2" t="s">
        <v>9</v>
      </c>
      <c r="N356" s="3">
        <v>627</v>
      </c>
      <c r="O356" s="2" t="s">
        <v>267</v>
      </c>
      <c r="P356" s="2" t="s">
        <v>192</v>
      </c>
      <c r="Q356" s="3"/>
      <c r="R356" s="3"/>
      <c r="S356" s="2" t="s">
        <v>21</v>
      </c>
      <c r="T356" s="4">
        <v>44955</v>
      </c>
      <c r="U356" s="2" t="s">
        <v>1393</v>
      </c>
      <c r="V356" s="6">
        <f>(Sales[[#This Row],[Price_retail]]-Sales[[#This Row],[Price_current]])/Sales[[#This Row],[Price_retail]]</f>
        <v>0</v>
      </c>
      <c r="W356" s="3" t="str" cm="1">
        <f t="array" ref="W35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57" spans="1:23" x14ac:dyDescent="0.35">
      <c r="A357" s="2" t="s">
        <v>1394</v>
      </c>
      <c r="B357" s="2" t="s">
        <v>1395</v>
      </c>
      <c r="C357" s="2" t="s">
        <v>1743</v>
      </c>
      <c r="D357" s="2" t="s">
        <v>162</v>
      </c>
      <c r="E357" s="2" t="s">
        <v>4</v>
      </c>
      <c r="F357" s="2" t="s">
        <v>17</v>
      </c>
      <c r="G357" s="2" t="s">
        <v>50</v>
      </c>
      <c r="H357" s="2" t="s">
        <v>35</v>
      </c>
      <c r="I357" s="2" t="s">
        <v>3393</v>
      </c>
      <c r="J357" s="3">
        <v>16.670000000000002</v>
      </c>
      <c r="K357" s="3">
        <v>16.670000000000002</v>
      </c>
      <c r="L357" s="2" t="s">
        <v>3391</v>
      </c>
      <c r="M357" s="2" t="s">
        <v>9</v>
      </c>
      <c r="N357" s="3">
        <v>434</v>
      </c>
      <c r="O357" s="2" t="s">
        <v>60</v>
      </c>
      <c r="P357" s="2" t="s">
        <v>30</v>
      </c>
      <c r="Q357" s="3"/>
      <c r="R357" s="3"/>
      <c r="S357" s="2" t="s">
        <v>21</v>
      </c>
      <c r="T357" s="4">
        <v>44955</v>
      </c>
      <c r="U357" s="2" t="s">
        <v>1396</v>
      </c>
      <c r="V357" s="6">
        <f>(Sales[[#This Row],[Price_retail]]-Sales[[#This Row],[Price_current]])/Sales[[#This Row],[Price_retail]]</f>
        <v>0</v>
      </c>
      <c r="W357" s="3" t="str" cm="1">
        <f t="array" ref="W35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58" spans="1:23" x14ac:dyDescent="0.35">
      <c r="A358" s="2" t="s">
        <v>1397</v>
      </c>
      <c r="B358" s="2" t="s">
        <v>1398</v>
      </c>
      <c r="C358" s="2" t="s">
        <v>3410</v>
      </c>
      <c r="D358" s="2" t="s">
        <v>354</v>
      </c>
      <c r="E358" s="2" t="s">
        <v>4</v>
      </c>
      <c r="F358" s="2" t="s">
        <v>17</v>
      </c>
      <c r="G358" s="2" t="s">
        <v>67</v>
      </c>
      <c r="H358" s="2" t="s">
        <v>90</v>
      </c>
      <c r="I358" s="2" t="s">
        <v>3390</v>
      </c>
      <c r="J358" s="3">
        <v>10.4</v>
      </c>
      <c r="K358" s="3">
        <v>6.56</v>
      </c>
      <c r="L358" s="2" t="s">
        <v>8</v>
      </c>
      <c r="M358" s="2" t="s">
        <v>9</v>
      </c>
      <c r="N358" s="3">
        <v>320</v>
      </c>
      <c r="O358" s="2" t="s">
        <v>261</v>
      </c>
      <c r="P358" s="2" t="s">
        <v>3392</v>
      </c>
      <c r="Q358" s="3"/>
      <c r="R358" s="3"/>
      <c r="S358" s="2" t="s">
        <v>21</v>
      </c>
      <c r="T358" s="4">
        <v>44955</v>
      </c>
      <c r="U358" s="2" t="s">
        <v>1399</v>
      </c>
      <c r="V358" s="6">
        <f>(Sales[[#This Row],[Price_retail]]-Sales[[#This Row],[Price_current]])/Sales[[#This Row],[Price_retail]]</f>
        <v>0.36923076923076931</v>
      </c>
      <c r="W358" s="3" t="str" cm="1">
        <f t="array" ref="W35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59" spans="1:23" x14ac:dyDescent="0.35">
      <c r="A359" s="2" t="s">
        <v>1400</v>
      </c>
      <c r="B359" s="2" t="s">
        <v>1401</v>
      </c>
      <c r="C359" s="2" t="s">
        <v>1402</v>
      </c>
      <c r="D359" s="2" t="s">
        <v>363</v>
      </c>
      <c r="E359" s="2" t="s">
        <v>4</v>
      </c>
      <c r="F359" s="2" t="s">
        <v>17</v>
      </c>
      <c r="G359" s="2" t="s">
        <v>27</v>
      </c>
      <c r="H359" s="2" t="s">
        <v>59</v>
      </c>
      <c r="I359" s="2" t="s">
        <v>3390</v>
      </c>
      <c r="J359" s="3">
        <v>8.99</v>
      </c>
      <c r="K359" s="3">
        <v>3.99</v>
      </c>
      <c r="L359" s="2" t="s">
        <v>8</v>
      </c>
      <c r="M359" s="2" t="s">
        <v>9</v>
      </c>
      <c r="N359" s="3">
        <v>892</v>
      </c>
      <c r="O359" s="2" t="s">
        <v>69</v>
      </c>
      <c r="P359" s="2" t="s">
        <v>169</v>
      </c>
      <c r="Q359" s="3"/>
      <c r="R359" s="3"/>
      <c r="S359" s="2" t="s">
        <v>21</v>
      </c>
      <c r="T359" s="4">
        <v>44955</v>
      </c>
      <c r="U359" s="2" t="s">
        <v>1403</v>
      </c>
      <c r="V359" s="6">
        <f>(Sales[[#This Row],[Price_retail]]-Sales[[#This Row],[Price_current]])/Sales[[#This Row],[Price_retail]]</f>
        <v>0.55617352614015569</v>
      </c>
      <c r="W359" s="3" t="str" cm="1">
        <f t="array" ref="W359">_xlfn.IFS(Sales[[#This Row],[Discount]]=0%,"No Discount",Sales[[#This Row],[Discount]]&lt;=20%,"Light",Sales[[#This Row],[Discount]]&lt;=50%,"Moderate",Sales[[#This Row],[Discount]]&lt;=80%,"High",
TRUE,"Very High")</f>
        <v>High</v>
      </c>
    </row>
    <row r="360" spans="1:23" x14ac:dyDescent="0.35">
      <c r="A360" s="2" t="s">
        <v>1404</v>
      </c>
      <c r="B360" s="2" t="s">
        <v>1405</v>
      </c>
      <c r="C360" s="2" t="s">
        <v>65</v>
      </c>
      <c r="D360" s="2" t="s">
        <v>205</v>
      </c>
      <c r="E360" s="2" t="s">
        <v>4</v>
      </c>
      <c r="F360" s="2" t="s">
        <v>17</v>
      </c>
      <c r="G360" s="2" t="s">
        <v>18</v>
      </c>
      <c r="H360" s="2" t="s">
        <v>145</v>
      </c>
      <c r="I360" s="2" t="s">
        <v>3390</v>
      </c>
      <c r="J360" s="3">
        <v>33.869999999999997</v>
      </c>
      <c r="K360" s="3">
        <v>33.869999999999997</v>
      </c>
      <c r="L360" s="2" t="s">
        <v>248</v>
      </c>
      <c r="M360" s="2" t="s">
        <v>9</v>
      </c>
      <c r="N360" s="3">
        <v>48</v>
      </c>
      <c r="O360" s="2" t="s">
        <v>347</v>
      </c>
      <c r="P360" s="2" t="s">
        <v>221</v>
      </c>
      <c r="Q360" s="3"/>
      <c r="R360" s="3"/>
      <c r="S360" s="2" t="s">
        <v>21</v>
      </c>
      <c r="T360" s="4">
        <v>44955</v>
      </c>
      <c r="U360" s="2" t="s">
        <v>1406</v>
      </c>
      <c r="V360" s="6">
        <f>(Sales[[#This Row],[Price_retail]]-Sales[[#This Row],[Price_current]])/Sales[[#This Row],[Price_retail]]</f>
        <v>0</v>
      </c>
      <c r="W360" s="3" t="str" cm="1">
        <f t="array" ref="W36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1" spans="1:23" x14ac:dyDescent="0.35">
      <c r="A361" s="2" t="s">
        <v>1407</v>
      </c>
      <c r="B361" s="2" t="s">
        <v>1408</v>
      </c>
      <c r="C361" s="2" t="s">
        <v>3394</v>
      </c>
      <c r="D361" s="2" t="s">
        <v>776</v>
      </c>
      <c r="E361" s="2" t="s">
        <v>4</v>
      </c>
      <c r="F361" s="2" t="s">
        <v>5</v>
      </c>
      <c r="G361" s="2" t="s">
        <v>82</v>
      </c>
      <c r="H361" s="2" t="s">
        <v>83</v>
      </c>
      <c r="I361" s="2" t="s">
        <v>3393</v>
      </c>
      <c r="J361" s="3">
        <v>8.99</v>
      </c>
      <c r="K361" s="3">
        <v>7.97</v>
      </c>
      <c r="L361" s="2" t="s">
        <v>8</v>
      </c>
      <c r="M361" s="2" t="s">
        <v>9</v>
      </c>
      <c r="N361" s="3">
        <v>896</v>
      </c>
      <c r="O361" s="2" t="s">
        <v>29</v>
      </c>
      <c r="P361" s="2" t="s">
        <v>92</v>
      </c>
      <c r="Q361" s="3"/>
      <c r="R361" s="3"/>
      <c r="S361" s="2" t="s">
        <v>21</v>
      </c>
      <c r="T361" s="4">
        <v>44955</v>
      </c>
      <c r="U361" s="2" t="s">
        <v>1409</v>
      </c>
      <c r="V361" s="6">
        <f>(Sales[[#This Row],[Price_retail]]-Sales[[#This Row],[Price_current]])/Sales[[#This Row],[Price_retail]]</f>
        <v>0.11345939933259182</v>
      </c>
      <c r="W361" s="3" t="str" cm="1">
        <f t="array" ref="W361">_xlfn.IFS(Sales[[#This Row],[Discount]]=0%,"No Discount",Sales[[#This Row],[Discount]]&lt;=20%,"Light",Sales[[#This Row],[Discount]]&lt;=50%,"Moderate",Sales[[#This Row],[Discount]]&lt;=80%,"High",
TRUE,"Very High")</f>
        <v>Light</v>
      </c>
    </row>
    <row r="362" spans="1:23" x14ac:dyDescent="0.35">
      <c r="A362" s="2" t="s">
        <v>1410</v>
      </c>
      <c r="B362" s="2" t="s">
        <v>1411</v>
      </c>
      <c r="C362" s="2" t="s">
        <v>585</v>
      </c>
      <c r="D362" s="2" t="s">
        <v>470</v>
      </c>
      <c r="E362" s="2" t="s">
        <v>4</v>
      </c>
      <c r="F362" s="2" t="s">
        <v>17</v>
      </c>
      <c r="G362" s="2" t="s">
        <v>50</v>
      </c>
      <c r="H362" s="2" t="s">
        <v>185</v>
      </c>
      <c r="I362" s="2" t="s">
        <v>3393</v>
      </c>
      <c r="J362" s="3">
        <v>20.64</v>
      </c>
      <c r="K362" s="3">
        <v>15.11</v>
      </c>
      <c r="L362" s="2" t="s">
        <v>8</v>
      </c>
      <c r="M362" s="2" t="s">
        <v>9</v>
      </c>
      <c r="N362" s="3">
        <v>417</v>
      </c>
      <c r="O362" s="2" t="s">
        <v>60</v>
      </c>
      <c r="P362" s="2" t="s">
        <v>53</v>
      </c>
      <c r="Q362" s="3"/>
      <c r="R362" s="3"/>
      <c r="S362" s="2" t="s">
        <v>21</v>
      </c>
      <c r="T362" s="4">
        <v>44955</v>
      </c>
      <c r="U362" s="2" t="s">
        <v>1412</v>
      </c>
      <c r="V362" s="6">
        <f>(Sales[[#This Row],[Price_retail]]-Sales[[#This Row],[Price_current]])/Sales[[#This Row],[Price_retail]]</f>
        <v>0.26792635658914732</v>
      </c>
      <c r="W362" s="3" t="str" cm="1">
        <f t="array" ref="W36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63" spans="1:23" x14ac:dyDescent="0.35">
      <c r="A363" s="2" t="s">
        <v>1413</v>
      </c>
      <c r="B363" s="2" t="s">
        <v>1414</v>
      </c>
      <c r="C363" s="2" t="s">
        <v>242</v>
      </c>
      <c r="D363" s="2" t="s">
        <v>1091</v>
      </c>
      <c r="E363" s="2" t="s">
        <v>4</v>
      </c>
      <c r="F363" s="2" t="s">
        <v>17</v>
      </c>
      <c r="G363" s="2" t="s">
        <v>67</v>
      </c>
      <c r="H363" s="2" t="s">
        <v>7</v>
      </c>
      <c r="I363" s="2" t="s">
        <v>3390</v>
      </c>
      <c r="J363" s="3">
        <v>8.99</v>
      </c>
      <c r="K363" s="3">
        <v>8.99</v>
      </c>
      <c r="L363" s="2" t="s">
        <v>3391</v>
      </c>
      <c r="M363" s="2" t="s">
        <v>9</v>
      </c>
      <c r="N363" s="3">
        <v>93</v>
      </c>
      <c r="O363" s="2" t="s">
        <v>261</v>
      </c>
      <c r="P363" s="2" t="s">
        <v>37</v>
      </c>
      <c r="Q363" s="3"/>
      <c r="R363" s="3"/>
      <c r="S363" s="2" t="s">
        <v>12</v>
      </c>
      <c r="T363" s="4">
        <v>44955</v>
      </c>
      <c r="U363" s="2" t="s">
        <v>1415</v>
      </c>
      <c r="V363" s="6">
        <f>(Sales[[#This Row],[Price_retail]]-Sales[[#This Row],[Price_current]])/Sales[[#This Row],[Price_retail]]</f>
        <v>0</v>
      </c>
      <c r="W363" s="3" t="str" cm="1">
        <f t="array" ref="W3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4" spans="1:23" x14ac:dyDescent="0.35">
      <c r="A364" s="2" t="s">
        <v>1416</v>
      </c>
      <c r="B364" s="2" t="s">
        <v>1417</v>
      </c>
      <c r="C364" s="2" t="s">
        <v>1314</v>
      </c>
      <c r="D364" s="2" t="s">
        <v>220</v>
      </c>
      <c r="E364" s="2" t="s">
        <v>4</v>
      </c>
      <c r="F364" s="2" t="s">
        <v>17</v>
      </c>
      <c r="G364" s="2" t="s">
        <v>50</v>
      </c>
      <c r="H364" s="2" t="s">
        <v>139</v>
      </c>
      <c r="I364" s="2" t="s">
        <v>3390</v>
      </c>
      <c r="J364" s="3">
        <v>23.08</v>
      </c>
      <c r="K364" s="3">
        <v>17.34</v>
      </c>
      <c r="L364" s="2" t="s">
        <v>8</v>
      </c>
      <c r="M364" s="2" t="s">
        <v>9</v>
      </c>
      <c r="N364" s="3">
        <v>381</v>
      </c>
      <c r="O364" s="2" t="s">
        <v>140</v>
      </c>
      <c r="P364" s="2" t="s">
        <v>177</v>
      </c>
      <c r="Q364" s="3"/>
      <c r="R364" s="3"/>
      <c r="S364" s="2" t="s">
        <v>21</v>
      </c>
      <c r="T364" s="4">
        <v>44955</v>
      </c>
      <c r="U364" s="2" t="s">
        <v>1418</v>
      </c>
      <c r="V364" s="6">
        <f>(Sales[[#This Row],[Price_retail]]-Sales[[#This Row],[Price_current]])/Sales[[#This Row],[Price_retail]]</f>
        <v>0.24870017331022526</v>
      </c>
      <c r="W364" s="3" t="str" cm="1">
        <f t="array" ref="W36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65" spans="1:23" x14ac:dyDescent="0.35">
      <c r="A365" s="2" t="s">
        <v>1419</v>
      </c>
      <c r="B365" s="2" t="s">
        <v>1420</v>
      </c>
      <c r="C365" s="2" t="s">
        <v>1421</v>
      </c>
      <c r="D365" s="2" t="s">
        <v>964</v>
      </c>
      <c r="E365" s="2" t="s">
        <v>4</v>
      </c>
      <c r="F365" s="2" t="s">
        <v>17</v>
      </c>
      <c r="G365" s="2" t="s">
        <v>18</v>
      </c>
      <c r="H365" s="2" t="s">
        <v>333</v>
      </c>
      <c r="I365" s="2" t="s">
        <v>3395</v>
      </c>
      <c r="J365" s="3">
        <v>26.67</v>
      </c>
      <c r="K365" s="3">
        <v>26.67</v>
      </c>
      <c r="L365" s="2" t="s">
        <v>3391</v>
      </c>
      <c r="M365" s="2" t="s">
        <v>9</v>
      </c>
      <c r="N365" s="3">
        <v>955</v>
      </c>
      <c r="O365" s="2" t="s">
        <v>302</v>
      </c>
      <c r="P365" s="2" t="s">
        <v>3392</v>
      </c>
      <c r="Q365" s="3"/>
      <c r="R365" s="3"/>
      <c r="S365" s="2" t="s">
        <v>21</v>
      </c>
      <c r="T365" s="4">
        <v>44955</v>
      </c>
      <c r="U365" s="2" t="s">
        <v>1422</v>
      </c>
      <c r="V365" s="6">
        <f>(Sales[[#This Row],[Price_retail]]-Sales[[#This Row],[Price_current]])/Sales[[#This Row],[Price_retail]]</f>
        <v>0</v>
      </c>
      <c r="W365" s="3" t="str" cm="1">
        <f t="array" ref="W3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6" spans="1:23" x14ac:dyDescent="0.35">
      <c r="A366" s="2" t="s">
        <v>1423</v>
      </c>
      <c r="B366" s="2" t="s">
        <v>1424</v>
      </c>
      <c r="C366" s="2" t="s">
        <v>1425</v>
      </c>
      <c r="D366" s="2" t="s">
        <v>526</v>
      </c>
      <c r="E366" s="2" t="s">
        <v>4</v>
      </c>
      <c r="F366" s="2" t="s">
        <v>5</v>
      </c>
      <c r="G366" s="2" t="s">
        <v>6</v>
      </c>
      <c r="H366" s="2" t="s">
        <v>59</v>
      </c>
      <c r="I366" s="2" t="s">
        <v>3390</v>
      </c>
      <c r="J366" s="3">
        <v>28.56</v>
      </c>
      <c r="K366" s="3">
        <v>28.56</v>
      </c>
      <c r="L366" s="2" t="s">
        <v>3391</v>
      </c>
      <c r="M366" s="2" t="s">
        <v>9</v>
      </c>
      <c r="N366" s="3">
        <v>832</v>
      </c>
      <c r="O366" s="2" t="s">
        <v>347</v>
      </c>
      <c r="P366" s="2" t="s">
        <v>3392</v>
      </c>
      <c r="Q366" s="3"/>
      <c r="R366" s="3"/>
      <c r="S366" s="2" t="s">
        <v>21</v>
      </c>
      <c r="T366" s="4">
        <v>44955</v>
      </c>
      <c r="U366" s="2" t="s">
        <v>1426</v>
      </c>
      <c r="V366" s="6">
        <f>(Sales[[#This Row],[Price_retail]]-Sales[[#This Row],[Price_current]])/Sales[[#This Row],[Price_retail]]</f>
        <v>0</v>
      </c>
      <c r="W366" s="3" t="str" cm="1">
        <f t="array" ref="W3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7" spans="1:23" x14ac:dyDescent="0.35">
      <c r="A367" s="2" t="s">
        <v>1427</v>
      </c>
      <c r="B367" s="2" t="s">
        <v>1428</v>
      </c>
      <c r="C367" s="2" t="s">
        <v>616</v>
      </c>
      <c r="D367" s="2" t="s">
        <v>236</v>
      </c>
      <c r="E367" s="2" t="s">
        <v>4</v>
      </c>
      <c r="F367" s="2" t="s">
        <v>17</v>
      </c>
      <c r="G367" s="2" t="s">
        <v>50</v>
      </c>
      <c r="H367" s="2" t="s">
        <v>237</v>
      </c>
      <c r="I367" s="2" t="s">
        <v>3390</v>
      </c>
      <c r="J367" s="3">
        <v>21.37</v>
      </c>
      <c r="K367" s="3">
        <v>21.37</v>
      </c>
      <c r="L367" s="2" t="s">
        <v>3391</v>
      </c>
      <c r="M367" s="2" t="s">
        <v>9</v>
      </c>
      <c r="N367" s="3">
        <v>373</v>
      </c>
      <c r="O367" s="2" t="s">
        <v>302</v>
      </c>
      <c r="P367" s="2" t="s">
        <v>53</v>
      </c>
      <c r="Q367" s="3"/>
      <c r="R367" s="3"/>
      <c r="S367" s="2" t="s">
        <v>21</v>
      </c>
      <c r="T367" s="4">
        <v>44955</v>
      </c>
      <c r="U367" s="2" t="s">
        <v>1429</v>
      </c>
      <c r="V367" s="6">
        <f>(Sales[[#This Row],[Price_retail]]-Sales[[#This Row],[Price_current]])/Sales[[#This Row],[Price_retail]]</f>
        <v>0</v>
      </c>
      <c r="W367" s="3" t="str" cm="1">
        <f t="array" ref="W3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8" spans="1:23" x14ac:dyDescent="0.35">
      <c r="A368" s="2" t="s">
        <v>1430</v>
      </c>
      <c r="B368" s="2" t="s">
        <v>1431</v>
      </c>
      <c r="C368" s="2" t="s">
        <v>484</v>
      </c>
      <c r="D368" s="2" t="s">
        <v>236</v>
      </c>
      <c r="E368" s="2" t="s">
        <v>4</v>
      </c>
      <c r="F368" s="2" t="s">
        <v>17</v>
      </c>
      <c r="G368" s="2" t="s">
        <v>27</v>
      </c>
      <c r="H368" s="2" t="s">
        <v>237</v>
      </c>
      <c r="I368" s="2" t="s">
        <v>3390</v>
      </c>
      <c r="J368" s="3">
        <v>37.380000000000003</v>
      </c>
      <c r="K368" s="3">
        <v>37.380000000000003</v>
      </c>
      <c r="L368" s="2" t="s">
        <v>248</v>
      </c>
      <c r="M368" s="2" t="s">
        <v>9</v>
      </c>
      <c r="N368" s="3">
        <v>330</v>
      </c>
      <c r="O368" s="2" t="s">
        <v>3392</v>
      </c>
      <c r="P368" s="2" t="s">
        <v>3392</v>
      </c>
      <c r="Q368" s="3"/>
      <c r="R368" s="3"/>
      <c r="S368" s="2" t="s">
        <v>21</v>
      </c>
      <c r="T368" s="4">
        <v>44955</v>
      </c>
      <c r="U368" s="2" t="s">
        <v>1432</v>
      </c>
      <c r="V368" s="6">
        <f>(Sales[[#This Row],[Price_retail]]-Sales[[#This Row],[Price_current]])/Sales[[#This Row],[Price_retail]]</f>
        <v>0</v>
      </c>
      <c r="W368" s="3" t="str" cm="1">
        <f t="array" ref="W36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69" spans="1:23" x14ac:dyDescent="0.35">
      <c r="A369" s="2" t="s">
        <v>1433</v>
      </c>
      <c r="B369" s="2" t="s">
        <v>1434</v>
      </c>
      <c r="C369" s="2" t="s">
        <v>1747</v>
      </c>
      <c r="D369" s="2" t="s">
        <v>660</v>
      </c>
      <c r="E369" s="2" t="s">
        <v>4</v>
      </c>
      <c r="F369" s="2" t="s">
        <v>5</v>
      </c>
      <c r="G369" s="2" t="s">
        <v>82</v>
      </c>
      <c r="H369" s="2" t="s">
        <v>237</v>
      </c>
      <c r="I369" s="2" t="s">
        <v>3390</v>
      </c>
      <c r="J369" s="3">
        <v>55.66</v>
      </c>
      <c r="K369" s="3">
        <v>40.19</v>
      </c>
      <c r="L369" s="2" t="s">
        <v>8</v>
      </c>
      <c r="M369" s="2" t="s">
        <v>9</v>
      </c>
      <c r="N369" s="3">
        <v>195</v>
      </c>
      <c r="O369" s="2" t="s">
        <v>191</v>
      </c>
      <c r="P369" s="2" t="s">
        <v>92</v>
      </c>
      <c r="Q369" s="3"/>
      <c r="R369" s="3"/>
      <c r="S369" s="2" t="s">
        <v>12</v>
      </c>
      <c r="T369" s="4">
        <v>44955</v>
      </c>
      <c r="U369" s="2" t="s">
        <v>1435</v>
      </c>
      <c r="V369" s="6">
        <f>(Sales[[#This Row],[Price_retail]]-Sales[[#This Row],[Price_current]])/Sales[[#This Row],[Price_retail]]</f>
        <v>0.27793747754222065</v>
      </c>
      <c r="W369" s="3" t="str" cm="1">
        <f t="array" ref="W36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70" spans="1:23" x14ac:dyDescent="0.35">
      <c r="A370" s="2" t="s">
        <v>1436</v>
      </c>
      <c r="B370" s="2" t="s">
        <v>1437</v>
      </c>
      <c r="C370" s="2" t="s">
        <v>96</v>
      </c>
      <c r="D370" s="2" t="s">
        <v>1015</v>
      </c>
      <c r="E370" s="2" t="s">
        <v>4</v>
      </c>
      <c r="F370" s="2" t="s">
        <v>5</v>
      </c>
      <c r="G370" s="2" t="s">
        <v>6</v>
      </c>
      <c r="H370" s="2" t="s">
        <v>7</v>
      </c>
      <c r="I370" s="2" t="s">
        <v>3393</v>
      </c>
      <c r="J370" s="3">
        <v>13.11</v>
      </c>
      <c r="K370" s="3">
        <v>7.18</v>
      </c>
      <c r="L370" s="2" t="s">
        <v>8</v>
      </c>
      <c r="M370" s="2" t="s">
        <v>9</v>
      </c>
      <c r="N370" s="3">
        <v>732</v>
      </c>
      <c r="O370" s="2" t="s">
        <v>359</v>
      </c>
      <c r="P370" s="2" t="s">
        <v>163</v>
      </c>
      <c r="Q370" s="3"/>
      <c r="R370" s="3"/>
      <c r="S370" s="2" t="s">
        <v>21</v>
      </c>
      <c r="T370" s="4">
        <v>44955</v>
      </c>
      <c r="U370" s="2" t="s">
        <v>1438</v>
      </c>
      <c r="V370" s="6">
        <f>(Sales[[#This Row],[Price_retail]]-Sales[[#This Row],[Price_current]])/Sales[[#This Row],[Price_retail]]</f>
        <v>0.45232646834477497</v>
      </c>
      <c r="W370" s="3" t="str" cm="1">
        <f t="array" ref="W37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71" spans="1:23" x14ac:dyDescent="0.35">
      <c r="A371" s="2" t="s">
        <v>1439</v>
      </c>
      <c r="B371" s="2" t="s">
        <v>1440</v>
      </c>
      <c r="C371" s="2" t="s">
        <v>682</v>
      </c>
      <c r="D371" s="2" t="s">
        <v>640</v>
      </c>
      <c r="E371" s="2" t="s">
        <v>4</v>
      </c>
      <c r="F371" s="2" t="s">
        <v>17</v>
      </c>
      <c r="G371" s="2" t="s">
        <v>50</v>
      </c>
      <c r="H371" s="2" t="s">
        <v>139</v>
      </c>
      <c r="I371" s="2" t="s">
        <v>3393</v>
      </c>
      <c r="J371" s="3">
        <v>12.21</v>
      </c>
      <c r="K371" s="3">
        <v>7.39</v>
      </c>
      <c r="L371" s="2" t="s">
        <v>8</v>
      </c>
      <c r="M371" s="2" t="s">
        <v>9</v>
      </c>
      <c r="N371" s="3">
        <v>397</v>
      </c>
      <c r="O371" s="2" t="s">
        <v>267</v>
      </c>
      <c r="P371" s="2" t="s">
        <v>53</v>
      </c>
      <c r="Q371" s="3"/>
      <c r="R371" s="3"/>
      <c r="S371" s="2" t="s">
        <v>21</v>
      </c>
      <c r="T371" s="4">
        <v>44955</v>
      </c>
      <c r="U371" s="2" t="s">
        <v>1441</v>
      </c>
      <c r="V371" s="6">
        <f>(Sales[[#This Row],[Price_retail]]-Sales[[#This Row],[Price_current]])/Sales[[#This Row],[Price_retail]]</f>
        <v>0.3947583947583948</v>
      </c>
      <c r="W371" s="3" t="str" cm="1">
        <f t="array" ref="W37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72" spans="1:23" x14ac:dyDescent="0.35">
      <c r="A372" s="2" t="s">
        <v>1442</v>
      </c>
      <c r="B372" s="2" t="s">
        <v>1443</v>
      </c>
      <c r="C372" s="2" t="s">
        <v>25</v>
      </c>
      <c r="D372" s="2" t="s">
        <v>428</v>
      </c>
      <c r="E372" s="2" t="s">
        <v>4</v>
      </c>
      <c r="F372" s="2" t="s">
        <v>5</v>
      </c>
      <c r="G372" s="2" t="s">
        <v>6</v>
      </c>
      <c r="H372" s="2" t="s">
        <v>333</v>
      </c>
      <c r="I372" s="2" t="s">
        <v>3389</v>
      </c>
      <c r="J372" s="3">
        <v>16.98</v>
      </c>
      <c r="K372" s="3">
        <v>9.65</v>
      </c>
      <c r="L372" s="2" t="s">
        <v>8</v>
      </c>
      <c r="M372" s="2" t="s">
        <v>9</v>
      </c>
      <c r="N372" s="3">
        <v>748</v>
      </c>
      <c r="O372" s="2" t="s">
        <v>43</v>
      </c>
      <c r="P372" s="2" t="s">
        <v>128</v>
      </c>
      <c r="Q372" s="3"/>
      <c r="R372" s="3"/>
      <c r="S372" s="2" t="s">
        <v>21</v>
      </c>
      <c r="T372" s="4">
        <v>44955</v>
      </c>
      <c r="U372" s="2" t="s">
        <v>1444</v>
      </c>
      <c r="V372" s="6">
        <f>(Sales[[#This Row],[Price_retail]]-Sales[[#This Row],[Price_current]])/Sales[[#This Row],[Price_retail]]</f>
        <v>0.43168433451118965</v>
      </c>
      <c r="W372" s="3" t="str" cm="1">
        <f t="array" ref="W37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73" spans="1:23" x14ac:dyDescent="0.35">
      <c r="A373" s="2" t="s">
        <v>1445</v>
      </c>
      <c r="B373" s="2" t="s">
        <v>1446</v>
      </c>
      <c r="C373" s="2" t="s">
        <v>505</v>
      </c>
      <c r="D373" s="2" t="s">
        <v>89</v>
      </c>
      <c r="E373" s="2" t="s">
        <v>4</v>
      </c>
      <c r="F373" s="2" t="s">
        <v>5</v>
      </c>
      <c r="G373" s="2" t="s">
        <v>82</v>
      </c>
      <c r="H373" s="2" t="s">
        <v>90</v>
      </c>
      <c r="I373" s="2" t="s">
        <v>3390</v>
      </c>
      <c r="J373" s="3">
        <v>12.03</v>
      </c>
      <c r="K373" s="3">
        <v>12.03</v>
      </c>
      <c r="L373" s="2" t="s">
        <v>3391</v>
      </c>
      <c r="M373" s="2" t="s">
        <v>9</v>
      </c>
      <c r="N373" s="3">
        <v>864</v>
      </c>
      <c r="O373" s="2" t="s">
        <v>302</v>
      </c>
      <c r="P373" s="2" t="s">
        <v>3392</v>
      </c>
      <c r="Q373" s="3"/>
      <c r="R373" s="3"/>
      <c r="S373" s="2" t="s">
        <v>21</v>
      </c>
      <c r="T373" s="4">
        <v>44955</v>
      </c>
      <c r="U373" s="2" t="s">
        <v>1447</v>
      </c>
      <c r="V373" s="6">
        <f>(Sales[[#This Row],[Price_retail]]-Sales[[#This Row],[Price_current]])/Sales[[#This Row],[Price_retail]]</f>
        <v>0</v>
      </c>
      <c r="W373" s="3" t="str" cm="1">
        <f t="array" ref="W3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74" spans="1:23" x14ac:dyDescent="0.35">
      <c r="A374" s="2" t="s">
        <v>1448</v>
      </c>
      <c r="B374" s="2" t="s">
        <v>1449</v>
      </c>
      <c r="C374" s="2" t="s">
        <v>271</v>
      </c>
      <c r="D374" s="2" t="s">
        <v>600</v>
      </c>
      <c r="E374" s="2" t="s">
        <v>4</v>
      </c>
      <c r="F374" s="2" t="s">
        <v>17</v>
      </c>
      <c r="G374" s="2" t="s">
        <v>50</v>
      </c>
      <c r="H374" s="2" t="s">
        <v>134</v>
      </c>
      <c r="I374" s="2" t="s">
        <v>3395</v>
      </c>
      <c r="J374" s="3">
        <v>11.1</v>
      </c>
      <c r="K374" s="3">
        <v>11.1</v>
      </c>
      <c r="L374" s="2" t="s">
        <v>3391</v>
      </c>
      <c r="M374" s="2" t="s">
        <v>9</v>
      </c>
      <c r="N374" s="3">
        <v>966</v>
      </c>
      <c r="O374" s="2" t="s">
        <v>60</v>
      </c>
      <c r="P374" s="2" t="s">
        <v>3392</v>
      </c>
      <c r="Q374" s="3"/>
      <c r="R374" s="3"/>
      <c r="S374" s="2" t="s">
        <v>21</v>
      </c>
      <c r="T374" s="4">
        <v>44955</v>
      </c>
      <c r="U374" s="2" t="s">
        <v>1450</v>
      </c>
      <c r="V374" s="6">
        <f>(Sales[[#This Row],[Price_retail]]-Sales[[#This Row],[Price_current]])/Sales[[#This Row],[Price_retail]]</f>
        <v>0</v>
      </c>
      <c r="W374" s="3" t="str" cm="1">
        <f t="array" ref="W37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75" spans="1:23" x14ac:dyDescent="0.35">
      <c r="A375" s="2" t="s">
        <v>1451</v>
      </c>
      <c r="B375" s="2" t="s">
        <v>1452</v>
      </c>
      <c r="C375" s="2" t="s">
        <v>703</v>
      </c>
      <c r="D375" s="2" t="s">
        <v>272</v>
      </c>
      <c r="E375" s="2" t="s">
        <v>4</v>
      </c>
      <c r="F375" s="2" t="s">
        <v>5</v>
      </c>
      <c r="G375" s="2" t="s">
        <v>121</v>
      </c>
      <c r="H375" s="2" t="s">
        <v>51</v>
      </c>
      <c r="I375" s="2" t="s">
        <v>3390</v>
      </c>
      <c r="J375" s="3">
        <v>11.64</v>
      </c>
      <c r="K375" s="3">
        <v>776</v>
      </c>
      <c r="L375" s="2" t="s">
        <v>8</v>
      </c>
      <c r="M375" s="2" t="s">
        <v>9</v>
      </c>
      <c r="N375" s="3">
        <v>72</v>
      </c>
      <c r="O375" s="2" t="s">
        <v>140</v>
      </c>
      <c r="P375" s="2" t="s">
        <v>215</v>
      </c>
      <c r="Q375" s="3"/>
      <c r="R375" s="3"/>
      <c r="S375" s="2" t="s">
        <v>21</v>
      </c>
      <c r="T375" s="4">
        <v>44955</v>
      </c>
      <c r="U375" s="2" t="s">
        <v>1453</v>
      </c>
      <c r="V375" s="6">
        <f>(Sales[[#This Row],[Price_retail]]-Sales[[#This Row],[Price_current]])/Sales[[#This Row],[Price_retail]]</f>
        <v>-65.666666666666671</v>
      </c>
      <c r="W375" s="3" t="str" cm="1">
        <f t="array" ref="W375">_xlfn.IFS(Sales[[#This Row],[Discount]]=0%,"No Discount",Sales[[#This Row],[Discount]]&lt;=20%,"Light",Sales[[#This Row],[Discount]]&lt;=50%,"Moderate",Sales[[#This Row],[Discount]]&lt;=80%,"High",
TRUE,"Very High")</f>
        <v>Light</v>
      </c>
    </row>
    <row r="376" spans="1:23" x14ac:dyDescent="0.35">
      <c r="A376" s="2" t="s">
        <v>1454</v>
      </c>
      <c r="B376" s="2" t="s">
        <v>1455</v>
      </c>
      <c r="C376" s="2" t="s">
        <v>65</v>
      </c>
      <c r="D376" s="2" t="s">
        <v>247</v>
      </c>
      <c r="E376" s="2" t="s">
        <v>4</v>
      </c>
      <c r="F376" s="2" t="s">
        <v>17</v>
      </c>
      <c r="G376" s="2" t="s">
        <v>50</v>
      </c>
      <c r="H376" s="2" t="s">
        <v>68</v>
      </c>
      <c r="I376" s="2" t="s">
        <v>3393</v>
      </c>
      <c r="J376" s="3">
        <v>40.19</v>
      </c>
      <c r="K376" s="3">
        <v>33.299999999999997</v>
      </c>
      <c r="L376" s="2" t="s">
        <v>8</v>
      </c>
      <c r="M376" s="2" t="s">
        <v>9</v>
      </c>
      <c r="N376" s="3">
        <v>152</v>
      </c>
      <c r="O376" s="2" t="s">
        <v>302</v>
      </c>
      <c r="P376" s="2" t="s">
        <v>92</v>
      </c>
      <c r="Q376" s="3"/>
      <c r="R376" s="3"/>
      <c r="S376" s="2" t="s">
        <v>12</v>
      </c>
      <c r="T376" s="4">
        <v>44955</v>
      </c>
      <c r="U376" s="2" t="s">
        <v>1456</v>
      </c>
      <c r="V376" s="6">
        <f>(Sales[[#This Row],[Price_retail]]-Sales[[#This Row],[Price_current]])/Sales[[#This Row],[Price_retail]]</f>
        <v>0.17143568051754171</v>
      </c>
      <c r="W376" s="3" t="str" cm="1">
        <f t="array" ref="W376">_xlfn.IFS(Sales[[#This Row],[Discount]]=0%,"No Discount",Sales[[#This Row],[Discount]]&lt;=20%,"Light",Sales[[#This Row],[Discount]]&lt;=50%,"Moderate",Sales[[#This Row],[Discount]]&lt;=80%,"High",
TRUE,"Very High")</f>
        <v>Light</v>
      </c>
    </row>
    <row r="377" spans="1:23" x14ac:dyDescent="0.35">
      <c r="A377" s="2" t="s">
        <v>1457</v>
      </c>
      <c r="B377" s="2" t="s">
        <v>1458</v>
      </c>
      <c r="C377" s="2" t="s">
        <v>242</v>
      </c>
      <c r="D377" s="2" t="s">
        <v>342</v>
      </c>
      <c r="E377" s="2" t="s">
        <v>4</v>
      </c>
      <c r="F377" s="2" t="s">
        <v>17</v>
      </c>
      <c r="G377" s="2" t="s">
        <v>18</v>
      </c>
      <c r="H377" s="2" t="s">
        <v>237</v>
      </c>
      <c r="I377" s="2" t="s">
        <v>3395</v>
      </c>
      <c r="J377" s="3">
        <v>23.92</v>
      </c>
      <c r="K377" s="3">
        <v>23.92</v>
      </c>
      <c r="L377" s="2" t="s">
        <v>3391</v>
      </c>
      <c r="M377" s="2" t="s">
        <v>9</v>
      </c>
      <c r="N377" s="3">
        <v>426</v>
      </c>
      <c r="O377" s="2" t="s">
        <v>20</v>
      </c>
      <c r="P377" s="2" t="s">
        <v>186</v>
      </c>
      <c r="Q377" s="3"/>
      <c r="R377" s="3"/>
      <c r="S377" s="2" t="s">
        <v>21</v>
      </c>
      <c r="T377" s="4">
        <v>44955</v>
      </c>
      <c r="U377" s="2" t="s">
        <v>1459</v>
      </c>
      <c r="V377" s="6">
        <f>(Sales[[#This Row],[Price_retail]]-Sales[[#This Row],[Price_current]])/Sales[[#This Row],[Price_retail]]</f>
        <v>0</v>
      </c>
      <c r="W377" s="3" t="str" cm="1">
        <f t="array" ref="W37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78" spans="1:23" x14ac:dyDescent="0.35">
      <c r="A378" s="2" t="s">
        <v>1460</v>
      </c>
      <c r="B378" s="2" t="s">
        <v>1461</v>
      </c>
      <c r="C378" s="2" t="s">
        <v>108</v>
      </c>
      <c r="D378" s="2" t="s">
        <v>1184</v>
      </c>
      <c r="E378" s="2" t="s">
        <v>4</v>
      </c>
      <c r="F378" s="2" t="s">
        <v>17</v>
      </c>
      <c r="G378" s="2" t="s">
        <v>50</v>
      </c>
      <c r="H378" s="2"/>
      <c r="I378" s="2" t="s">
        <v>3390</v>
      </c>
      <c r="J378" s="3">
        <v>12.01</v>
      </c>
      <c r="K378" s="3">
        <v>12.01</v>
      </c>
      <c r="L378" s="2" t="s">
        <v>3391</v>
      </c>
      <c r="M378" s="2" t="s">
        <v>9</v>
      </c>
      <c r="N378" s="3">
        <v>886</v>
      </c>
      <c r="O378" s="2" t="s">
        <v>302</v>
      </c>
      <c r="P378" s="2" t="s">
        <v>92</v>
      </c>
      <c r="Q378" s="3"/>
      <c r="R378" s="3"/>
      <c r="S378" s="2" t="s">
        <v>21</v>
      </c>
      <c r="T378" s="4">
        <v>44955</v>
      </c>
      <c r="U378" s="2" t="s">
        <v>1462</v>
      </c>
      <c r="V378" s="6">
        <f>(Sales[[#This Row],[Price_retail]]-Sales[[#This Row],[Price_current]])/Sales[[#This Row],[Price_retail]]</f>
        <v>0</v>
      </c>
      <c r="W378" s="3" t="str" cm="1">
        <f t="array" ref="W3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79" spans="1:23" x14ac:dyDescent="0.35">
      <c r="A379" s="2" t="s">
        <v>1463</v>
      </c>
      <c r="B379" s="2" t="s">
        <v>1464</v>
      </c>
      <c r="C379" s="2" t="s">
        <v>246</v>
      </c>
      <c r="D379" s="2" t="s">
        <v>581</v>
      </c>
      <c r="E379" s="2" t="s">
        <v>4</v>
      </c>
      <c r="F379" s="2" t="s">
        <v>17</v>
      </c>
      <c r="G379" s="2" t="s">
        <v>18</v>
      </c>
      <c r="H379" s="2" t="s">
        <v>7</v>
      </c>
      <c r="I379" s="2" t="s">
        <v>3390</v>
      </c>
      <c r="J379" s="3">
        <v>8.99</v>
      </c>
      <c r="K379" s="3">
        <v>8.99</v>
      </c>
      <c r="L379" s="2" t="s">
        <v>3391</v>
      </c>
      <c r="M379" s="2" t="s">
        <v>9</v>
      </c>
      <c r="N379" s="3">
        <v>568</v>
      </c>
      <c r="O379" s="2" t="s">
        <v>36</v>
      </c>
      <c r="P379" s="2" t="s">
        <v>76</v>
      </c>
      <c r="Q379" s="3"/>
      <c r="R379" s="3"/>
      <c r="S379" s="2" t="s">
        <v>12</v>
      </c>
      <c r="T379" s="4">
        <v>44955</v>
      </c>
      <c r="U379" s="2" t="s">
        <v>1465</v>
      </c>
      <c r="V379" s="6">
        <f>(Sales[[#This Row],[Price_retail]]-Sales[[#This Row],[Price_current]])/Sales[[#This Row],[Price_retail]]</f>
        <v>0</v>
      </c>
      <c r="W379" s="3" t="str" cm="1">
        <f t="array" ref="W37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0" spans="1:23" x14ac:dyDescent="0.35">
      <c r="A380" s="2" t="s">
        <v>1466</v>
      </c>
      <c r="B380" s="2" t="s">
        <v>1467</v>
      </c>
      <c r="C380" s="2" t="s">
        <v>1468</v>
      </c>
      <c r="D380" s="2" t="s">
        <v>327</v>
      </c>
      <c r="E380" s="2" t="s">
        <v>4</v>
      </c>
      <c r="F380" s="2" t="s">
        <v>5</v>
      </c>
      <c r="G380" s="2" t="s">
        <v>6</v>
      </c>
      <c r="H380" s="2" t="s">
        <v>110</v>
      </c>
      <c r="I380" s="2" t="s">
        <v>3393</v>
      </c>
      <c r="J380" s="3">
        <v>8.99</v>
      </c>
      <c r="K380" s="3">
        <v>8.99</v>
      </c>
      <c r="L380" s="2" t="s">
        <v>3391</v>
      </c>
      <c r="M380" s="2" t="s">
        <v>9</v>
      </c>
      <c r="N380" s="3">
        <v>398</v>
      </c>
      <c r="O380" s="2" t="s">
        <v>302</v>
      </c>
      <c r="P380" s="2" t="s">
        <v>70</v>
      </c>
      <c r="Q380" s="3"/>
      <c r="R380" s="3"/>
      <c r="S380" s="2" t="s">
        <v>12</v>
      </c>
      <c r="T380" s="4">
        <v>44955</v>
      </c>
      <c r="U380" s="2" t="s">
        <v>1469</v>
      </c>
      <c r="V380" s="6">
        <f>(Sales[[#This Row],[Price_retail]]-Sales[[#This Row],[Price_current]])/Sales[[#This Row],[Price_retail]]</f>
        <v>0</v>
      </c>
      <c r="W380" s="3" t="str" cm="1">
        <f t="array" ref="W38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1" spans="1:23" x14ac:dyDescent="0.35">
      <c r="A381" s="2" t="s">
        <v>1470</v>
      </c>
      <c r="B381" s="2" t="s">
        <v>1471</v>
      </c>
      <c r="C381" s="2" t="s">
        <v>1743</v>
      </c>
      <c r="D381" s="2" t="s">
        <v>342</v>
      </c>
      <c r="E381" s="2" t="s">
        <v>4</v>
      </c>
      <c r="F381" s="2" t="s">
        <v>17</v>
      </c>
      <c r="G381" s="2" t="s">
        <v>67</v>
      </c>
      <c r="H381" s="2" t="s">
        <v>237</v>
      </c>
      <c r="I381" s="2" t="s">
        <v>3390</v>
      </c>
      <c r="J381" s="3">
        <v>20.63</v>
      </c>
      <c r="K381" s="3">
        <v>20.63</v>
      </c>
      <c r="L381" s="2" t="s">
        <v>3391</v>
      </c>
      <c r="M381" s="2" t="s">
        <v>9</v>
      </c>
      <c r="N381" s="3">
        <v>549</v>
      </c>
      <c r="O381" s="2" t="s">
        <v>69</v>
      </c>
      <c r="P381" s="2" t="s">
        <v>84</v>
      </c>
      <c r="Q381" s="3"/>
      <c r="R381" s="3"/>
      <c r="S381" s="2" t="s">
        <v>21</v>
      </c>
      <c r="T381" s="4">
        <v>44955</v>
      </c>
      <c r="U381" s="2" t="s">
        <v>1472</v>
      </c>
      <c r="V381" s="6">
        <f>(Sales[[#This Row],[Price_retail]]-Sales[[#This Row],[Price_current]])/Sales[[#This Row],[Price_retail]]</f>
        <v>0</v>
      </c>
      <c r="W381" s="3" t="str" cm="1">
        <f t="array" ref="W38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2" spans="1:23" x14ac:dyDescent="0.35">
      <c r="A382" s="2" t="s">
        <v>1473</v>
      </c>
      <c r="B382" s="2" t="s">
        <v>1474</v>
      </c>
      <c r="C382" s="2" t="s">
        <v>682</v>
      </c>
      <c r="D382" s="2" t="s">
        <v>485</v>
      </c>
      <c r="E382" s="2" t="s">
        <v>4</v>
      </c>
      <c r="F382" s="2" t="s">
        <v>17</v>
      </c>
      <c r="G382" s="2" t="s">
        <v>50</v>
      </c>
      <c r="H382" s="2" t="s">
        <v>185</v>
      </c>
      <c r="I382" s="2" t="s">
        <v>3395</v>
      </c>
      <c r="J382" s="3">
        <v>8.99</v>
      </c>
      <c r="K382" s="3">
        <v>8.99</v>
      </c>
      <c r="L382" s="2" t="s">
        <v>3391</v>
      </c>
      <c r="M382" s="2" t="s">
        <v>9</v>
      </c>
      <c r="N382" s="3">
        <v>406</v>
      </c>
      <c r="O382" s="2" t="s">
        <v>91</v>
      </c>
      <c r="P382" s="2" t="s">
        <v>221</v>
      </c>
      <c r="Q382" s="3"/>
      <c r="R382" s="3"/>
      <c r="S382" s="2" t="s">
        <v>21</v>
      </c>
      <c r="T382" s="4">
        <v>44955</v>
      </c>
      <c r="U382" s="2" t="s">
        <v>1475</v>
      </c>
      <c r="V382" s="6">
        <f>(Sales[[#This Row],[Price_retail]]-Sales[[#This Row],[Price_current]])/Sales[[#This Row],[Price_retail]]</f>
        <v>0</v>
      </c>
      <c r="W382" s="3" t="str" cm="1">
        <f t="array" ref="W38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3" spans="1:23" x14ac:dyDescent="0.35">
      <c r="A383" s="2" t="s">
        <v>1476</v>
      </c>
      <c r="B383" s="2" t="s">
        <v>1477</v>
      </c>
      <c r="C383" s="2" t="s">
        <v>616</v>
      </c>
      <c r="D383" s="2" t="s">
        <v>586</v>
      </c>
      <c r="E383" s="2" t="s">
        <v>4</v>
      </c>
      <c r="F383" s="2" t="s">
        <v>5</v>
      </c>
      <c r="G383" s="2" t="s">
        <v>82</v>
      </c>
      <c r="H383" s="2" t="s">
        <v>83</v>
      </c>
      <c r="I383" s="2" t="s">
        <v>3390</v>
      </c>
      <c r="J383" s="3">
        <v>18.38</v>
      </c>
      <c r="K383" s="3">
        <v>18.38</v>
      </c>
      <c r="L383" s="2" t="s">
        <v>3391</v>
      </c>
      <c r="M383" s="2" t="s">
        <v>9</v>
      </c>
      <c r="N383" s="3">
        <v>768</v>
      </c>
      <c r="O383" s="2" t="s">
        <v>29</v>
      </c>
      <c r="P383" s="2" t="s">
        <v>238</v>
      </c>
      <c r="Q383" s="3"/>
      <c r="R383" s="3"/>
      <c r="S383" s="2" t="s">
        <v>21</v>
      </c>
      <c r="T383" s="4">
        <v>44955</v>
      </c>
      <c r="U383" s="2" t="s">
        <v>1478</v>
      </c>
      <c r="V383" s="6">
        <f>(Sales[[#This Row],[Price_retail]]-Sales[[#This Row],[Price_current]])/Sales[[#This Row],[Price_retail]]</f>
        <v>0</v>
      </c>
      <c r="W383" s="3" t="str" cm="1">
        <f t="array" ref="W3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4" spans="1:23" x14ac:dyDescent="0.35">
      <c r="A384" s="2" t="s">
        <v>1479</v>
      </c>
      <c r="B384" s="2" t="s">
        <v>1480</v>
      </c>
      <c r="C384" s="2" t="s">
        <v>1481</v>
      </c>
      <c r="D384" s="2" t="s">
        <v>1482</v>
      </c>
      <c r="E384" s="2" t="s">
        <v>4</v>
      </c>
      <c r="F384" s="2" t="s">
        <v>17</v>
      </c>
      <c r="G384" s="2" t="s">
        <v>27</v>
      </c>
      <c r="H384" s="2" t="s">
        <v>185</v>
      </c>
      <c r="I384" s="2" t="s">
        <v>3390</v>
      </c>
      <c r="J384" s="3">
        <v>8.99</v>
      </c>
      <c r="K384" s="3">
        <v>8.99</v>
      </c>
      <c r="L384" s="2" t="s">
        <v>3391</v>
      </c>
      <c r="M384" s="2" t="s">
        <v>9</v>
      </c>
      <c r="N384" s="3">
        <v>914</v>
      </c>
      <c r="O384" s="2" t="s">
        <v>60</v>
      </c>
      <c r="P384" s="2" t="s">
        <v>11</v>
      </c>
      <c r="Q384" s="3"/>
      <c r="R384" s="3"/>
      <c r="S384" s="2" t="s">
        <v>21</v>
      </c>
      <c r="T384" s="4">
        <v>44955</v>
      </c>
      <c r="U384" s="2" t="s">
        <v>1483</v>
      </c>
      <c r="V384" s="6">
        <f>(Sales[[#This Row],[Price_retail]]-Sales[[#This Row],[Price_current]])/Sales[[#This Row],[Price_retail]]</f>
        <v>0</v>
      </c>
      <c r="W384" s="3" t="str" cm="1">
        <f t="array" ref="W3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5" spans="1:23" x14ac:dyDescent="0.35">
      <c r="A385" s="2" t="s">
        <v>1484</v>
      </c>
      <c r="B385" s="2" t="s">
        <v>1485</v>
      </c>
      <c r="C385" s="2" t="s">
        <v>246</v>
      </c>
      <c r="D385" s="2" t="s">
        <v>1011</v>
      </c>
      <c r="E385" s="2" t="s">
        <v>4</v>
      </c>
      <c r="F385" s="2" t="s">
        <v>17</v>
      </c>
      <c r="G385" s="2" t="s">
        <v>27</v>
      </c>
      <c r="H385" s="2" t="s">
        <v>68</v>
      </c>
      <c r="I385" s="2" t="s">
        <v>3389</v>
      </c>
      <c r="J385" s="3">
        <v>16.45</v>
      </c>
      <c r="K385" s="3">
        <v>13.22</v>
      </c>
      <c r="L385" s="2" t="s">
        <v>8</v>
      </c>
      <c r="M385" s="2" t="s">
        <v>9</v>
      </c>
      <c r="N385" s="3">
        <v>11</v>
      </c>
      <c r="O385" s="2" t="s">
        <v>52</v>
      </c>
      <c r="P385" s="2" t="s">
        <v>221</v>
      </c>
      <c r="Q385" s="3"/>
      <c r="R385" s="3"/>
      <c r="S385" s="2" t="s">
        <v>21</v>
      </c>
      <c r="T385" s="4">
        <v>44955</v>
      </c>
      <c r="U385" s="2" t="s">
        <v>1486</v>
      </c>
      <c r="V385" s="6">
        <f>(Sales[[#This Row],[Price_retail]]-Sales[[#This Row],[Price_current]])/Sales[[#This Row],[Price_retail]]</f>
        <v>0.19635258358662608</v>
      </c>
      <c r="W385" s="3" t="str" cm="1">
        <f t="array" ref="W385">_xlfn.IFS(Sales[[#This Row],[Discount]]=0%,"No Discount",Sales[[#This Row],[Discount]]&lt;=20%,"Light",Sales[[#This Row],[Discount]]&lt;=50%,"Moderate",Sales[[#This Row],[Discount]]&lt;=80%,"High",
TRUE,"Very High")</f>
        <v>Light</v>
      </c>
    </row>
    <row r="386" spans="1:23" x14ac:dyDescent="0.35">
      <c r="A386" s="2" t="s">
        <v>1487</v>
      </c>
      <c r="B386" s="2" t="s">
        <v>1488</v>
      </c>
      <c r="C386" s="2" t="s">
        <v>65</v>
      </c>
      <c r="D386" s="2" t="s">
        <v>424</v>
      </c>
      <c r="E386" s="2" t="s">
        <v>4</v>
      </c>
      <c r="F386" s="2" t="s">
        <v>5</v>
      </c>
      <c r="G386" s="2" t="s">
        <v>6</v>
      </c>
      <c r="H386" s="2" t="s">
        <v>59</v>
      </c>
      <c r="I386" s="2" t="s">
        <v>3390</v>
      </c>
      <c r="J386" s="3">
        <v>16.2</v>
      </c>
      <c r="K386" s="3">
        <v>16.2</v>
      </c>
      <c r="L386" s="2" t="s">
        <v>3391</v>
      </c>
      <c r="M386" s="2" t="s">
        <v>9</v>
      </c>
      <c r="N386" s="3">
        <v>28</v>
      </c>
      <c r="O386" s="2" t="s">
        <v>3392</v>
      </c>
      <c r="P386" s="2" t="s">
        <v>53</v>
      </c>
      <c r="Q386" s="3"/>
      <c r="R386" s="3"/>
      <c r="S386" s="2" t="s">
        <v>21</v>
      </c>
      <c r="T386" s="4">
        <v>44955</v>
      </c>
      <c r="U386" s="2" t="s">
        <v>1489</v>
      </c>
      <c r="V386" s="6">
        <f>(Sales[[#This Row],[Price_retail]]-Sales[[#This Row],[Price_current]])/Sales[[#This Row],[Price_retail]]</f>
        <v>0</v>
      </c>
      <c r="W386" s="3" t="str" cm="1">
        <f t="array" ref="W38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7" spans="1:23" x14ac:dyDescent="0.35">
      <c r="A387" s="2" t="s">
        <v>1490</v>
      </c>
      <c r="B387" s="2" t="s">
        <v>1491</v>
      </c>
      <c r="C387" s="2" t="s">
        <v>3410</v>
      </c>
      <c r="D387" s="2" t="s">
        <v>625</v>
      </c>
      <c r="E387" s="2" t="s">
        <v>4</v>
      </c>
      <c r="F387" s="2" t="s">
        <v>17</v>
      </c>
      <c r="G387" s="2" t="s">
        <v>18</v>
      </c>
      <c r="H387" s="2" t="s">
        <v>333</v>
      </c>
      <c r="I387" s="2" t="s">
        <v>3393</v>
      </c>
      <c r="J387" s="3">
        <v>16.72</v>
      </c>
      <c r="K387" s="3">
        <v>16.72</v>
      </c>
      <c r="L387" s="2" t="s">
        <v>3391</v>
      </c>
      <c r="M387" s="2" t="s">
        <v>9</v>
      </c>
      <c r="N387" s="3">
        <v>461</v>
      </c>
      <c r="O387" s="2" t="s">
        <v>3392</v>
      </c>
      <c r="P387" s="2" t="s">
        <v>92</v>
      </c>
      <c r="Q387" s="3"/>
      <c r="R387" s="3"/>
      <c r="S387" s="2" t="s">
        <v>21</v>
      </c>
      <c r="T387" s="4">
        <v>44955</v>
      </c>
      <c r="U387" s="2" t="s">
        <v>1492</v>
      </c>
      <c r="V387" s="6">
        <f>(Sales[[#This Row],[Price_retail]]-Sales[[#This Row],[Price_current]])/Sales[[#This Row],[Price_retail]]</f>
        <v>0</v>
      </c>
      <c r="W387" s="3" t="str" cm="1">
        <f t="array" ref="W38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8" spans="1:23" x14ac:dyDescent="0.35">
      <c r="A388" s="2" t="s">
        <v>1493</v>
      </c>
      <c r="B388" s="2" t="s">
        <v>1494</v>
      </c>
      <c r="C388" s="2" t="s">
        <v>412</v>
      </c>
      <c r="D388" s="2" t="s">
        <v>1495</v>
      </c>
      <c r="E388" s="2" t="s">
        <v>4</v>
      </c>
      <c r="F388" s="2" t="s">
        <v>5</v>
      </c>
      <c r="G388" s="2" t="s">
        <v>82</v>
      </c>
      <c r="H388" s="2" t="s">
        <v>35</v>
      </c>
      <c r="I388" s="2" t="s">
        <v>3390</v>
      </c>
      <c r="J388" s="3">
        <v>12.59</v>
      </c>
      <c r="K388" s="3">
        <v>12.59</v>
      </c>
      <c r="L388" s="2" t="s">
        <v>3391</v>
      </c>
      <c r="M388" s="2" t="s">
        <v>9</v>
      </c>
      <c r="N388" s="3">
        <v>201</v>
      </c>
      <c r="O388" s="2" t="s">
        <v>261</v>
      </c>
      <c r="P388" s="2" t="s">
        <v>92</v>
      </c>
      <c r="Q388" s="3"/>
      <c r="R388" s="3"/>
      <c r="S388" s="2" t="s">
        <v>21</v>
      </c>
      <c r="T388" s="4">
        <v>44955</v>
      </c>
      <c r="U388" s="2" t="s">
        <v>1496</v>
      </c>
      <c r="V388" s="6">
        <f>(Sales[[#This Row],[Price_retail]]-Sales[[#This Row],[Price_current]])/Sales[[#This Row],[Price_retail]]</f>
        <v>0</v>
      </c>
      <c r="W388" s="3" t="str" cm="1">
        <f t="array" ref="W38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89" spans="1:23" x14ac:dyDescent="0.35">
      <c r="A389" s="2" t="s">
        <v>1497</v>
      </c>
      <c r="B389" s="2" t="s">
        <v>1498</v>
      </c>
      <c r="C389" s="2" t="s">
        <v>3419</v>
      </c>
      <c r="D389" s="2" t="s">
        <v>1238</v>
      </c>
      <c r="E389" s="2" t="s">
        <v>4</v>
      </c>
      <c r="F389" s="2" t="s">
        <v>5</v>
      </c>
      <c r="G389" s="2" t="s">
        <v>6</v>
      </c>
      <c r="H389" s="2" t="s">
        <v>168</v>
      </c>
      <c r="I389" s="2" t="s">
        <v>3390</v>
      </c>
      <c r="J389" s="3">
        <v>12.37</v>
      </c>
      <c r="K389" s="3">
        <v>12.37</v>
      </c>
      <c r="L389" s="2" t="s">
        <v>3391</v>
      </c>
      <c r="M389" s="2" t="s">
        <v>9</v>
      </c>
      <c r="N389" s="3">
        <v>803</v>
      </c>
      <c r="O389" s="2" t="s">
        <v>43</v>
      </c>
      <c r="P389" s="2" t="s">
        <v>334</v>
      </c>
      <c r="Q389" s="3"/>
      <c r="R389" s="3"/>
      <c r="S389" s="2" t="s">
        <v>21</v>
      </c>
      <c r="T389" s="4">
        <v>44955</v>
      </c>
      <c r="U389" s="2" t="s">
        <v>1499</v>
      </c>
      <c r="V389" s="6">
        <f>(Sales[[#This Row],[Price_retail]]-Sales[[#This Row],[Price_current]])/Sales[[#This Row],[Price_retail]]</f>
        <v>0</v>
      </c>
      <c r="W389" s="3" t="str" cm="1">
        <f t="array" ref="W38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90" spans="1:23" x14ac:dyDescent="0.35">
      <c r="A390" s="2" t="s">
        <v>1500</v>
      </c>
      <c r="B390" s="2" t="s">
        <v>1501</v>
      </c>
      <c r="C390" s="2" t="s">
        <v>721</v>
      </c>
      <c r="D390" s="2" t="s">
        <v>1011</v>
      </c>
      <c r="E390" s="2" t="s">
        <v>4</v>
      </c>
      <c r="F390" s="2" t="s">
        <v>17</v>
      </c>
      <c r="G390" s="2" t="s">
        <v>27</v>
      </c>
      <c r="H390" s="2" t="s">
        <v>68</v>
      </c>
      <c r="I390" s="2" t="s">
        <v>3393</v>
      </c>
      <c r="J390" s="3">
        <v>10.52</v>
      </c>
      <c r="K390" s="3">
        <v>6.11</v>
      </c>
      <c r="L390" s="2" t="s">
        <v>8</v>
      </c>
      <c r="M390" s="2" t="s">
        <v>9</v>
      </c>
      <c r="N390" s="3">
        <v>115</v>
      </c>
      <c r="O390" s="2" t="s">
        <v>104</v>
      </c>
      <c r="P390" s="2" t="s">
        <v>221</v>
      </c>
      <c r="Q390" s="3"/>
      <c r="R390" s="3"/>
      <c r="S390" s="2" t="s">
        <v>21</v>
      </c>
      <c r="T390" s="4">
        <v>44955</v>
      </c>
      <c r="U390" s="2" t="s">
        <v>1502</v>
      </c>
      <c r="V390" s="6">
        <f>(Sales[[#This Row],[Price_retail]]-Sales[[#This Row],[Price_current]])/Sales[[#This Row],[Price_retail]]</f>
        <v>0.41920152091254748</v>
      </c>
      <c r="W390" s="3" t="str" cm="1">
        <f t="array" ref="W39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91" spans="1:23" x14ac:dyDescent="0.35">
      <c r="A391" s="2" t="s">
        <v>1503</v>
      </c>
      <c r="B391" s="2" t="s">
        <v>1504</v>
      </c>
      <c r="C391" s="2" t="s">
        <v>1010</v>
      </c>
      <c r="D391" s="2" t="s">
        <v>640</v>
      </c>
      <c r="E391" s="2" t="s">
        <v>4</v>
      </c>
      <c r="F391" s="2" t="s">
        <v>17</v>
      </c>
      <c r="G391" s="2" t="s">
        <v>67</v>
      </c>
      <c r="H391" s="2" t="s">
        <v>139</v>
      </c>
      <c r="I391" s="2" t="s">
        <v>3393</v>
      </c>
      <c r="J391" s="3">
        <v>20.41</v>
      </c>
      <c r="K391" s="3">
        <v>13.26</v>
      </c>
      <c r="L391" s="2" t="s">
        <v>8</v>
      </c>
      <c r="M391" s="2" t="s">
        <v>9</v>
      </c>
      <c r="N391" s="3">
        <v>138</v>
      </c>
      <c r="O391" s="2" t="s">
        <v>52</v>
      </c>
      <c r="P391" s="2" t="s">
        <v>30</v>
      </c>
      <c r="Q391" s="3"/>
      <c r="R391" s="3"/>
      <c r="S391" s="2" t="s">
        <v>21</v>
      </c>
      <c r="T391" s="4">
        <v>44955</v>
      </c>
      <c r="U391" s="2" t="s">
        <v>1505</v>
      </c>
      <c r="V391" s="6">
        <f>(Sales[[#This Row],[Price_retail]]-Sales[[#This Row],[Price_current]])/Sales[[#This Row],[Price_retail]]</f>
        <v>0.35031847133757965</v>
      </c>
      <c r="W391" s="3" t="str" cm="1">
        <f t="array" ref="W39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92" spans="1:23" x14ac:dyDescent="0.35">
      <c r="A392" s="2" t="s">
        <v>1506</v>
      </c>
      <c r="B392" s="2" t="s">
        <v>1507</v>
      </c>
      <c r="C392" s="2" t="s">
        <v>3394</v>
      </c>
      <c r="D392" s="2" t="s">
        <v>16</v>
      </c>
      <c r="E392" s="2" t="s">
        <v>4</v>
      </c>
      <c r="F392" s="2" t="s">
        <v>17</v>
      </c>
      <c r="G392" s="2" t="s">
        <v>27</v>
      </c>
      <c r="H392" s="2" t="s">
        <v>19</v>
      </c>
      <c r="I392" s="2" t="s">
        <v>3390</v>
      </c>
      <c r="J392" s="3">
        <v>24.36</v>
      </c>
      <c r="K392" s="3">
        <v>24.36</v>
      </c>
      <c r="L392" s="2" t="s">
        <v>3391</v>
      </c>
      <c r="M392" s="2" t="s">
        <v>9</v>
      </c>
      <c r="N392" s="3">
        <v>122</v>
      </c>
      <c r="O392" s="2" t="s">
        <v>191</v>
      </c>
      <c r="P392" s="2" t="s">
        <v>44</v>
      </c>
      <c r="Q392" s="3"/>
      <c r="R392" s="3"/>
      <c r="S392" s="2" t="s">
        <v>21</v>
      </c>
      <c r="T392" s="4">
        <v>44955</v>
      </c>
      <c r="U392" s="2" t="s">
        <v>1508</v>
      </c>
      <c r="V392" s="6">
        <f>(Sales[[#This Row],[Price_retail]]-Sales[[#This Row],[Price_current]])/Sales[[#This Row],[Price_retail]]</f>
        <v>0</v>
      </c>
      <c r="W392" s="3" t="str" cm="1">
        <f t="array" ref="W3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93" spans="1:23" x14ac:dyDescent="0.35">
      <c r="A393" s="2" t="s">
        <v>1509</v>
      </c>
      <c r="B393" s="2" t="s">
        <v>1510</v>
      </c>
      <c r="C393" s="2" t="s">
        <v>541</v>
      </c>
      <c r="D393" s="2" t="s">
        <v>1011</v>
      </c>
      <c r="E393" s="2" t="s">
        <v>4</v>
      </c>
      <c r="F393" s="2" t="s">
        <v>17</v>
      </c>
      <c r="G393" s="2" t="s">
        <v>67</v>
      </c>
      <c r="H393" s="2" t="s">
        <v>68</v>
      </c>
      <c r="I393" s="2" t="s">
        <v>3395</v>
      </c>
      <c r="J393" s="3">
        <v>8.99</v>
      </c>
      <c r="K393" s="3">
        <v>4.66</v>
      </c>
      <c r="L393" s="2" t="s">
        <v>8</v>
      </c>
      <c r="M393" s="2" t="s">
        <v>9</v>
      </c>
      <c r="N393" s="3">
        <v>235</v>
      </c>
      <c r="O393" s="2" t="s">
        <v>3392</v>
      </c>
      <c r="P393" s="2" t="s">
        <v>192</v>
      </c>
      <c r="Q393" s="3"/>
      <c r="R393" s="3"/>
      <c r="S393" s="2" t="s">
        <v>21</v>
      </c>
      <c r="T393" s="4">
        <v>44955</v>
      </c>
      <c r="U393" s="2" t="s">
        <v>1511</v>
      </c>
      <c r="V393" s="6">
        <f>(Sales[[#This Row],[Price_retail]]-Sales[[#This Row],[Price_current]])/Sales[[#This Row],[Price_retail]]</f>
        <v>0.48164627363737483</v>
      </c>
      <c r="W393" s="3" t="str" cm="1">
        <f t="array" ref="W39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94" spans="1:23" x14ac:dyDescent="0.35">
      <c r="A394" s="2" t="s">
        <v>1512</v>
      </c>
      <c r="B394" s="2" t="s">
        <v>1513</v>
      </c>
      <c r="C394" s="2" t="s">
        <v>41</v>
      </c>
      <c r="D394" s="2" t="s">
        <v>247</v>
      </c>
      <c r="E394" s="2" t="s">
        <v>4</v>
      </c>
      <c r="F394" s="2" t="s">
        <v>17</v>
      </c>
      <c r="G394" s="2" t="s">
        <v>18</v>
      </c>
      <c r="H394" s="2" t="s">
        <v>68</v>
      </c>
      <c r="I394" s="2" t="s">
        <v>3393</v>
      </c>
      <c r="J394" s="3">
        <v>15.2</v>
      </c>
      <c r="K394" s="3">
        <v>9.65</v>
      </c>
      <c r="L394" s="2" t="s">
        <v>8</v>
      </c>
      <c r="M394" s="2" t="s">
        <v>9</v>
      </c>
      <c r="N394" s="3">
        <v>690</v>
      </c>
      <c r="O394" s="2" t="s">
        <v>287</v>
      </c>
      <c r="P394" s="2" t="s">
        <v>53</v>
      </c>
      <c r="Q394" s="3"/>
      <c r="R394" s="3"/>
      <c r="S394" s="2" t="s">
        <v>21</v>
      </c>
      <c r="T394" s="4">
        <v>44955</v>
      </c>
      <c r="U394" s="2" t="s">
        <v>1514</v>
      </c>
      <c r="V394" s="6">
        <f>(Sales[[#This Row],[Price_retail]]-Sales[[#This Row],[Price_current]])/Sales[[#This Row],[Price_retail]]</f>
        <v>0.36513157894736836</v>
      </c>
      <c r="W394" s="3" t="str" cm="1">
        <f t="array" ref="W39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395" spans="1:23" x14ac:dyDescent="0.35">
      <c r="A395" s="2" t="s">
        <v>1515</v>
      </c>
      <c r="B395" s="2" t="s">
        <v>1516</v>
      </c>
      <c r="C395" s="2" t="s">
        <v>65</v>
      </c>
      <c r="D395" s="2" t="s">
        <v>814</v>
      </c>
      <c r="E395" s="2" t="s">
        <v>4</v>
      </c>
      <c r="F395" s="2" t="s">
        <v>5</v>
      </c>
      <c r="G395" s="2" t="s">
        <v>121</v>
      </c>
      <c r="H395" s="2" t="s">
        <v>418</v>
      </c>
      <c r="I395" s="2" t="s">
        <v>3393</v>
      </c>
      <c r="J395" s="3">
        <v>17.43</v>
      </c>
      <c r="K395" s="3">
        <v>17.43</v>
      </c>
      <c r="L395" s="2" t="s">
        <v>3391</v>
      </c>
      <c r="M395" s="2" t="s">
        <v>9</v>
      </c>
      <c r="N395" s="3">
        <v>209</v>
      </c>
      <c r="O395" s="2" t="s">
        <v>10</v>
      </c>
      <c r="P395" s="2" t="s">
        <v>44</v>
      </c>
      <c r="Q395" s="3"/>
      <c r="R395" s="3"/>
      <c r="S395" s="2" t="s">
        <v>12</v>
      </c>
      <c r="T395" s="4">
        <v>44955</v>
      </c>
      <c r="U395" s="2" t="s">
        <v>1517</v>
      </c>
      <c r="V395" s="6">
        <f>(Sales[[#This Row],[Price_retail]]-Sales[[#This Row],[Price_current]])/Sales[[#This Row],[Price_retail]]</f>
        <v>0</v>
      </c>
      <c r="W395" s="3" t="str" cm="1">
        <f t="array" ref="W39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96" spans="1:23" x14ac:dyDescent="0.35">
      <c r="A396" s="2" t="s">
        <v>1518</v>
      </c>
      <c r="B396" s="2" t="s">
        <v>1519</v>
      </c>
      <c r="C396" s="2" t="s">
        <v>999</v>
      </c>
      <c r="D396" s="2" t="s">
        <v>490</v>
      </c>
      <c r="E396" s="2" t="s">
        <v>4</v>
      </c>
      <c r="F396" s="2" t="s">
        <v>17</v>
      </c>
      <c r="G396" s="2" t="s">
        <v>67</v>
      </c>
      <c r="H396" s="2" t="s">
        <v>185</v>
      </c>
      <c r="I396" s="2" t="s">
        <v>3390</v>
      </c>
      <c r="J396" s="3">
        <v>17.309999999999999</v>
      </c>
      <c r="K396" s="3">
        <v>17.309999999999999</v>
      </c>
      <c r="L396" s="2" t="s">
        <v>3391</v>
      </c>
      <c r="M396" s="2" t="s">
        <v>9</v>
      </c>
      <c r="N396" s="3">
        <v>669</v>
      </c>
      <c r="O396" s="2" t="s">
        <v>69</v>
      </c>
      <c r="P396" s="2" t="s">
        <v>288</v>
      </c>
      <c r="Q396" s="3"/>
      <c r="R396" s="3"/>
      <c r="S396" s="2" t="s">
        <v>21</v>
      </c>
      <c r="T396" s="4">
        <v>44955</v>
      </c>
      <c r="U396" s="2" t="s">
        <v>1520</v>
      </c>
      <c r="V396" s="6">
        <f>(Sales[[#This Row],[Price_retail]]-Sales[[#This Row],[Price_current]])/Sales[[#This Row],[Price_retail]]</f>
        <v>0</v>
      </c>
      <c r="W396" s="3" t="str" cm="1">
        <f t="array" ref="W39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97" spans="1:23" x14ac:dyDescent="0.35">
      <c r="A397" s="2" t="s">
        <v>1521</v>
      </c>
      <c r="B397" s="2" t="s">
        <v>1522</v>
      </c>
      <c r="C397" s="2" t="s">
        <v>65</v>
      </c>
      <c r="D397" s="2" t="s">
        <v>1523</v>
      </c>
      <c r="E397" s="2" t="s">
        <v>4</v>
      </c>
      <c r="F397" s="2" t="s">
        <v>17</v>
      </c>
      <c r="G397" s="2" t="s">
        <v>27</v>
      </c>
      <c r="H397" s="2" t="s">
        <v>333</v>
      </c>
      <c r="I397" s="2" t="s">
        <v>3393</v>
      </c>
      <c r="J397" s="3">
        <v>17.149999999999999</v>
      </c>
      <c r="K397" s="3">
        <v>13.93</v>
      </c>
      <c r="L397" s="2" t="s">
        <v>8</v>
      </c>
      <c r="M397" s="2" t="s">
        <v>9</v>
      </c>
      <c r="N397" s="3">
        <v>246</v>
      </c>
      <c r="O397" s="2" t="s">
        <v>3392</v>
      </c>
      <c r="P397" s="2" t="s">
        <v>44</v>
      </c>
      <c r="Q397" s="3"/>
      <c r="R397" s="3"/>
      <c r="S397" s="2" t="s">
        <v>12</v>
      </c>
      <c r="T397" s="4">
        <v>44955</v>
      </c>
      <c r="U397" s="2" t="s">
        <v>1524</v>
      </c>
      <c r="V397" s="6">
        <f>(Sales[[#This Row],[Price_retail]]-Sales[[#This Row],[Price_current]])/Sales[[#This Row],[Price_retail]]</f>
        <v>0.18775510204081627</v>
      </c>
      <c r="W397" s="3" t="str" cm="1">
        <f t="array" ref="W397">_xlfn.IFS(Sales[[#This Row],[Discount]]=0%,"No Discount",Sales[[#This Row],[Discount]]&lt;=20%,"Light",Sales[[#This Row],[Discount]]&lt;=50%,"Moderate",Sales[[#This Row],[Discount]]&lt;=80%,"High",
TRUE,"Very High")</f>
        <v>Light</v>
      </c>
    </row>
    <row r="398" spans="1:23" x14ac:dyDescent="0.35">
      <c r="A398" s="2" t="s">
        <v>1525</v>
      </c>
      <c r="B398" s="2" t="s">
        <v>1526</v>
      </c>
      <c r="C398" s="2" t="s">
        <v>999</v>
      </c>
      <c r="D398" s="2" t="s">
        <v>621</v>
      </c>
      <c r="E398" s="2" t="s">
        <v>4</v>
      </c>
      <c r="F398" s="2" t="s">
        <v>17</v>
      </c>
      <c r="G398" s="2" t="s">
        <v>50</v>
      </c>
      <c r="H398" s="2" t="s">
        <v>68</v>
      </c>
      <c r="I398" s="2" t="s">
        <v>3395</v>
      </c>
      <c r="J398" s="3">
        <v>12.54</v>
      </c>
      <c r="K398" s="3">
        <v>12.54</v>
      </c>
      <c r="L398" s="2" t="s">
        <v>3391</v>
      </c>
      <c r="M398" s="2" t="s">
        <v>9</v>
      </c>
      <c r="N398" s="3">
        <v>917</v>
      </c>
      <c r="O398" s="2" t="s">
        <v>3392</v>
      </c>
      <c r="P398" s="2" t="s">
        <v>169</v>
      </c>
      <c r="Q398" s="3"/>
      <c r="R398" s="3"/>
      <c r="S398" s="2" t="s">
        <v>21</v>
      </c>
      <c r="T398" s="4">
        <v>44955</v>
      </c>
      <c r="U398" s="2" t="s">
        <v>1527</v>
      </c>
      <c r="V398" s="6">
        <f>(Sales[[#This Row],[Price_retail]]-Sales[[#This Row],[Price_current]])/Sales[[#This Row],[Price_retail]]</f>
        <v>0</v>
      </c>
      <c r="W398" s="3" t="str" cm="1">
        <f t="array" ref="W39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399" spans="1:23" x14ac:dyDescent="0.35">
      <c r="A399" s="2" t="s">
        <v>1528</v>
      </c>
      <c r="B399" s="2" t="s">
        <v>1529</v>
      </c>
      <c r="C399" s="2" t="s">
        <v>1154</v>
      </c>
      <c r="D399" s="2" t="s">
        <v>653</v>
      </c>
      <c r="E399" s="2" t="s">
        <v>4</v>
      </c>
      <c r="F399" s="2" t="s">
        <v>17</v>
      </c>
      <c r="G399" s="2" t="s">
        <v>27</v>
      </c>
      <c r="H399" s="2" t="s">
        <v>110</v>
      </c>
      <c r="I399" s="2" t="s">
        <v>3393</v>
      </c>
      <c r="J399" s="3">
        <v>18.239999999999998</v>
      </c>
      <c r="K399" s="3">
        <v>18.239999999999998</v>
      </c>
      <c r="L399" s="2" t="s">
        <v>3391</v>
      </c>
      <c r="M399" s="2" t="s">
        <v>9</v>
      </c>
      <c r="N399" s="3">
        <v>94</v>
      </c>
      <c r="O399" s="2" t="s">
        <v>43</v>
      </c>
      <c r="P399" s="2" t="s">
        <v>61</v>
      </c>
      <c r="Q399" s="3"/>
      <c r="R399" s="3"/>
      <c r="S399" s="2" t="s">
        <v>12</v>
      </c>
      <c r="T399" s="4">
        <v>44955</v>
      </c>
      <c r="U399" s="2" t="s">
        <v>1530</v>
      </c>
      <c r="V399" s="6">
        <f>(Sales[[#This Row],[Price_retail]]-Sales[[#This Row],[Price_current]])/Sales[[#This Row],[Price_retail]]</f>
        <v>0</v>
      </c>
      <c r="W399" s="3" t="str" cm="1">
        <f t="array" ref="W39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00" spans="1:23" x14ac:dyDescent="0.35">
      <c r="A400" s="2" t="s">
        <v>1531</v>
      </c>
      <c r="B400" s="2" t="s">
        <v>1532</v>
      </c>
      <c r="C400" s="2" t="s">
        <v>242</v>
      </c>
      <c r="D400" s="2" t="s">
        <v>450</v>
      </c>
      <c r="E400" s="2" t="s">
        <v>4</v>
      </c>
      <c r="F400" s="2" t="s">
        <v>5</v>
      </c>
      <c r="G400" s="2" t="s">
        <v>6</v>
      </c>
      <c r="H400" s="2" t="s">
        <v>59</v>
      </c>
      <c r="I400" s="2" t="s">
        <v>3393</v>
      </c>
      <c r="J400" s="3">
        <v>21.98</v>
      </c>
      <c r="K400" s="3">
        <v>16.100000000000001</v>
      </c>
      <c r="L400" s="2" t="s">
        <v>8</v>
      </c>
      <c r="M400" s="2" t="s">
        <v>9</v>
      </c>
      <c r="N400" s="3">
        <v>998</v>
      </c>
      <c r="O400" s="2" t="s">
        <v>302</v>
      </c>
      <c r="P400" s="2" t="s">
        <v>328</v>
      </c>
      <c r="Q400" s="3"/>
      <c r="R400" s="3"/>
      <c r="S400" s="2" t="s">
        <v>12</v>
      </c>
      <c r="T400" s="4">
        <v>44955</v>
      </c>
      <c r="U400" s="2" t="s">
        <v>1533</v>
      </c>
      <c r="V400" s="6">
        <f>(Sales[[#This Row],[Price_retail]]-Sales[[#This Row],[Price_current]])/Sales[[#This Row],[Price_retail]]</f>
        <v>0.26751592356687892</v>
      </c>
      <c r="W400" s="3" t="str" cm="1">
        <f t="array" ref="W40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01" spans="1:23" x14ac:dyDescent="0.35">
      <c r="A401" s="2" t="s">
        <v>1534</v>
      </c>
      <c r="B401" s="2" t="s">
        <v>1535</v>
      </c>
      <c r="C401" s="2" t="s">
        <v>65</v>
      </c>
      <c r="D401" s="2" t="s">
        <v>557</v>
      </c>
      <c r="E401" s="2" t="s">
        <v>4</v>
      </c>
      <c r="F401" s="2" t="s">
        <v>5</v>
      </c>
      <c r="G401" s="2" t="s">
        <v>82</v>
      </c>
      <c r="H401" s="2"/>
      <c r="I401" s="2" t="s">
        <v>3393</v>
      </c>
      <c r="J401" s="3">
        <v>16.899999999999999</v>
      </c>
      <c r="K401" s="3">
        <v>16.899999999999999</v>
      </c>
      <c r="L401" s="2" t="s">
        <v>3391</v>
      </c>
      <c r="M401" s="2" t="s">
        <v>9</v>
      </c>
      <c r="N401" s="3">
        <v>619</v>
      </c>
      <c r="O401" s="2" t="s">
        <v>91</v>
      </c>
      <c r="P401" s="2" t="s">
        <v>92</v>
      </c>
      <c r="Q401" s="3"/>
      <c r="R401" s="3"/>
      <c r="S401" s="2" t="s">
        <v>21</v>
      </c>
      <c r="T401" s="4">
        <v>44955</v>
      </c>
      <c r="U401" s="2" t="s">
        <v>1536</v>
      </c>
      <c r="V401" s="6">
        <f>(Sales[[#This Row],[Price_retail]]-Sales[[#This Row],[Price_current]])/Sales[[#This Row],[Price_retail]]</f>
        <v>0</v>
      </c>
      <c r="W401" s="3" t="str" cm="1">
        <f t="array" ref="W40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02" spans="1:23" x14ac:dyDescent="0.35">
      <c r="A402" s="2" t="s">
        <v>1537</v>
      </c>
      <c r="B402" s="2" t="s">
        <v>1538</v>
      </c>
      <c r="C402" s="2" t="s">
        <v>102</v>
      </c>
      <c r="D402" s="2" t="s">
        <v>586</v>
      </c>
      <c r="E402" s="2" t="s">
        <v>4</v>
      </c>
      <c r="F402" s="2" t="s">
        <v>5</v>
      </c>
      <c r="G402" s="2" t="s">
        <v>82</v>
      </c>
      <c r="H402" s="2" t="s">
        <v>83</v>
      </c>
      <c r="I402" s="2" t="s">
        <v>3393</v>
      </c>
      <c r="J402" s="3">
        <v>20.66</v>
      </c>
      <c r="K402" s="3">
        <v>20.66</v>
      </c>
      <c r="L402" s="2" t="s">
        <v>3391</v>
      </c>
      <c r="M402" s="2" t="s">
        <v>9</v>
      </c>
      <c r="N402" s="3">
        <v>612</v>
      </c>
      <c r="O402" s="2" t="s">
        <v>69</v>
      </c>
      <c r="P402" s="2" t="s">
        <v>238</v>
      </c>
      <c r="Q402" s="3"/>
      <c r="R402" s="3"/>
      <c r="S402" s="2" t="s">
        <v>21</v>
      </c>
      <c r="T402" s="4">
        <v>44955</v>
      </c>
      <c r="U402" s="2" t="s">
        <v>1539</v>
      </c>
      <c r="V402" s="6">
        <f>(Sales[[#This Row],[Price_retail]]-Sales[[#This Row],[Price_current]])/Sales[[#This Row],[Price_retail]]</f>
        <v>0</v>
      </c>
      <c r="W402" s="3" t="str" cm="1">
        <f t="array" ref="W40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03" spans="1:23" x14ac:dyDescent="0.35">
      <c r="A403" s="2" t="s">
        <v>1540</v>
      </c>
      <c r="B403" s="2" t="s">
        <v>1541</v>
      </c>
      <c r="C403" s="2" t="s">
        <v>1542</v>
      </c>
      <c r="D403" s="2" t="s">
        <v>1206</v>
      </c>
      <c r="E403" s="2" t="s">
        <v>4</v>
      </c>
      <c r="F403" s="2" t="s">
        <v>17</v>
      </c>
      <c r="G403" s="2" t="s">
        <v>27</v>
      </c>
      <c r="H403" s="2"/>
      <c r="I403" s="2" t="s">
        <v>3393</v>
      </c>
      <c r="J403" s="3">
        <v>26.97</v>
      </c>
      <c r="K403" s="3">
        <v>16.239999999999998</v>
      </c>
      <c r="L403" s="2" t="s">
        <v>8</v>
      </c>
      <c r="M403" s="2" t="s">
        <v>9</v>
      </c>
      <c r="N403" s="3">
        <v>841</v>
      </c>
      <c r="O403" s="2" t="s">
        <v>91</v>
      </c>
      <c r="P403" s="2" t="s">
        <v>192</v>
      </c>
      <c r="Q403" s="3"/>
      <c r="R403" s="3"/>
      <c r="S403" s="2" t="s">
        <v>21</v>
      </c>
      <c r="T403" s="4">
        <v>44955</v>
      </c>
      <c r="U403" s="2" t="s">
        <v>1543</v>
      </c>
      <c r="V403" s="6">
        <f>(Sales[[#This Row],[Price_retail]]-Sales[[#This Row],[Price_current]])/Sales[[#This Row],[Price_retail]]</f>
        <v>0.39784946236559143</v>
      </c>
      <c r="W403" s="3" t="str" cm="1">
        <f t="array" ref="W40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04" spans="1:23" x14ac:dyDescent="0.35">
      <c r="A404" s="2" t="s">
        <v>1544</v>
      </c>
      <c r="B404" s="2" t="s">
        <v>1545</v>
      </c>
      <c r="C404" s="2" t="s">
        <v>1402</v>
      </c>
      <c r="D404" s="2" t="s">
        <v>272</v>
      </c>
      <c r="E404" s="2" t="s">
        <v>4</v>
      </c>
      <c r="F404" s="2" t="s">
        <v>5</v>
      </c>
      <c r="G404" s="2" t="s">
        <v>82</v>
      </c>
      <c r="H404" s="2" t="s">
        <v>51</v>
      </c>
      <c r="I404" s="2" t="s">
        <v>3390</v>
      </c>
      <c r="J404" s="3">
        <v>8.99</v>
      </c>
      <c r="K404" s="3">
        <v>5.26</v>
      </c>
      <c r="L404" s="2" t="s">
        <v>8</v>
      </c>
      <c r="M404" s="2" t="s">
        <v>9</v>
      </c>
      <c r="N404" s="3">
        <v>775</v>
      </c>
      <c r="O404" s="2" t="s">
        <v>75</v>
      </c>
      <c r="P404" s="2" t="s">
        <v>76</v>
      </c>
      <c r="Q404" s="3"/>
      <c r="R404" s="3"/>
      <c r="S404" s="2" t="s">
        <v>12</v>
      </c>
      <c r="T404" s="4">
        <v>44955</v>
      </c>
      <c r="U404" s="2" t="s">
        <v>1546</v>
      </c>
      <c r="V404" s="6">
        <f>(Sales[[#This Row],[Price_retail]]-Sales[[#This Row],[Price_current]])/Sales[[#This Row],[Price_retail]]</f>
        <v>0.41490545050055622</v>
      </c>
      <c r="W404" s="3" t="str" cm="1">
        <f t="array" ref="W40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05" spans="1:23" x14ac:dyDescent="0.35">
      <c r="A405" s="2" t="s">
        <v>1547</v>
      </c>
      <c r="B405" s="2" t="s">
        <v>1548</v>
      </c>
      <c r="C405" s="2" t="s">
        <v>1549</v>
      </c>
      <c r="D405" s="2" t="s">
        <v>474</v>
      </c>
      <c r="E405" s="2" t="s">
        <v>4</v>
      </c>
      <c r="F405" s="2" t="s">
        <v>17</v>
      </c>
      <c r="G405" s="2" t="s">
        <v>27</v>
      </c>
      <c r="H405" s="2" t="s">
        <v>83</v>
      </c>
      <c r="I405" s="2" t="s">
        <v>3390</v>
      </c>
      <c r="J405" s="3">
        <v>26.28</v>
      </c>
      <c r="K405" s="3">
        <v>26.28</v>
      </c>
      <c r="L405" s="2" t="s">
        <v>3391</v>
      </c>
      <c r="M405" s="2" t="s">
        <v>9</v>
      </c>
      <c r="N405" s="3">
        <v>969</v>
      </c>
      <c r="O405" s="2" t="s">
        <v>36</v>
      </c>
      <c r="P405" s="2" t="s">
        <v>70</v>
      </c>
      <c r="Q405" s="3"/>
      <c r="R405" s="3"/>
      <c r="S405" s="2" t="s">
        <v>21</v>
      </c>
      <c r="T405" s="4">
        <v>44955</v>
      </c>
      <c r="U405" s="2" t="s">
        <v>1550</v>
      </c>
      <c r="V405" s="6">
        <f>(Sales[[#This Row],[Price_retail]]-Sales[[#This Row],[Price_current]])/Sales[[#This Row],[Price_retail]]</f>
        <v>0</v>
      </c>
      <c r="W405" s="3" t="str" cm="1">
        <f t="array" ref="W40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06" spans="1:23" x14ac:dyDescent="0.35">
      <c r="A406" s="2" t="s">
        <v>1551</v>
      </c>
      <c r="B406" s="2" t="s">
        <v>1552</v>
      </c>
      <c r="C406" s="2" t="s">
        <v>412</v>
      </c>
      <c r="D406" s="2" t="s">
        <v>674</v>
      </c>
      <c r="E406" s="2" t="s">
        <v>4</v>
      </c>
      <c r="F406" s="2" t="s">
        <v>5</v>
      </c>
      <c r="G406" s="2" t="s">
        <v>82</v>
      </c>
      <c r="H406" s="2" t="s">
        <v>333</v>
      </c>
      <c r="I406" s="2" t="s">
        <v>3393</v>
      </c>
      <c r="J406" s="3">
        <v>18.88</v>
      </c>
      <c r="K406" s="3">
        <v>18.88</v>
      </c>
      <c r="L406" s="2" t="s">
        <v>3391</v>
      </c>
      <c r="M406" s="2" t="s">
        <v>9</v>
      </c>
      <c r="N406" s="3">
        <v>946</v>
      </c>
      <c r="O406" s="2" t="s">
        <v>140</v>
      </c>
      <c r="P406" s="2" t="s">
        <v>84</v>
      </c>
      <c r="Q406" s="3"/>
      <c r="R406" s="3"/>
      <c r="S406" s="2" t="s">
        <v>21</v>
      </c>
      <c r="T406" s="4">
        <v>44955</v>
      </c>
      <c r="U406" s="2" t="s">
        <v>1553</v>
      </c>
      <c r="V406" s="6">
        <f>(Sales[[#This Row],[Price_retail]]-Sales[[#This Row],[Price_current]])/Sales[[#This Row],[Price_retail]]</f>
        <v>0</v>
      </c>
      <c r="W406" s="3" t="str" cm="1">
        <f t="array" ref="W4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07" spans="1:23" x14ac:dyDescent="0.35">
      <c r="A407" s="2" t="s">
        <v>1554</v>
      </c>
      <c r="B407" s="2" t="s">
        <v>1555</v>
      </c>
      <c r="C407" s="2" t="s">
        <v>3394</v>
      </c>
      <c r="D407" s="2" t="s">
        <v>1165</v>
      </c>
      <c r="E407" s="2" t="s">
        <v>4</v>
      </c>
      <c r="F407" s="2" t="s">
        <v>17</v>
      </c>
      <c r="G407" s="2" t="s">
        <v>67</v>
      </c>
      <c r="H407" s="2"/>
      <c r="I407" s="2" t="s">
        <v>3390</v>
      </c>
      <c r="J407" s="3">
        <v>8.99</v>
      </c>
      <c r="K407" s="3">
        <v>5.0999999999999996</v>
      </c>
      <c r="L407" s="2" t="s">
        <v>8</v>
      </c>
      <c r="M407" s="2" t="s">
        <v>9</v>
      </c>
      <c r="N407" s="3">
        <v>45</v>
      </c>
      <c r="O407" s="2" t="s">
        <v>52</v>
      </c>
      <c r="P407" s="2" t="s">
        <v>177</v>
      </c>
      <c r="Q407" s="3"/>
      <c r="R407" s="3"/>
      <c r="S407" s="2" t="s">
        <v>21</v>
      </c>
      <c r="T407" s="4">
        <v>44955</v>
      </c>
      <c r="U407" s="2" t="s">
        <v>1556</v>
      </c>
      <c r="V407" s="6">
        <f>(Sales[[#This Row],[Price_retail]]-Sales[[#This Row],[Price_current]])/Sales[[#This Row],[Price_retail]]</f>
        <v>0.4327030033370412</v>
      </c>
      <c r="W407" s="3" t="str" cm="1">
        <f t="array" ref="W40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08" spans="1:23" x14ac:dyDescent="0.35">
      <c r="A408" s="2" t="s">
        <v>1557</v>
      </c>
      <c r="B408" s="2" t="s">
        <v>1558</v>
      </c>
      <c r="C408" s="2" t="s">
        <v>561</v>
      </c>
      <c r="D408" s="2" t="s">
        <v>1285</v>
      </c>
      <c r="E408" s="2" t="s">
        <v>4</v>
      </c>
      <c r="F408" s="2" t="s">
        <v>17</v>
      </c>
      <c r="G408" s="2" t="s">
        <v>27</v>
      </c>
      <c r="H408" s="2"/>
      <c r="I408" s="2" t="s">
        <v>3393</v>
      </c>
      <c r="J408" s="3">
        <v>24.32</v>
      </c>
      <c r="K408" s="3">
        <v>24.32</v>
      </c>
      <c r="L408" s="2" t="s">
        <v>3391</v>
      </c>
      <c r="M408" s="2" t="s">
        <v>9</v>
      </c>
      <c r="N408" s="3">
        <v>770</v>
      </c>
      <c r="O408" s="2" t="s">
        <v>98</v>
      </c>
      <c r="P408" s="2" t="s">
        <v>553</v>
      </c>
      <c r="Q408" s="3"/>
      <c r="R408" s="3"/>
      <c r="S408" s="2" t="s">
        <v>21</v>
      </c>
      <c r="T408" s="4">
        <v>44955</v>
      </c>
      <c r="U408" s="2" t="s">
        <v>1559</v>
      </c>
      <c r="V408" s="6">
        <f>(Sales[[#This Row],[Price_retail]]-Sales[[#This Row],[Price_current]])/Sales[[#This Row],[Price_retail]]</f>
        <v>0</v>
      </c>
      <c r="W408" s="3" t="str" cm="1">
        <f t="array" ref="W40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09" spans="1:23" x14ac:dyDescent="0.35">
      <c r="A409" s="2" t="s">
        <v>1560</v>
      </c>
      <c r="B409" s="2" t="s">
        <v>1561</v>
      </c>
      <c r="C409" s="2" t="s">
        <v>3433</v>
      </c>
      <c r="D409" s="2" t="s">
        <v>138</v>
      </c>
      <c r="E409" s="2" t="s">
        <v>4</v>
      </c>
      <c r="F409" s="2" t="s">
        <v>5</v>
      </c>
      <c r="G409" s="2" t="s">
        <v>121</v>
      </c>
      <c r="H409" s="2" t="s">
        <v>139</v>
      </c>
      <c r="I409" s="2" t="s">
        <v>3393</v>
      </c>
      <c r="J409" s="3">
        <v>12.57</v>
      </c>
      <c r="K409" s="3">
        <v>12.57</v>
      </c>
      <c r="L409" s="2" t="s">
        <v>3391</v>
      </c>
      <c r="M409" s="2" t="s">
        <v>9</v>
      </c>
      <c r="N409" s="3">
        <v>822</v>
      </c>
      <c r="O409" s="2" t="s">
        <v>69</v>
      </c>
      <c r="P409" s="2" t="s">
        <v>192</v>
      </c>
      <c r="Q409" s="3"/>
      <c r="R409" s="3"/>
      <c r="S409" s="2" t="s">
        <v>21</v>
      </c>
      <c r="T409" s="4">
        <v>44955</v>
      </c>
      <c r="U409" s="2" t="s">
        <v>1562</v>
      </c>
      <c r="V409" s="6">
        <f>(Sales[[#This Row],[Price_retail]]-Sales[[#This Row],[Price_current]])/Sales[[#This Row],[Price_retail]]</f>
        <v>0</v>
      </c>
      <c r="W409" s="3" t="str" cm="1">
        <f t="array" ref="W40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10" spans="1:23" x14ac:dyDescent="0.35">
      <c r="A410" s="2" t="s">
        <v>1563</v>
      </c>
      <c r="B410" s="2" t="s">
        <v>1564</v>
      </c>
      <c r="C410" s="2" t="s">
        <v>3394</v>
      </c>
      <c r="D410" s="2" t="s">
        <v>16</v>
      </c>
      <c r="E410" s="2" t="s">
        <v>4</v>
      </c>
      <c r="F410" s="2" t="s">
        <v>17</v>
      </c>
      <c r="G410" s="2" t="s">
        <v>67</v>
      </c>
      <c r="H410" s="2"/>
      <c r="I410" s="2" t="s">
        <v>3393</v>
      </c>
      <c r="J410" s="3">
        <v>13.54</v>
      </c>
      <c r="K410" s="3">
        <v>10.78</v>
      </c>
      <c r="L410" s="2" t="s">
        <v>8</v>
      </c>
      <c r="M410" s="2" t="s">
        <v>9</v>
      </c>
      <c r="N410" s="3">
        <v>372</v>
      </c>
      <c r="O410" s="2" t="s">
        <v>69</v>
      </c>
      <c r="P410" s="2" t="s">
        <v>76</v>
      </c>
      <c r="Q410" s="3"/>
      <c r="R410" s="3"/>
      <c r="S410" s="2" t="s">
        <v>21</v>
      </c>
      <c r="T410" s="4">
        <v>44955</v>
      </c>
      <c r="U410" s="2" t="s">
        <v>1565</v>
      </c>
      <c r="V410" s="6">
        <f>(Sales[[#This Row],[Price_retail]]-Sales[[#This Row],[Price_current]])/Sales[[#This Row],[Price_retail]]</f>
        <v>0.20384047267355981</v>
      </c>
      <c r="W410" s="3" t="str" cm="1">
        <f t="array" ref="W41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11" spans="1:23" x14ac:dyDescent="0.35">
      <c r="A411" s="2" t="s">
        <v>1566</v>
      </c>
      <c r="B411" s="2" t="s">
        <v>1567</v>
      </c>
      <c r="C411" s="2" t="s">
        <v>3413</v>
      </c>
      <c r="D411" s="2" t="s">
        <v>1482</v>
      </c>
      <c r="E411" s="2" t="s">
        <v>4</v>
      </c>
      <c r="F411" s="2" t="s">
        <v>17</v>
      </c>
      <c r="G411" s="2" t="s">
        <v>50</v>
      </c>
      <c r="H411" s="2" t="s">
        <v>185</v>
      </c>
      <c r="I411" s="2" t="s">
        <v>3390</v>
      </c>
      <c r="J411" s="3">
        <v>11.83</v>
      </c>
      <c r="K411" s="3">
        <v>9.6300000000000008</v>
      </c>
      <c r="L411" s="2" t="s">
        <v>8</v>
      </c>
      <c r="M411" s="2" t="s">
        <v>9</v>
      </c>
      <c r="N411" s="3">
        <v>577</v>
      </c>
      <c r="O411" s="2" t="s">
        <v>359</v>
      </c>
      <c r="P411" s="2" t="s">
        <v>192</v>
      </c>
      <c r="Q411" s="3"/>
      <c r="R411" s="3"/>
      <c r="S411" s="2" t="s">
        <v>21</v>
      </c>
      <c r="T411" s="4">
        <v>44955</v>
      </c>
      <c r="U411" s="2" t="s">
        <v>1568</v>
      </c>
      <c r="V411" s="6">
        <f>(Sales[[#This Row],[Price_retail]]-Sales[[#This Row],[Price_current]])/Sales[[#This Row],[Price_retail]]</f>
        <v>0.18596787827557051</v>
      </c>
      <c r="W411" s="3" t="str" cm="1">
        <f t="array" ref="W411">_xlfn.IFS(Sales[[#This Row],[Discount]]=0%,"No Discount",Sales[[#This Row],[Discount]]&lt;=20%,"Light",Sales[[#This Row],[Discount]]&lt;=50%,"Moderate",Sales[[#This Row],[Discount]]&lt;=80%,"High",
TRUE,"Very High")</f>
        <v>Light</v>
      </c>
    </row>
    <row r="412" spans="1:23" x14ac:dyDescent="0.35">
      <c r="A412" s="2" t="s">
        <v>1569</v>
      </c>
      <c r="B412" s="2" t="s">
        <v>1570</v>
      </c>
      <c r="C412" s="2" t="s">
        <v>41</v>
      </c>
      <c r="D412" s="2" t="s">
        <v>66</v>
      </c>
      <c r="E412" s="2" t="s">
        <v>4</v>
      </c>
      <c r="F412" s="2" t="s">
        <v>17</v>
      </c>
      <c r="G412" s="2" t="s">
        <v>50</v>
      </c>
      <c r="H412" s="2" t="s">
        <v>68</v>
      </c>
      <c r="I412" s="2" t="s">
        <v>3393</v>
      </c>
      <c r="J412" s="3">
        <v>18.47</v>
      </c>
      <c r="K412" s="3">
        <v>18.47</v>
      </c>
      <c r="L412" s="2" t="s">
        <v>3391</v>
      </c>
      <c r="M412" s="2" t="s">
        <v>9</v>
      </c>
      <c r="N412" s="3">
        <v>160</v>
      </c>
      <c r="O412" s="2" t="s">
        <v>29</v>
      </c>
      <c r="P412" s="2" t="s">
        <v>30</v>
      </c>
      <c r="Q412" s="3"/>
      <c r="R412" s="3"/>
      <c r="S412" s="2" t="s">
        <v>21</v>
      </c>
      <c r="T412" s="4">
        <v>44955</v>
      </c>
      <c r="U412" s="2" t="s">
        <v>1571</v>
      </c>
      <c r="V412" s="6">
        <f>(Sales[[#This Row],[Price_retail]]-Sales[[#This Row],[Price_current]])/Sales[[#This Row],[Price_retail]]</f>
        <v>0</v>
      </c>
      <c r="W412" s="3" t="str" cm="1">
        <f t="array" ref="W41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13" spans="1:23" x14ac:dyDescent="0.35">
      <c r="A413" s="2" t="s">
        <v>1572</v>
      </c>
      <c r="B413" s="2" t="s">
        <v>1573</v>
      </c>
      <c r="C413" s="2" t="s">
        <v>1743</v>
      </c>
      <c r="D413" s="2" t="s">
        <v>1574</v>
      </c>
      <c r="E413" s="2" t="s">
        <v>4</v>
      </c>
      <c r="F413" s="2" t="s">
        <v>17</v>
      </c>
      <c r="G413" s="2" t="s">
        <v>50</v>
      </c>
      <c r="H413" s="2" t="s">
        <v>237</v>
      </c>
      <c r="I413" s="2" t="s">
        <v>3390</v>
      </c>
      <c r="J413" s="3">
        <v>10.16</v>
      </c>
      <c r="K413" s="3">
        <v>7.04</v>
      </c>
      <c r="L413" s="2" t="s">
        <v>8</v>
      </c>
      <c r="M413" s="2" t="s">
        <v>9</v>
      </c>
      <c r="N413" s="3">
        <v>668</v>
      </c>
      <c r="O413" s="2" t="s">
        <v>359</v>
      </c>
      <c r="P413" s="2" t="s">
        <v>221</v>
      </c>
      <c r="Q413" s="3"/>
      <c r="R413" s="3"/>
      <c r="S413" s="2" t="s">
        <v>21</v>
      </c>
      <c r="T413" s="4">
        <v>44955</v>
      </c>
      <c r="U413" s="2" t="s">
        <v>1575</v>
      </c>
      <c r="V413" s="6">
        <f>(Sales[[#This Row],[Price_retail]]-Sales[[#This Row],[Price_current]])/Sales[[#This Row],[Price_retail]]</f>
        <v>0.30708661417322836</v>
      </c>
      <c r="W413" s="3" t="str" cm="1">
        <f t="array" ref="W41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14" spans="1:23" x14ac:dyDescent="0.35">
      <c r="A414" s="2" t="s">
        <v>1576</v>
      </c>
      <c r="B414" s="2" t="s">
        <v>1577</v>
      </c>
      <c r="C414" s="2" t="s">
        <v>25</v>
      </c>
      <c r="D414" s="2" t="s">
        <v>1238</v>
      </c>
      <c r="E414" s="2" t="s">
        <v>4</v>
      </c>
      <c r="F414" s="2" t="s">
        <v>5</v>
      </c>
      <c r="G414" s="2" t="s">
        <v>6</v>
      </c>
      <c r="H414" s="2" t="s">
        <v>168</v>
      </c>
      <c r="I414" s="2" t="s">
        <v>3390</v>
      </c>
      <c r="J414" s="3">
        <v>25.68</v>
      </c>
      <c r="K414" s="3">
        <v>12.77</v>
      </c>
      <c r="L414" s="2" t="s">
        <v>8</v>
      </c>
      <c r="M414" s="2" t="s">
        <v>9</v>
      </c>
      <c r="N414" s="3">
        <v>424</v>
      </c>
      <c r="O414" s="2" t="s">
        <v>261</v>
      </c>
      <c r="P414" s="2" t="s">
        <v>419</v>
      </c>
      <c r="Q414" s="3"/>
      <c r="R414" s="3"/>
      <c r="S414" s="2" t="s">
        <v>21</v>
      </c>
      <c r="T414" s="4">
        <v>44955</v>
      </c>
      <c r="U414" s="2" t="s">
        <v>1578</v>
      </c>
      <c r="V414" s="6">
        <f>(Sales[[#This Row],[Price_retail]]-Sales[[#This Row],[Price_current]])/Sales[[#This Row],[Price_retail]]</f>
        <v>0.50272585669781933</v>
      </c>
      <c r="W414" s="3" t="str" cm="1">
        <f t="array" ref="W414">_xlfn.IFS(Sales[[#This Row],[Discount]]=0%,"No Discount",Sales[[#This Row],[Discount]]&lt;=20%,"Light",Sales[[#This Row],[Discount]]&lt;=50%,"Moderate",Sales[[#This Row],[Discount]]&lt;=80%,"High",
TRUE,"Very High")</f>
        <v>High</v>
      </c>
    </row>
    <row r="415" spans="1:23" x14ac:dyDescent="0.35">
      <c r="A415" s="2" t="s">
        <v>1579</v>
      </c>
      <c r="B415" s="2" t="s">
        <v>1580</v>
      </c>
      <c r="C415" s="2" t="s">
        <v>1581</v>
      </c>
      <c r="D415" s="2" t="s">
        <v>272</v>
      </c>
      <c r="E415" s="2" t="s">
        <v>4</v>
      </c>
      <c r="F415" s="2" t="s">
        <v>5</v>
      </c>
      <c r="G415" s="2" t="s">
        <v>121</v>
      </c>
      <c r="H415" s="2" t="s">
        <v>51</v>
      </c>
      <c r="I415" s="2" t="s">
        <v>3393</v>
      </c>
      <c r="J415" s="3">
        <v>14.49</v>
      </c>
      <c r="K415" s="3">
        <v>10.91</v>
      </c>
      <c r="L415" s="2" t="s">
        <v>8</v>
      </c>
      <c r="M415" s="2" t="s">
        <v>9</v>
      </c>
      <c r="N415" s="3">
        <v>165</v>
      </c>
      <c r="O415" s="2" t="s">
        <v>69</v>
      </c>
      <c r="P415" s="2" t="s">
        <v>122</v>
      </c>
      <c r="Q415" s="3"/>
      <c r="R415" s="3"/>
      <c r="S415" s="2" t="s">
        <v>21</v>
      </c>
      <c r="T415" s="4">
        <v>44955</v>
      </c>
      <c r="U415" s="2" t="s">
        <v>1582</v>
      </c>
      <c r="V415" s="6">
        <f>(Sales[[#This Row],[Price_retail]]-Sales[[#This Row],[Price_current]])/Sales[[#This Row],[Price_retail]]</f>
        <v>0.24706694271911664</v>
      </c>
      <c r="W415" s="3" t="str" cm="1">
        <f t="array" ref="W41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16" spans="1:23" x14ac:dyDescent="0.35">
      <c r="A416" s="2" t="s">
        <v>1583</v>
      </c>
      <c r="B416" s="2" t="s">
        <v>1584</v>
      </c>
      <c r="C416" s="2" t="s">
        <v>616</v>
      </c>
      <c r="D416" s="2" t="s">
        <v>474</v>
      </c>
      <c r="E416" s="2" t="s">
        <v>4</v>
      </c>
      <c r="F416" s="2" t="s">
        <v>17</v>
      </c>
      <c r="G416" s="2" t="s">
        <v>18</v>
      </c>
      <c r="H416" s="2" t="s">
        <v>83</v>
      </c>
      <c r="I416" s="2" t="s">
        <v>3393</v>
      </c>
      <c r="J416" s="3">
        <v>12.8</v>
      </c>
      <c r="K416" s="3">
        <v>12.8</v>
      </c>
      <c r="L416" s="2" t="s">
        <v>3391</v>
      </c>
      <c r="M416" s="2" t="s">
        <v>9</v>
      </c>
      <c r="N416" s="3">
        <v>239</v>
      </c>
      <c r="O416" s="2" t="s">
        <v>359</v>
      </c>
      <c r="P416" s="2" t="s">
        <v>53</v>
      </c>
      <c r="Q416" s="3"/>
      <c r="R416" s="3"/>
      <c r="S416" s="2" t="s">
        <v>21</v>
      </c>
      <c r="T416" s="4">
        <v>44955</v>
      </c>
      <c r="U416" s="2" t="s">
        <v>1585</v>
      </c>
      <c r="V416" s="6">
        <f>(Sales[[#This Row],[Price_retail]]-Sales[[#This Row],[Price_current]])/Sales[[#This Row],[Price_retail]]</f>
        <v>0</v>
      </c>
      <c r="W416" s="3" t="str" cm="1">
        <f t="array" ref="W41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17" spans="1:23" x14ac:dyDescent="0.35">
      <c r="A417" s="2" t="s">
        <v>1586</v>
      </c>
      <c r="B417" s="2" t="s">
        <v>1587</v>
      </c>
      <c r="C417" s="2" t="s">
        <v>3394</v>
      </c>
      <c r="D417" s="2" t="s">
        <v>537</v>
      </c>
      <c r="E417" s="2" t="s">
        <v>4</v>
      </c>
      <c r="F417" s="2" t="s">
        <v>5</v>
      </c>
      <c r="G417" s="2" t="s">
        <v>6</v>
      </c>
      <c r="H417" s="2" t="s">
        <v>145</v>
      </c>
      <c r="I417" s="2" t="s">
        <v>3393</v>
      </c>
      <c r="J417" s="3">
        <v>23.67</v>
      </c>
      <c r="K417" s="3">
        <v>19.11</v>
      </c>
      <c r="L417" s="2" t="s">
        <v>8</v>
      </c>
      <c r="M417" s="2" t="s">
        <v>9</v>
      </c>
      <c r="N417" s="3">
        <v>285</v>
      </c>
      <c r="O417" s="2" t="s">
        <v>52</v>
      </c>
      <c r="P417" s="2" t="s">
        <v>61</v>
      </c>
      <c r="Q417" s="3"/>
      <c r="R417" s="3"/>
      <c r="S417" s="2" t="s">
        <v>12</v>
      </c>
      <c r="T417" s="4">
        <v>44955</v>
      </c>
      <c r="U417" s="2" t="s">
        <v>1588</v>
      </c>
      <c r="V417" s="6">
        <f>(Sales[[#This Row],[Price_retail]]-Sales[[#This Row],[Price_current]])/Sales[[#This Row],[Price_retail]]</f>
        <v>0.19264892268694558</v>
      </c>
      <c r="W417" s="3" t="str" cm="1">
        <f t="array" ref="W417">_xlfn.IFS(Sales[[#This Row],[Discount]]=0%,"No Discount",Sales[[#This Row],[Discount]]&lt;=20%,"Light",Sales[[#This Row],[Discount]]&lt;=50%,"Moderate",Sales[[#This Row],[Discount]]&lt;=80%,"High",
TRUE,"Very High")</f>
        <v>Light</v>
      </c>
    </row>
    <row r="418" spans="1:23" x14ac:dyDescent="0.35">
      <c r="A418" s="2" t="s">
        <v>1589</v>
      </c>
      <c r="B418" s="2" t="s">
        <v>1590</v>
      </c>
      <c r="C418" s="2" t="s">
        <v>2915</v>
      </c>
      <c r="D418" s="2" t="s">
        <v>581</v>
      </c>
      <c r="E418" s="2" t="s">
        <v>4</v>
      </c>
      <c r="F418" s="2" t="s">
        <v>17</v>
      </c>
      <c r="G418" s="2" t="s">
        <v>67</v>
      </c>
      <c r="H418" s="2" t="s">
        <v>7</v>
      </c>
      <c r="I418" s="2" t="s">
        <v>3390</v>
      </c>
      <c r="J418" s="3">
        <v>13.12</v>
      </c>
      <c r="K418" s="3">
        <v>8.07</v>
      </c>
      <c r="L418" s="2" t="s">
        <v>8</v>
      </c>
      <c r="M418" s="2" t="s">
        <v>9</v>
      </c>
      <c r="N418" s="3">
        <v>868</v>
      </c>
      <c r="O418" s="2" t="s">
        <v>91</v>
      </c>
      <c r="P418" s="2" t="s">
        <v>3392</v>
      </c>
      <c r="Q418" s="3"/>
      <c r="R418" s="3"/>
      <c r="S418" s="2" t="s">
        <v>21</v>
      </c>
      <c r="T418" s="4">
        <v>44955</v>
      </c>
      <c r="U418" s="2" t="s">
        <v>1591</v>
      </c>
      <c r="V418" s="6">
        <f>(Sales[[#This Row],[Price_retail]]-Sales[[#This Row],[Price_current]])/Sales[[#This Row],[Price_retail]]</f>
        <v>0.38490853658536578</v>
      </c>
      <c r="W418" s="3" t="str" cm="1">
        <f t="array" ref="W41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19" spans="1:23" x14ac:dyDescent="0.35">
      <c r="A419" s="2" t="s">
        <v>1592</v>
      </c>
      <c r="B419" s="2" t="s">
        <v>1593</v>
      </c>
      <c r="C419" s="2" t="s">
        <v>1594</v>
      </c>
      <c r="D419" s="2" t="s">
        <v>266</v>
      </c>
      <c r="E419" s="2" t="s">
        <v>4</v>
      </c>
      <c r="F419" s="2" t="s">
        <v>17</v>
      </c>
      <c r="G419" s="2" t="s">
        <v>18</v>
      </c>
      <c r="H419" s="2" t="s">
        <v>237</v>
      </c>
      <c r="I419" s="2" t="s">
        <v>3390</v>
      </c>
      <c r="J419" s="3">
        <v>26.35</v>
      </c>
      <c r="K419" s="3">
        <v>26.35</v>
      </c>
      <c r="L419" s="2" t="s">
        <v>3391</v>
      </c>
      <c r="M419" s="2" t="s">
        <v>9</v>
      </c>
      <c r="N419" s="3">
        <v>383</v>
      </c>
      <c r="O419" s="2" t="s">
        <v>3392</v>
      </c>
      <c r="P419" s="2" t="s">
        <v>30</v>
      </c>
      <c r="Q419" s="3"/>
      <c r="R419" s="3"/>
      <c r="S419" s="2" t="s">
        <v>12</v>
      </c>
      <c r="T419" s="4">
        <v>44955</v>
      </c>
      <c r="U419" s="2" t="s">
        <v>1595</v>
      </c>
      <c r="V419" s="6">
        <f>(Sales[[#This Row],[Price_retail]]-Sales[[#This Row],[Price_current]])/Sales[[#This Row],[Price_retail]]</f>
        <v>0</v>
      </c>
      <c r="W419" s="3" t="str" cm="1">
        <f t="array" ref="W41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20" spans="1:23" x14ac:dyDescent="0.35">
      <c r="A420" s="2" t="s">
        <v>1596</v>
      </c>
      <c r="B420" s="2" t="s">
        <v>1597</v>
      </c>
      <c r="C420" s="2" t="s">
        <v>48</v>
      </c>
      <c r="D420" s="2" t="s">
        <v>1598</v>
      </c>
      <c r="E420" s="2" t="s">
        <v>4</v>
      </c>
      <c r="F420" s="2" t="s">
        <v>5</v>
      </c>
      <c r="G420" s="2" t="s">
        <v>6</v>
      </c>
      <c r="H420" s="2" t="s">
        <v>418</v>
      </c>
      <c r="I420" s="2" t="s">
        <v>3390</v>
      </c>
      <c r="J420" s="3">
        <v>26.81</v>
      </c>
      <c r="K420" s="3">
        <v>15.52</v>
      </c>
      <c r="L420" s="2" t="s">
        <v>8</v>
      </c>
      <c r="M420" s="2" t="s">
        <v>9</v>
      </c>
      <c r="N420" s="3">
        <v>704</v>
      </c>
      <c r="O420" s="2" t="s">
        <v>98</v>
      </c>
      <c r="P420" s="2" t="s">
        <v>192</v>
      </c>
      <c r="Q420" s="3"/>
      <c r="R420" s="3"/>
      <c r="S420" s="2" t="s">
        <v>21</v>
      </c>
      <c r="T420" s="4">
        <v>44955</v>
      </c>
      <c r="U420" s="2" t="s">
        <v>1599</v>
      </c>
      <c r="V420" s="6">
        <f>(Sales[[#This Row],[Price_retail]]-Sales[[#This Row],[Price_current]])/Sales[[#This Row],[Price_retail]]</f>
        <v>0.42111152555016784</v>
      </c>
      <c r="W420" s="3" t="str" cm="1">
        <f t="array" ref="W42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21" spans="1:23" x14ac:dyDescent="0.35">
      <c r="A421" s="2" t="s">
        <v>1600</v>
      </c>
      <c r="B421" s="2" t="s">
        <v>1601</v>
      </c>
      <c r="C421" s="2" t="s">
        <v>3394</v>
      </c>
      <c r="D421" s="2" t="s">
        <v>1602</v>
      </c>
      <c r="E421" s="2" t="s">
        <v>4</v>
      </c>
      <c r="F421" s="2" t="s">
        <v>5</v>
      </c>
      <c r="G421" s="2" t="s">
        <v>82</v>
      </c>
      <c r="H421" s="2" t="s">
        <v>418</v>
      </c>
      <c r="I421" s="2" t="s">
        <v>3390</v>
      </c>
      <c r="J421" s="3">
        <v>8.99</v>
      </c>
      <c r="K421" s="3">
        <v>4.2300000000000004</v>
      </c>
      <c r="L421" s="2" t="s">
        <v>8</v>
      </c>
      <c r="M421" s="2" t="s">
        <v>9</v>
      </c>
      <c r="N421" s="3">
        <v>590</v>
      </c>
      <c r="O421" s="2" t="s">
        <v>43</v>
      </c>
      <c r="P421" s="2" t="s">
        <v>169</v>
      </c>
      <c r="Q421" s="3"/>
      <c r="R421" s="3"/>
      <c r="S421" s="2" t="s">
        <v>21</v>
      </c>
      <c r="T421" s="4">
        <v>44955</v>
      </c>
      <c r="U421" s="2" t="s">
        <v>1603</v>
      </c>
      <c r="V421" s="6">
        <f>(Sales[[#This Row],[Price_retail]]-Sales[[#This Row],[Price_current]])/Sales[[#This Row],[Price_retail]]</f>
        <v>0.52947719688542827</v>
      </c>
      <c r="W421" s="3" t="str" cm="1">
        <f t="array" ref="W421">_xlfn.IFS(Sales[[#This Row],[Discount]]=0%,"No Discount",Sales[[#This Row],[Discount]]&lt;=20%,"Light",Sales[[#This Row],[Discount]]&lt;=50%,"Moderate",Sales[[#This Row],[Discount]]&lt;=80%,"High",
TRUE,"Very High")</f>
        <v>High</v>
      </c>
    </row>
    <row r="422" spans="1:23" x14ac:dyDescent="0.35">
      <c r="A422" s="2" t="s">
        <v>1604</v>
      </c>
      <c r="B422" s="2" t="s">
        <v>1605</v>
      </c>
      <c r="C422" s="2" t="s">
        <v>750</v>
      </c>
      <c r="D422" s="2" t="s">
        <v>725</v>
      </c>
      <c r="E422" s="2" t="s">
        <v>4</v>
      </c>
      <c r="F422" s="2" t="s">
        <v>17</v>
      </c>
      <c r="G422" s="2" t="s">
        <v>18</v>
      </c>
      <c r="H422" s="2" t="s">
        <v>110</v>
      </c>
      <c r="I422" s="2" t="s">
        <v>3393</v>
      </c>
      <c r="J422" s="3">
        <v>28.79</v>
      </c>
      <c r="K422" s="3">
        <v>13.89</v>
      </c>
      <c r="L422" s="2" t="s">
        <v>8</v>
      </c>
      <c r="M422" s="2" t="s">
        <v>9</v>
      </c>
      <c r="N422" s="3">
        <v>920</v>
      </c>
      <c r="O422" s="2" t="s">
        <v>287</v>
      </c>
      <c r="P422" s="2" t="s">
        <v>419</v>
      </c>
      <c r="Q422" s="3"/>
      <c r="R422" s="3"/>
      <c r="S422" s="2" t="s">
        <v>12</v>
      </c>
      <c r="T422" s="4">
        <v>44955</v>
      </c>
      <c r="U422" s="2" t="s">
        <v>1606</v>
      </c>
      <c r="V422" s="6">
        <f>(Sales[[#This Row],[Price_retail]]-Sales[[#This Row],[Price_current]])/Sales[[#This Row],[Price_retail]]</f>
        <v>0.51754081278221598</v>
      </c>
      <c r="W422" s="3" t="str" cm="1">
        <f t="array" ref="W422">_xlfn.IFS(Sales[[#This Row],[Discount]]=0%,"No Discount",Sales[[#This Row],[Discount]]&lt;=20%,"Light",Sales[[#This Row],[Discount]]&lt;=50%,"Moderate",Sales[[#This Row],[Discount]]&lt;=80%,"High",
TRUE,"Very High")</f>
        <v>High</v>
      </c>
    </row>
    <row r="423" spans="1:23" x14ac:dyDescent="0.35">
      <c r="A423" s="2" t="s">
        <v>1607</v>
      </c>
      <c r="B423" s="2" t="s">
        <v>1608</v>
      </c>
      <c r="C423" s="2" t="s">
        <v>3410</v>
      </c>
      <c r="D423" s="2" t="s">
        <v>103</v>
      </c>
      <c r="E423" s="2" t="s">
        <v>4</v>
      </c>
      <c r="F423" s="2" t="s">
        <v>17</v>
      </c>
      <c r="G423" s="2" t="s">
        <v>50</v>
      </c>
      <c r="H423" s="2" t="s">
        <v>19</v>
      </c>
      <c r="I423" s="2" t="s">
        <v>3393</v>
      </c>
      <c r="J423" s="3">
        <v>8.99</v>
      </c>
      <c r="K423" s="3">
        <v>8.99</v>
      </c>
      <c r="L423" s="2" t="s">
        <v>3391</v>
      </c>
      <c r="M423" s="2" t="s">
        <v>9</v>
      </c>
      <c r="N423" s="3">
        <v>87</v>
      </c>
      <c r="O423" s="2" t="s">
        <v>261</v>
      </c>
      <c r="P423" s="2" t="s">
        <v>30</v>
      </c>
      <c r="Q423" s="3"/>
      <c r="R423" s="3"/>
      <c r="S423" s="2" t="s">
        <v>21</v>
      </c>
      <c r="T423" s="4">
        <v>44955</v>
      </c>
      <c r="U423" s="2" t="s">
        <v>1609</v>
      </c>
      <c r="V423" s="6">
        <f>(Sales[[#This Row],[Price_retail]]-Sales[[#This Row],[Price_current]])/Sales[[#This Row],[Price_retail]]</f>
        <v>0</v>
      </c>
      <c r="W423" s="3" t="str" cm="1">
        <f t="array" ref="W42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24" spans="1:23" x14ac:dyDescent="0.35">
      <c r="A424" s="2" t="s">
        <v>1610</v>
      </c>
      <c r="B424" s="2" t="s">
        <v>1611</v>
      </c>
      <c r="C424" s="2" t="s">
        <v>2915</v>
      </c>
      <c r="D424" s="2" t="s">
        <v>201</v>
      </c>
      <c r="E424" s="2" t="s">
        <v>4</v>
      </c>
      <c r="F424" s="2" t="s">
        <v>5</v>
      </c>
      <c r="G424" s="2" t="s">
        <v>121</v>
      </c>
      <c r="H424" s="2" t="s">
        <v>185</v>
      </c>
      <c r="I424" s="2" t="s">
        <v>3395</v>
      </c>
      <c r="J424" s="3">
        <v>29.8</v>
      </c>
      <c r="K424" s="3">
        <v>29.8</v>
      </c>
      <c r="L424" s="2" t="s">
        <v>3391</v>
      </c>
      <c r="M424" s="2" t="s">
        <v>9</v>
      </c>
      <c r="N424" s="3">
        <v>261</v>
      </c>
      <c r="O424" s="2" t="s">
        <v>3392</v>
      </c>
      <c r="P424" s="2" t="s">
        <v>37</v>
      </c>
      <c r="Q424" s="3"/>
      <c r="R424" s="3"/>
      <c r="S424" s="2" t="s">
        <v>12</v>
      </c>
      <c r="T424" s="4">
        <v>44955</v>
      </c>
      <c r="U424" s="2" t="s">
        <v>1612</v>
      </c>
      <c r="V424" s="6">
        <f>(Sales[[#This Row],[Price_retail]]-Sales[[#This Row],[Price_current]])/Sales[[#This Row],[Price_retail]]</f>
        <v>0</v>
      </c>
      <c r="W424" s="3" t="str" cm="1">
        <f t="array" ref="W4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25" spans="1:23" x14ac:dyDescent="0.35">
      <c r="A425" s="2" t="s">
        <v>1613</v>
      </c>
      <c r="B425" s="2" t="s">
        <v>1614</v>
      </c>
      <c r="C425" s="2" t="s">
        <v>1615</v>
      </c>
      <c r="D425" s="2" t="s">
        <v>450</v>
      </c>
      <c r="E425" s="2" t="s">
        <v>4</v>
      </c>
      <c r="F425" s="2" t="s">
        <v>5</v>
      </c>
      <c r="G425" s="2" t="s">
        <v>82</v>
      </c>
      <c r="H425" s="2" t="s">
        <v>59</v>
      </c>
      <c r="I425" s="2" t="s">
        <v>3390</v>
      </c>
      <c r="J425" s="3">
        <v>47.73</v>
      </c>
      <c r="K425" s="3">
        <v>47.73</v>
      </c>
      <c r="L425" s="2" t="s">
        <v>3391</v>
      </c>
      <c r="M425" s="2" t="s">
        <v>9</v>
      </c>
      <c r="N425" s="3">
        <v>844</v>
      </c>
      <c r="O425" s="2" t="s">
        <v>20</v>
      </c>
      <c r="P425" s="2" t="s">
        <v>186</v>
      </c>
      <c r="Q425" s="3"/>
      <c r="R425" s="3"/>
      <c r="S425" s="2" t="s">
        <v>12</v>
      </c>
      <c r="T425" s="4">
        <v>44955</v>
      </c>
      <c r="U425" s="2" t="s">
        <v>1616</v>
      </c>
      <c r="V425" s="6">
        <f>(Sales[[#This Row],[Price_retail]]-Sales[[#This Row],[Price_current]])/Sales[[#This Row],[Price_retail]]</f>
        <v>0</v>
      </c>
      <c r="W425" s="3" t="str" cm="1">
        <f t="array" ref="W42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26" spans="1:23" x14ac:dyDescent="0.35">
      <c r="A426" s="2" t="s">
        <v>1617</v>
      </c>
      <c r="B426" s="2" t="s">
        <v>1618</v>
      </c>
      <c r="C426" s="2" t="s">
        <v>585</v>
      </c>
      <c r="D426" s="2" t="s">
        <v>190</v>
      </c>
      <c r="E426" s="2" t="s">
        <v>4</v>
      </c>
      <c r="F426" s="2" t="s">
        <v>5</v>
      </c>
      <c r="G426" s="2" t="s">
        <v>82</v>
      </c>
      <c r="H426" s="2" t="s">
        <v>134</v>
      </c>
      <c r="I426" s="2" t="s">
        <v>3390</v>
      </c>
      <c r="J426" s="3">
        <v>25.31</v>
      </c>
      <c r="K426" s="3">
        <v>18.760000000000002</v>
      </c>
      <c r="L426" s="2" t="s">
        <v>8</v>
      </c>
      <c r="M426" s="2" t="s">
        <v>9</v>
      </c>
      <c r="N426" s="3">
        <v>639</v>
      </c>
      <c r="O426" s="2" t="s">
        <v>302</v>
      </c>
      <c r="P426" s="2" t="s">
        <v>215</v>
      </c>
      <c r="Q426" s="3"/>
      <c r="R426" s="3"/>
      <c r="S426" s="2" t="s">
        <v>21</v>
      </c>
      <c r="T426" s="4">
        <v>44955</v>
      </c>
      <c r="U426" s="2" t="s">
        <v>1619</v>
      </c>
      <c r="V426" s="6">
        <f>(Sales[[#This Row],[Price_retail]]-Sales[[#This Row],[Price_current]])/Sales[[#This Row],[Price_retail]]</f>
        <v>0.25879099170288411</v>
      </c>
      <c r="W426" s="3" t="str" cm="1">
        <f t="array" ref="W42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27" spans="1:23" x14ac:dyDescent="0.35">
      <c r="A427" s="2" t="s">
        <v>1620</v>
      </c>
      <c r="B427" s="2" t="s">
        <v>1621</v>
      </c>
      <c r="C427" s="2" t="s">
        <v>323</v>
      </c>
      <c r="D427" s="2" t="s">
        <v>776</v>
      </c>
      <c r="E427" s="2" t="s">
        <v>4</v>
      </c>
      <c r="F427" s="2" t="s">
        <v>5</v>
      </c>
      <c r="G427" s="2" t="s">
        <v>121</v>
      </c>
      <c r="H427" s="2" t="s">
        <v>83</v>
      </c>
      <c r="I427" s="2" t="s">
        <v>3393</v>
      </c>
      <c r="J427" s="3">
        <v>8.99</v>
      </c>
      <c r="K427" s="3">
        <v>8.99</v>
      </c>
      <c r="L427" s="2" t="s">
        <v>3391</v>
      </c>
      <c r="M427" s="2" t="s">
        <v>9</v>
      </c>
      <c r="N427" s="3">
        <v>721</v>
      </c>
      <c r="O427" s="2" t="s">
        <v>287</v>
      </c>
      <c r="P427" s="2" t="s">
        <v>76</v>
      </c>
      <c r="Q427" s="3"/>
      <c r="R427" s="3"/>
      <c r="S427" s="2" t="s">
        <v>21</v>
      </c>
      <c r="T427" s="4">
        <v>44955</v>
      </c>
      <c r="U427" s="2" t="s">
        <v>1622</v>
      </c>
      <c r="V427" s="6">
        <f>(Sales[[#This Row],[Price_retail]]-Sales[[#This Row],[Price_current]])/Sales[[#This Row],[Price_retail]]</f>
        <v>0</v>
      </c>
      <c r="W427" s="3" t="str" cm="1">
        <f t="array" ref="W4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28" spans="1:23" x14ac:dyDescent="0.35">
      <c r="A428" s="2" t="s">
        <v>1623</v>
      </c>
      <c r="B428" s="2" t="s">
        <v>1624</v>
      </c>
      <c r="C428" s="2" t="s">
        <v>1973</v>
      </c>
      <c r="D428" s="2" t="s">
        <v>814</v>
      </c>
      <c r="E428" s="2" t="s">
        <v>4</v>
      </c>
      <c r="F428" s="2" t="s">
        <v>5</v>
      </c>
      <c r="G428" s="2" t="s">
        <v>6</v>
      </c>
      <c r="H428" s="2" t="s">
        <v>418</v>
      </c>
      <c r="I428" s="2" t="s">
        <v>3390</v>
      </c>
      <c r="J428" s="3">
        <v>28.08</v>
      </c>
      <c r="K428" s="3">
        <v>25.88</v>
      </c>
      <c r="L428" s="2" t="s">
        <v>8</v>
      </c>
      <c r="M428" s="2" t="s">
        <v>9</v>
      </c>
      <c r="N428" s="3">
        <v>929</v>
      </c>
      <c r="O428" s="2" t="s">
        <v>191</v>
      </c>
      <c r="P428" s="2" t="s">
        <v>215</v>
      </c>
      <c r="Q428" s="3"/>
      <c r="R428" s="3"/>
      <c r="S428" s="2" t="s">
        <v>12</v>
      </c>
      <c r="T428" s="4">
        <v>44955</v>
      </c>
      <c r="U428" s="2" t="s">
        <v>1625</v>
      </c>
      <c r="V428" s="6">
        <f>(Sales[[#This Row],[Price_retail]]-Sales[[#This Row],[Price_current]])/Sales[[#This Row],[Price_retail]]</f>
        <v>7.8347578347578328E-2</v>
      </c>
      <c r="W428" s="3" t="str" cm="1">
        <f t="array" ref="W428">_xlfn.IFS(Sales[[#This Row],[Discount]]=0%,"No Discount",Sales[[#This Row],[Discount]]&lt;=20%,"Light",Sales[[#This Row],[Discount]]&lt;=50%,"Moderate",Sales[[#This Row],[Discount]]&lt;=80%,"High",
TRUE,"Very High")</f>
        <v>Light</v>
      </c>
    </row>
    <row r="429" spans="1:23" x14ac:dyDescent="0.35">
      <c r="A429" s="2" t="s">
        <v>1626</v>
      </c>
      <c r="B429" s="2" t="s">
        <v>1627</v>
      </c>
      <c r="C429" s="2" t="s">
        <v>1628</v>
      </c>
      <c r="D429" s="2" t="s">
        <v>225</v>
      </c>
      <c r="E429" s="2" t="s">
        <v>4</v>
      </c>
      <c r="F429" s="2" t="s">
        <v>17</v>
      </c>
      <c r="G429" s="2" t="s">
        <v>67</v>
      </c>
      <c r="H429" s="2" t="s">
        <v>110</v>
      </c>
      <c r="I429" s="2" t="s">
        <v>3390</v>
      </c>
      <c r="J429" s="3">
        <v>13.24</v>
      </c>
      <c r="K429" s="3">
        <v>13.24</v>
      </c>
      <c r="L429" s="2" t="s">
        <v>3391</v>
      </c>
      <c r="M429" s="2" t="s">
        <v>9</v>
      </c>
      <c r="N429" s="3">
        <v>641</v>
      </c>
      <c r="O429" s="2" t="s">
        <v>29</v>
      </c>
      <c r="P429" s="2" t="s">
        <v>1629</v>
      </c>
      <c r="Q429" s="3"/>
      <c r="R429" s="3"/>
      <c r="S429" s="2" t="s">
        <v>21</v>
      </c>
      <c r="T429" s="4">
        <v>44955</v>
      </c>
      <c r="U429" s="2" t="s">
        <v>1630</v>
      </c>
      <c r="V429" s="6">
        <f>(Sales[[#This Row],[Price_retail]]-Sales[[#This Row],[Price_current]])/Sales[[#This Row],[Price_retail]]</f>
        <v>0</v>
      </c>
      <c r="W429" s="3" t="str" cm="1">
        <f t="array" ref="W42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0" spans="1:23" x14ac:dyDescent="0.35">
      <c r="A430" s="2" t="s">
        <v>1631</v>
      </c>
      <c r="B430" s="2" t="s">
        <v>1632</v>
      </c>
      <c r="C430" s="2" t="s">
        <v>1355</v>
      </c>
      <c r="D430" s="2" t="s">
        <v>1495</v>
      </c>
      <c r="E430" s="2" t="s">
        <v>4</v>
      </c>
      <c r="F430" s="2" t="s">
        <v>5</v>
      </c>
      <c r="G430" s="2" t="s">
        <v>6</v>
      </c>
      <c r="H430" s="2" t="s">
        <v>35</v>
      </c>
      <c r="I430" s="2" t="s">
        <v>3393</v>
      </c>
      <c r="J430" s="3">
        <v>15.35</v>
      </c>
      <c r="K430" s="3">
        <v>15.35</v>
      </c>
      <c r="L430" s="2" t="s">
        <v>3391</v>
      </c>
      <c r="M430" s="2" t="s">
        <v>9</v>
      </c>
      <c r="N430" s="3">
        <v>6</v>
      </c>
      <c r="O430" s="2" t="s">
        <v>29</v>
      </c>
      <c r="P430" s="2" t="s">
        <v>30</v>
      </c>
      <c r="Q430" s="3"/>
      <c r="R430" s="3"/>
      <c r="S430" s="2" t="s">
        <v>21</v>
      </c>
      <c r="T430" s="4">
        <v>44955</v>
      </c>
      <c r="U430" s="2" t="s">
        <v>1633</v>
      </c>
      <c r="V430" s="6">
        <f>(Sales[[#This Row],[Price_retail]]-Sales[[#This Row],[Price_current]])/Sales[[#This Row],[Price_retail]]</f>
        <v>0</v>
      </c>
      <c r="W430" s="3" t="str" cm="1">
        <f t="array" ref="W43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1" spans="1:23" x14ac:dyDescent="0.35">
      <c r="A431" s="2" t="s">
        <v>1634</v>
      </c>
      <c r="B431" s="2" t="s">
        <v>1635</v>
      </c>
      <c r="C431" s="2" t="s">
        <v>65</v>
      </c>
      <c r="D431" s="2" t="s">
        <v>1324</v>
      </c>
      <c r="E431" s="2" t="s">
        <v>4</v>
      </c>
      <c r="F431" s="2" t="s">
        <v>17</v>
      </c>
      <c r="G431" s="2" t="s">
        <v>18</v>
      </c>
      <c r="H431" s="2" t="s">
        <v>19</v>
      </c>
      <c r="I431" s="2" t="s">
        <v>3390</v>
      </c>
      <c r="J431" s="3">
        <v>8.99</v>
      </c>
      <c r="K431" s="3">
        <v>8.99</v>
      </c>
      <c r="L431" s="2" t="s">
        <v>3391</v>
      </c>
      <c r="M431" s="2" t="s">
        <v>9</v>
      </c>
      <c r="N431" s="3">
        <v>637</v>
      </c>
      <c r="O431" s="2" t="s">
        <v>347</v>
      </c>
      <c r="P431" s="2" t="s">
        <v>215</v>
      </c>
      <c r="Q431" s="3"/>
      <c r="R431" s="3"/>
      <c r="S431" s="2" t="s">
        <v>21</v>
      </c>
      <c r="T431" s="4">
        <v>44955</v>
      </c>
      <c r="U431" s="2" t="s">
        <v>1636</v>
      </c>
      <c r="V431" s="6">
        <f>(Sales[[#This Row],[Price_retail]]-Sales[[#This Row],[Price_current]])/Sales[[#This Row],[Price_retail]]</f>
        <v>0</v>
      </c>
      <c r="W431" s="3" t="str" cm="1">
        <f t="array" ref="W4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2" spans="1:23" x14ac:dyDescent="0.35">
      <c r="A432" s="2" t="s">
        <v>1637</v>
      </c>
      <c r="B432" s="2" t="s">
        <v>1638</v>
      </c>
      <c r="C432" s="2" t="s">
        <v>102</v>
      </c>
      <c r="D432" s="2" t="s">
        <v>1147</v>
      </c>
      <c r="E432" s="2" t="s">
        <v>4</v>
      </c>
      <c r="F432" s="2" t="s">
        <v>5</v>
      </c>
      <c r="G432" s="2" t="s">
        <v>121</v>
      </c>
      <c r="H432" s="2" t="s">
        <v>51</v>
      </c>
      <c r="I432" s="2" t="s">
        <v>3395</v>
      </c>
      <c r="J432" s="3">
        <v>18.57</v>
      </c>
      <c r="K432" s="3">
        <v>18.57</v>
      </c>
      <c r="L432" s="2" t="s">
        <v>3391</v>
      </c>
      <c r="M432" s="2" t="s">
        <v>9</v>
      </c>
      <c r="N432" s="3">
        <v>840</v>
      </c>
      <c r="O432" s="2" t="s">
        <v>91</v>
      </c>
      <c r="P432" s="2" t="s">
        <v>177</v>
      </c>
      <c r="Q432" s="3"/>
      <c r="R432" s="3"/>
      <c r="S432" s="2" t="s">
        <v>21</v>
      </c>
      <c r="T432" s="4">
        <v>44955</v>
      </c>
      <c r="U432" s="2" t="s">
        <v>1639</v>
      </c>
      <c r="V432" s="6">
        <f>(Sales[[#This Row],[Price_retail]]-Sales[[#This Row],[Price_current]])/Sales[[#This Row],[Price_retail]]</f>
        <v>0</v>
      </c>
      <c r="W432" s="3" t="str" cm="1">
        <f t="array" ref="W4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3" spans="1:23" x14ac:dyDescent="0.35">
      <c r="A433" s="2" t="s">
        <v>1640</v>
      </c>
      <c r="B433" s="2" t="s">
        <v>1641</v>
      </c>
      <c r="C433" s="2" t="s">
        <v>703</v>
      </c>
      <c r="D433" s="2" t="s">
        <v>686</v>
      </c>
      <c r="E433" s="2" t="s">
        <v>4</v>
      </c>
      <c r="F433" s="2" t="s">
        <v>5</v>
      </c>
      <c r="G433" s="2" t="s">
        <v>6</v>
      </c>
      <c r="H433" s="2" t="s">
        <v>7</v>
      </c>
      <c r="I433" s="2" t="s">
        <v>3393</v>
      </c>
      <c r="J433" s="3">
        <v>31.44</v>
      </c>
      <c r="K433" s="3">
        <v>31.44</v>
      </c>
      <c r="L433" s="2" t="s">
        <v>3391</v>
      </c>
      <c r="M433" s="2" t="s">
        <v>9</v>
      </c>
      <c r="N433" s="3">
        <v>809</v>
      </c>
      <c r="O433" s="2" t="s">
        <v>191</v>
      </c>
      <c r="P433" s="2" t="s">
        <v>30</v>
      </c>
      <c r="Q433" s="3"/>
      <c r="R433" s="3"/>
      <c r="S433" s="2" t="s">
        <v>21</v>
      </c>
      <c r="T433" s="4">
        <v>44955</v>
      </c>
      <c r="U433" s="2" t="s">
        <v>1642</v>
      </c>
      <c r="V433" s="6">
        <f>(Sales[[#This Row],[Price_retail]]-Sales[[#This Row],[Price_current]])/Sales[[#This Row],[Price_retail]]</f>
        <v>0</v>
      </c>
      <c r="W433" s="3" t="str" cm="1">
        <f t="array" ref="W4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4" spans="1:23" x14ac:dyDescent="0.35">
      <c r="A434" s="2" t="s">
        <v>1643</v>
      </c>
      <c r="B434" s="2" t="s">
        <v>1644</v>
      </c>
      <c r="C434" s="2" t="s">
        <v>1314</v>
      </c>
      <c r="D434" s="2" t="s">
        <v>127</v>
      </c>
      <c r="E434" s="2" t="s">
        <v>4</v>
      </c>
      <c r="F434" s="2" t="s">
        <v>5</v>
      </c>
      <c r="G434" s="2" t="s">
        <v>82</v>
      </c>
      <c r="H434" s="2" t="s">
        <v>110</v>
      </c>
      <c r="I434" s="2" t="s">
        <v>3390</v>
      </c>
      <c r="J434" s="3">
        <v>22.96</v>
      </c>
      <c r="K434" s="3">
        <v>22.96</v>
      </c>
      <c r="L434" s="2" t="s">
        <v>3391</v>
      </c>
      <c r="M434" s="2" t="s">
        <v>9</v>
      </c>
      <c r="N434" s="3">
        <v>522</v>
      </c>
      <c r="O434" s="2" t="s">
        <v>347</v>
      </c>
      <c r="P434" s="2" t="s">
        <v>238</v>
      </c>
      <c r="Q434" s="3"/>
      <c r="R434" s="3"/>
      <c r="S434" s="2" t="s">
        <v>12</v>
      </c>
      <c r="T434" s="4">
        <v>44955</v>
      </c>
      <c r="U434" s="2" t="s">
        <v>1645</v>
      </c>
      <c r="V434" s="6">
        <f>(Sales[[#This Row],[Price_retail]]-Sales[[#This Row],[Price_current]])/Sales[[#This Row],[Price_retail]]</f>
        <v>0</v>
      </c>
      <c r="W434" s="3" t="str" cm="1">
        <f t="array" ref="W43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5" spans="1:23" x14ac:dyDescent="0.35">
      <c r="A435" s="2" t="s">
        <v>1646</v>
      </c>
      <c r="B435" s="2" t="s">
        <v>1647</v>
      </c>
      <c r="C435" s="2" t="s">
        <v>750</v>
      </c>
      <c r="D435" s="2" t="s">
        <v>1000</v>
      </c>
      <c r="E435" s="2" t="s">
        <v>4</v>
      </c>
      <c r="F435" s="2" t="s">
        <v>17</v>
      </c>
      <c r="G435" s="2" t="s">
        <v>50</v>
      </c>
      <c r="H435" s="2" t="s">
        <v>68</v>
      </c>
      <c r="I435" s="2" t="s">
        <v>3390</v>
      </c>
      <c r="J435" s="3">
        <v>88.07</v>
      </c>
      <c r="K435" s="3">
        <v>88.07</v>
      </c>
      <c r="L435" s="2" t="s">
        <v>3391</v>
      </c>
      <c r="M435" s="2" t="s">
        <v>9</v>
      </c>
      <c r="N435" s="3">
        <v>684</v>
      </c>
      <c r="O435" s="2" t="s">
        <v>29</v>
      </c>
      <c r="P435" s="2" t="s">
        <v>53</v>
      </c>
      <c r="Q435" s="3"/>
      <c r="R435" s="3"/>
      <c r="S435" s="2" t="s">
        <v>12</v>
      </c>
      <c r="T435" s="4">
        <v>44955</v>
      </c>
      <c r="U435" s="2" t="s">
        <v>1648</v>
      </c>
      <c r="V435" s="6">
        <f>(Sales[[#This Row],[Price_retail]]-Sales[[#This Row],[Price_current]])/Sales[[#This Row],[Price_retail]]</f>
        <v>0</v>
      </c>
      <c r="W435" s="3" t="str" cm="1">
        <f t="array" ref="W4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6" spans="1:23" x14ac:dyDescent="0.35">
      <c r="A436" s="2" t="s">
        <v>1649</v>
      </c>
      <c r="B436" s="2" t="s">
        <v>1650</v>
      </c>
      <c r="C436" s="2" t="s">
        <v>1743</v>
      </c>
      <c r="D436" s="2" t="s">
        <v>1651</v>
      </c>
      <c r="E436" s="2" t="s">
        <v>4</v>
      </c>
      <c r="F436" s="2" t="s">
        <v>5</v>
      </c>
      <c r="G436" s="2" t="s">
        <v>6</v>
      </c>
      <c r="H436" s="2" t="s">
        <v>139</v>
      </c>
      <c r="I436" s="2" t="s">
        <v>3395</v>
      </c>
      <c r="J436" s="3">
        <v>15.93</v>
      </c>
      <c r="K436" s="3">
        <v>10.53</v>
      </c>
      <c r="L436" s="2" t="s">
        <v>8</v>
      </c>
      <c r="M436" s="2" t="s">
        <v>9</v>
      </c>
      <c r="N436" s="3">
        <v>723</v>
      </c>
      <c r="O436" s="2" t="s">
        <v>191</v>
      </c>
      <c r="P436" s="2" t="s">
        <v>53</v>
      </c>
      <c r="Q436" s="3"/>
      <c r="R436" s="3"/>
      <c r="S436" s="2" t="s">
        <v>21</v>
      </c>
      <c r="T436" s="4">
        <v>44955</v>
      </c>
      <c r="U436" s="2" t="s">
        <v>1652</v>
      </c>
      <c r="V436" s="6">
        <f>(Sales[[#This Row],[Price_retail]]-Sales[[#This Row],[Price_current]])/Sales[[#This Row],[Price_retail]]</f>
        <v>0.33898305084745767</v>
      </c>
      <c r="W436" s="3" t="str" cm="1">
        <f t="array" ref="W43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37" spans="1:23" x14ac:dyDescent="0.35">
      <c r="A437" s="2" t="s">
        <v>1653</v>
      </c>
      <c r="B437" s="2" t="s">
        <v>1654</v>
      </c>
      <c r="C437" s="2" t="s">
        <v>65</v>
      </c>
      <c r="D437" s="2" t="s">
        <v>388</v>
      </c>
      <c r="E437" s="2" t="s">
        <v>4</v>
      </c>
      <c r="F437" s="2" t="s">
        <v>17</v>
      </c>
      <c r="G437" s="2" t="s">
        <v>67</v>
      </c>
      <c r="H437" s="2" t="s">
        <v>168</v>
      </c>
      <c r="I437" s="2" t="s">
        <v>3393</v>
      </c>
      <c r="J437" s="3">
        <v>8.99</v>
      </c>
      <c r="K437" s="3">
        <v>6.41</v>
      </c>
      <c r="L437" s="2" t="s">
        <v>8</v>
      </c>
      <c r="M437" s="2" t="s">
        <v>9</v>
      </c>
      <c r="N437" s="3">
        <v>523</v>
      </c>
      <c r="O437" s="2" t="s">
        <v>104</v>
      </c>
      <c r="P437" s="2" t="s">
        <v>76</v>
      </c>
      <c r="Q437" s="3"/>
      <c r="R437" s="3"/>
      <c r="S437" s="2" t="s">
        <v>21</v>
      </c>
      <c r="T437" s="4">
        <v>44955</v>
      </c>
      <c r="U437" s="2" t="s">
        <v>1655</v>
      </c>
      <c r="V437" s="6">
        <f>(Sales[[#This Row],[Price_retail]]-Sales[[#This Row],[Price_current]])/Sales[[#This Row],[Price_retail]]</f>
        <v>0.28698553948832034</v>
      </c>
      <c r="W437" s="3" t="str" cm="1">
        <f t="array" ref="W43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38" spans="1:23" x14ac:dyDescent="0.35">
      <c r="A438" s="2" t="s">
        <v>1656</v>
      </c>
      <c r="B438" s="2" t="s">
        <v>1657</v>
      </c>
      <c r="C438" s="2" t="s">
        <v>505</v>
      </c>
      <c r="D438" s="2" t="s">
        <v>494</v>
      </c>
      <c r="E438" s="2" t="s">
        <v>4</v>
      </c>
      <c r="F438" s="2" t="s">
        <v>17</v>
      </c>
      <c r="G438" s="2" t="s">
        <v>27</v>
      </c>
      <c r="H438" s="2" t="s">
        <v>83</v>
      </c>
      <c r="I438" s="2" t="s">
        <v>3393</v>
      </c>
      <c r="J438" s="3">
        <v>17.18</v>
      </c>
      <c r="K438" s="3">
        <v>17.18</v>
      </c>
      <c r="L438" s="2" t="s">
        <v>248</v>
      </c>
      <c r="M438" s="2" t="s">
        <v>9</v>
      </c>
      <c r="N438" s="3">
        <v>846</v>
      </c>
      <c r="O438" s="2" t="s">
        <v>43</v>
      </c>
      <c r="P438" s="2" t="s">
        <v>30</v>
      </c>
      <c r="Q438" s="3"/>
      <c r="R438" s="3"/>
      <c r="S438" s="2" t="s">
        <v>21</v>
      </c>
      <c r="T438" s="4">
        <v>44955</v>
      </c>
      <c r="U438" s="2" t="s">
        <v>1658</v>
      </c>
      <c r="V438" s="6">
        <f>(Sales[[#This Row],[Price_retail]]-Sales[[#This Row],[Price_current]])/Sales[[#This Row],[Price_retail]]</f>
        <v>0</v>
      </c>
      <c r="W438" s="3" t="str" cm="1">
        <f t="array" ref="W4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39" spans="1:23" x14ac:dyDescent="0.35">
      <c r="A439" s="2" t="s">
        <v>1659</v>
      </c>
      <c r="B439" s="2" t="s">
        <v>1660</v>
      </c>
      <c r="C439" s="2" t="s">
        <v>242</v>
      </c>
      <c r="D439" s="2" t="s">
        <v>109</v>
      </c>
      <c r="E439" s="2" t="s">
        <v>4</v>
      </c>
      <c r="F439" s="2" t="s">
        <v>5</v>
      </c>
      <c r="G439" s="2" t="s">
        <v>82</v>
      </c>
      <c r="H439" s="2" t="s">
        <v>110</v>
      </c>
      <c r="I439" s="2" t="s">
        <v>3393</v>
      </c>
      <c r="J439" s="3">
        <v>8.99</v>
      </c>
      <c r="K439" s="3">
        <v>3.99</v>
      </c>
      <c r="L439" s="2" t="s">
        <v>8</v>
      </c>
      <c r="M439" s="2" t="s">
        <v>9</v>
      </c>
      <c r="N439" s="3">
        <v>362</v>
      </c>
      <c r="O439" s="2" t="s">
        <v>359</v>
      </c>
      <c r="P439" s="2" t="s">
        <v>238</v>
      </c>
      <c r="Q439" s="3"/>
      <c r="R439" s="3"/>
      <c r="S439" s="2" t="s">
        <v>21</v>
      </c>
      <c r="T439" s="4">
        <v>44955</v>
      </c>
      <c r="U439" s="2" t="s">
        <v>1661</v>
      </c>
      <c r="V439" s="6">
        <f>(Sales[[#This Row],[Price_retail]]-Sales[[#This Row],[Price_current]])/Sales[[#This Row],[Price_retail]]</f>
        <v>0.55617352614015569</v>
      </c>
      <c r="W439" s="3" t="str" cm="1">
        <f t="array" ref="W439">_xlfn.IFS(Sales[[#This Row],[Discount]]=0%,"No Discount",Sales[[#This Row],[Discount]]&lt;=20%,"Light",Sales[[#This Row],[Discount]]&lt;=50%,"Moderate",Sales[[#This Row],[Discount]]&lt;=80%,"High",
TRUE,"Very High")</f>
        <v>High</v>
      </c>
    </row>
    <row r="440" spans="1:23" x14ac:dyDescent="0.35">
      <c r="A440" s="2" t="s">
        <v>1662</v>
      </c>
      <c r="B440" s="2" t="s">
        <v>1663</v>
      </c>
      <c r="C440" s="2" t="s">
        <v>367</v>
      </c>
      <c r="D440" s="2" t="s">
        <v>127</v>
      </c>
      <c r="E440" s="2" t="s">
        <v>4</v>
      </c>
      <c r="F440" s="2" t="s">
        <v>5</v>
      </c>
      <c r="G440" s="2" t="s">
        <v>82</v>
      </c>
      <c r="H440" s="2" t="s">
        <v>110</v>
      </c>
      <c r="I440" s="2" t="s">
        <v>3395</v>
      </c>
      <c r="J440" s="3">
        <v>11.67</v>
      </c>
      <c r="K440" s="3">
        <v>7.79</v>
      </c>
      <c r="L440" s="2" t="s">
        <v>8</v>
      </c>
      <c r="M440" s="2" t="s">
        <v>9</v>
      </c>
      <c r="N440" s="3">
        <v>177</v>
      </c>
      <c r="O440" s="2" t="s">
        <v>302</v>
      </c>
      <c r="P440" s="2" t="s">
        <v>3392</v>
      </c>
      <c r="Q440" s="3"/>
      <c r="R440" s="3"/>
      <c r="S440" s="2" t="s">
        <v>21</v>
      </c>
      <c r="T440" s="4">
        <v>44955</v>
      </c>
      <c r="U440" s="2" t="s">
        <v>1664</v>
      </c>
      <c r="V440" s="6">
        <f>(Sales[[#This Row],[Price_retail]]-Sales[[#This Row],[Price_current]])/Sales[[#This Row],[Price_retail]]</f>
        <v>0.33247643530419879</v>
      </c>
      <c r="W440" s="3" t="str" cm="1">
        <f t="array" ref="W44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41" spans="1:23" x14ac:dyDescent="0.35">
      <c r="A441" s="2" t="s">
        <v>1665</v>
      </c>
      <c r="B441" s="2" t="s">
        <v>1666</v>
      </c>
      <c r="C441" s="2" t="s">
        <v>213</v>
      </c>
      <c r="D441" s="2" t="s">
        <v>537</v>
      </c>
      <c r="E441" s="2" t="s">
        <v>4</v>
      </c>
      <c r="F441" s="2" t="s">
        <v>5</v>
      </c>
      <c r="G441" s="2" t="s">
        <v>6</v>
      </c>
      <c r="H441" s="2" t="s">
        <v>145</v>
      </c>
      <c r="I441" s="2" t="s">
        <v>3390</v>
      </c>
      <c r="J441" s="3">
        <v>38.22</v>
      </c>
      <c r="K441" s="3">
        <v>22.61</v>
      </c>
      <c r="L441" s="2" t="s">
        <v>8</v>
      </c>
      <c r="M441" s="2" t="s">
        <v>9</v>
      </c>
      <c r="N441" s="3">
        <v>110</v>
      </c>
      <c r="O441" s="2" t="s">
        <v>69</v>
      </c>
      <c r="P441" s="2" t="s">
        <v>76</v>
      </c>
      <c r="Q441" s="3"/>
      <c r="R441" s="3"/>
      <c r="S441" s="2" t="s">
        <v>21</v>
      </c>
      <c r="T441" s="4">
        <v>44955</v>
      </c>
      <c r="U441" s="2" t="s">
        <v>1667</v>
      </c>
      <c r="V441" s="6">
        <f>(Sales[[#This Row],[Price_retail]]-Sales[[#This Row],[Price_current]])/Sales[[#This Row],[Price_retail]]</f>
        <v>0.40842490842490842</v>
      </c>
      <c r="W441" s="3" t="str" cm="1">
        <f t="array" ref="W44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42" spans="1:23" x14ac:dyDescent="0.35">
      <c r="A442" s="2" t="s">
        <v>1668</v>
      </c>
      <c r="B442" s="2" t="s">
        <v>1669</v>
      </c>
      <c r="C442" s="2" t="s">
        <v>1670</v>
      </c>
      <c r="D442" s="2" t="s">
        <v>272</v>
      </c>
      <c r="E442" s="2" t="s">
        <v>4</v>
      </c>
      <c r="F442" s="2" t="s">
        <v>5</v>
      </c>
      <c r="G442" s="2" t="s">
        <v>82</v>
      </c>
      <c r="H442" s="2" t="s">
        <v>51</v>
      </c>
      <c r="I442" s="2" t="s">
        <v>3395</v>
      </c>
      <c r="J442" s="3">
        <v>18.71</v>
      </c>
      <c r="K442" s="3">
        <v>12.05</v>
      </c>
      <c r="L442" s="2" t="s">
        <v>8</v>
      </c>
      <c r="M442" s="2" t="s">
        <v>9</v>
      </c>
      <c r="N442" s="3">
        <v>36</v>
      </c>
      <c r="O442" s="2" t="s">
        <v>36</v>
      </c>
      <c r="P442" s="2" t="s">
        <v>76</v>
      </c>
      <c r="Q442" s="3"/>
      <c r="R442" s="3"/>
      <c r="S442" s="2" t="s">
        <v>21</v>
      </c>
      <c r="T442" s="4">
        <v>44955</v>
      </c>
      <c r="U442" s="2" t="s">
        <v>1671</v>
      </c>
      <c r="V442" s="6">
        <f>(Sales[[#This Row],[Price_retail]]-Sales[[#This Row],[Price_current]])/Sales[[#This Row],[Price_retail]]</f>
        <v>0.35595938001068944</v>
      </c>
      <c r="W442" s="3" t="str" cm="1">
        <f t="array" ref="W44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43" spans="1:23" x14ac:dyDescent="0.35">
      <c r="A443" s="2" t="s">
        <v>1672</v>
      </c>
      <c r="B443" s="2" t="s">
        <v>1673</v>
      </c>
      <c r="C443" s="2" t="s">
        <v>242</v>
      </c>
      <c r="D443" s="2" t="s">
        <v>115</v>
      </c>
      <c r="E443" s="2" t="s">
        <v>4</v>
      </c>
      <c r="F443" s="2" t="s">
        <v>17</v>
      </c>
      <c r="G443" s="2" t="s">
        <v>27</v>
      </c>
      <c r="H443" s="2" t="s">
        <v>90</v>
      </c>
      <c r="I443" s="2" t="s">
        <v>3390</v>
      </c>
      <c r="J443" s="3">
        <v>17.260000000000002</v>
      </c>
      <c r="K443" s="3">
        <v>17.260000000000002</v>
      </c>
      <c r="L443" s="2" t="s">
        <v>3391</v>
      </c>
      <c r="M443" s="2" t="s">
        <v>9</v>
      </c>
      <c r="N443" s="3">
        <v>389</v>
      </c>
      <c r="O443" s="2" t="s">
        <v>91</v>
      </c>
      <c r="P443" s="2" t="s">
        <v>3392</v>
      </c>
      <c r="Q443" s="3"/>
      <c r="R443" s="3"/>
      <c r="S443" s="2" t="s">
        <v>21</v>
      </c>
      <c r="T443" s="4">
        <v>44955</v>
      </c>
      <c r="U443" s="2" t="s">
        <v>1674</v>
      </c>
      <c r="V443" s="6">
        <f>(Sales[[#This Row],[Price_retail]]-Sales[[#This Row],[Price_current]])/Sales[[#This Row],[Price_retail]]</f>
        <v>0</v>
      </c>
      <c r="W443" s="3" t="str" cm="1">
        <f t="array" ref="W4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44" spans="1:23" x14ac:dyDescent="0.35">
      <c r="A444" s="2" t="s">
        <v>1675</v>
      </c>
      <c r="B444" s="2" t="s">
        <v>1676</v>
      </c>
      <c r="C444" s="2" t="s">
        <v>1747</v>
      </c>
      <c r="D444" s="2" t="s">
        <v>42</v>
      </c>
      <c r="E444" s="2" t="s">
        <v>4</v>
      </c>
      <c r="F444" s="2" t="s">
        <v>5</v>
      </c>
      <c r="G444" s="2" t="s">
        <v>6</v>
      </c>
      <c r="H444" s="2" t="s">
        <v>19</v>
      </c>
      <c r="I444" s="2" t="s">
        <v>3393</v>
      </c>
      <c r="J444" s="3">
        <v>42.58</v>
      </c>
      <c r="K444" s="3">
        <v>30.3</v>
      </c>
      <c r="L444" s="2" t="s">
        <v>8</v>
      </c>
      <c r="M444" s="2" t="s">
        <v>9</v>
      </c>
      <c r="N444" s="3">
        <v>608</v>
      </c>
      <c r="O444" s="2" t="s">
        <v>261</v>
      </c>
      <c r="P444" s="2" t="s">
        <v>53</v>
      </c>
      <c r="Q444" s="3"/>
      <c r="R444" s="3"/>
      <c r="S444" s="2" t="s">
        <v>12</v>
      </c>
      <c r="T444" s="4">
        <v>44955</v>
      </c>
      <c r="U444" s="2" t="s">
        <v>1677</v>
      </c>
      <c r="V444" s="6">
        <f>(Sales[[#This Row],[Price_retail]]-Sales[[#This Row],[Price_current]])/Sales[[#This Row],[Price_retail]]</f>
        <v>0.28839830906528885</v>
      </c>
      <c r="W444" s="3" t="str" cm="1">
        <f t="array" ref="W44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45" spans="1:23" x14ac:dyDescent="0.35">
      <c r="A445" s="2" t="s">
        <v>1678</v>
      </c>
      <c r="B445" s="2" t="s">
        <v>1679</v>
      </c>
      <c r="C445" s="2" t="s">
        <v>65</v>
      </c>
      <c r="D445" s="2" t="s">
        <v>1680</v>
      </c>
      <c r="E445" s="2" t="s">
        <v>4</v>
      </c>
      <c r="F445" s="2" t="s">
        <v>5</v>
      </c>
      <c r="G445" s="2" t="s">
        <v>121</v>
      </c>
      <c r="H445" s="2" t="s">
        <v>51</v>
      </c>
      <c r="I445" s="2" t="s">
        <v>3395</v>
      </c>
      <c r="J445" s="3">
        <v>13.48</v>
      </c>
      <c r="K445" s="3">
        <v>12.15</v>
      </c>
      <c r="L445" s="2" t="s">
        <v>8</v>
      </c>
      <c r="M445" s="2" t="s">
        <v>9</v>
      </c>
      <c r="N445" s="3">
        <v>55</v>
      </c>
      <c r="O445" s="2" t="s">
        <v>29</v>
      </c>
      <c r="P445" s="2" t="s">
        <v>3392</v>
      </c>
      <c r="Q445" s="3"/>
      <c r="R445" s="3"/>
      <c r="S445" s="2" t="s">
        <v>21</v>
      </c>
      <c r="T445" s="4">
        <v>44955</v>
      </c>
      <c r="U445" s="2" t="s">
        <v>1681</v>
      </c>
      <c r="V445" s="6">
        <f>(Sales[[#This Row],[Price_retail]]-Sales[[#This Row],[Price_current]])/Sales[[#This Row],[Price_retail]]</f>
        <v>9.866468842729971E-2</v>
      </c>
      <c r="W445" s="3" t="str" cm="1">
        <f t="array" ref="W445">_xlfn.IFS(Sales[[#This Row],[Discount]]=0%,"No Discount",Sales[[#This Row],[Discount]]&lt;=20%,"Light",Sales[[#This Row],[Discount]]&lt;=50%,"Moderate",Sales[[#This Row],[Discount]]&lt;=80%,"High",
TRUE,"Very High")</f>
        <v>Light</v>
      </c>
    </row>
    <row r="446" spans="1:23" x14ac:dyDescent="0.35">
      <c r="A446" s="2" t="s">
        <v>1682</v>
      </c>
      <c r="B446" s="2" t="s">
        <v>1683</v>
      </c>
      <c r="C446" s="2" t="s">
        <v>541</v>
      </c>
      <c r="D446" s="2" t="s">
        <v>1176</v>
      </c>
      <c r="E446" s="2" t="s">
        <v>4</v>
      </c>
      <c r="F446" s="2" t="s">
        <v>17</v>
      </c>
      <c r="G446" s="2" t="s">
        <v>27</v>
      </c>
      <c r="H446" s="2" t="s">
        <v>83</v>
      </c>
      <c r="I446" s="2" t="s">
        <v>3393</v>
      </c>
      <c r="J446" s="3">
        <v>31.31</v>
      </c>
      <c r="K446" s="3">
        <v>21.27</v>
      </c>
      <c r="L446" s="2" t="s">
        <v>8</v>
      </c>
      <c r="M446" s="2" t="s">
        <v>9</v>
      </c>
      <c r="N446" s="3">
        <v>801</v>
      </c>
      <c r="O446" s="2" t="s">
        <v>302</v>
      </c>
      <c r="P446" s="2" t="s">
        <v>53</v>
      </c>
      <c r="Q446" s="3"/>
      <c r="R446" s="3"/>
      <c r="S446" s="2" t="s">
        <v>12</v>
      </c>
      <c r="T446" s="4">
        <v>44955</v>
      </c>
      <c r="U446" s="2" t="s">
        <v>1684</v>
      </c>
      <c r="V446" s="6">
        <f>(Sales[[#This Row],[Price_retail]]-Sales[[#This Row],[Price_current]])/Sales[[#This Row],[Price_retail]]</f>
        <v>0.3206643244969658</v>
      </c>
      <c r="W446" s="3" t="str" cm="1">
        <f t="array" ref="W44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47" spans="1:23" x14ac:dyDescent="0.35">
      <c r="A447" s="2" t="s">
        <v>1685</v>
      </c>
      <c r="B447" s="2" t="s">
        <v>1686</v>
      </c>
      <c r="C447" s="2" t="s">
        <v>242</v>
      </c>
      <c r="D447" s="2" t="s">
        <v>432</v>
      </c>
      <c r="E447" s="2" t="s">
        <v>4</v>
      </c>
      <c r="F447" s="2" t="s">
        <v>5</v>
      </c>
      <c r="G447" s="2" t="s">
        <v>121</v>
      </c>
      <c r="H447" s="2" t="s">
        <v>35</v>
      </c>
      <c r="I447" s="2" t="s">
        <v>3390</v>
      </c>
      <c r="J447" s="3">
        <v>16.8</v>
      </c>
      <c r="K447" s="3">
        <v>16.8</v>
      </c>
      <c r="L447" s="2" t="s">
        <v>3391</v>
      </c>
      <c r="M447" s="2" t="s">
        <v>9</v>
      </c>
      <c r="N447" s="3">
        <v>302</v>
      </c>
      <c r="O447" s="2" t="s">
        <v>104</v>
      </c>
      <c r="P447" s="2" t="s">
        <v>192</v>
      </c>
      <c r="Q447" s="3"/>
      <c r="R447" s="3"/>
      <c r="S447" s="2" t="s">
        <v>21</v>
      </c>
      <c r="T447" s="4">
        <v>44955</v>
      </c>
      <c r="U447" s="2" t="s">
        <v>1687</v>
      </c>
      <c r="V447" s="6">
        <f>(Sales[[#This Row],[Price_retail]]-Sales[[#This Row],[Price_current]])/Sales[[#This Row],[Price_retail]]</f>
        <v>0</v>
      </c>
      <c r="W447" s="3" t="str" cm="1">
        <f t="array" ref="W4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48" spans="1:23" x14ac:dyDescent="0.35">
      <c r="A448" s="2" t="s">
        <v>1688</v>
      </c>
      <c r="B448" s="2" t="s">
        <v>1689</v>
      </c>
      <c r="C448" s="2" t="s">
        <v>412</v>
      </c>
      <c r="D448" s="2" t="s">
        <v>776</v>
      </c>
      <c r="E448" s="2" t="s">
        <v>4</v>
      </c>
      <c r="F448" s="2" t="s">
        <v>5</v>
      </c>
      <c r="G448" s="2" t="s">
        <v>82</v>
      </c>
      <c r="H448" s="2" t="s">
        <v>83</v>
      </c>
      <c r="I448" s="2" t="s">
        <v>3393</v>
      </c>
      <c r="J448" s="3">
        <v>19.28</v>
      </c>
      <c r="K448" s="3">
        <v>5.78</v>
      </c>
      <c r="L448" s="2" t="s">
        <v>8</v>
      </c>
      <c r="M448" s="2" t="s">
        <v>9</v>
      </c>
      <c r="N448" s="3">
        <v>492</v>
      </c>
      <c r="O448" s="2" t="s">
        <v>91</v>
      </c>
      <c r="P448" s="2" t="s">
        <v>3392</v>
      </c>
      <c r="Q448" s="3"/>
      <c r="R448" s="3"/>
      <c r="S448" s="2" t="s">
        <v>21</v>
      </c>
      <c r="T448" s="4">
        <v>44955</v>
      </c>
      <c r="U448" s="2" t="s">
        <v>1690</v>
      </c>
      <c r="V448" s="6">
        <f>(Sales[[#This Row],[Price_retail]]-Sales[[#This Row],[Price_current]])/Sales[[#This Row],[Price_retail]]</f>
        <v>0.700207468879668</v>
      </c>
      <c r="W448" s="3" t="str" cm="1">
        <f t="array" ref="W448">_xlfn.IFS(Sales[[#This Row],[Discount]]=0%,"No Discount",Sales[[#This Row],[Discount]]&lt;=20%,"Light",Sales[[#This Row],[Discount]]&lt;=50%,"Moderate",Sales[[#This Row],[Discount]]&lt;=80%,"High",
TRUE,"Very High")</f>
        <v>High</v>
      </c>
    </row>
    <row r="449" spans="1:23" x14ac:dyDescent="0.35">
      <c r="A449" s="2" t="s">
        <v>1691</v>
      </c>
      <c r="B449" s="2" t="s">
        <v>1692</v>
      </c>
      <c r="C449" s="2" t="s">
        <v>3420</v>
      </c>
      <c r="D449" s="2" t="s">
        <v>537</v>
      </c>
      <c r="E449" s="2" t="s">
        <v>4</v>
      </c>
      <c r="F449" s="2" t="s">
        <v>5</v>
      </c>
      <c r="G449" s="2" t="s">
        <v>121</v>
      </c>
      <c r="H449" s="2" t="s">
        <v>145</v>
      </c>
      <c r="I449" s="2" t="s">
        <v>3395</v>
      </c>
      <c r="J449" s="3">
        <v>8.99</v>
      </c>
      <c r="K449" s="3">
        <v>8.99</v>
      </c>
      <c r="L449" s="2" t="s">
        <v>3391</v>
      </c>
      <c r="M449" s="2" t="s">
        <v>9</v>
      </c>
      <c r="N449" s="3">
        <v>578</v>
      </c>
      <c r="O449" s="2" t="s">
        <v>43</v>
      </c>
      <c r="P449" s="2" t="s">
        <v>37</v>
      </c>
      <c r="Q449" s="3"/>
      <c r="R449" s="3"/>
      <c r="S449" s="2" t="s">
        <v>21</v>
      </c>
      <c r="T449" s="4">
        <v>44955</v>
      </c>
      <c r="U449" s="2" t="s">
        <v>1693</v>
      </c>
      <c r="V449" s="6">
        <f>(Sales[[#This Row],[Price_retail]]-Sales[[#This Row],[Price_current]])/Sales[[#This Row],[Price_retail]]</f>
        <v>0</v>
      </c>
      <c r="W449" s="3" t="str" cm="1">
        <f t="array" ref="W44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50" spans="1:23" x14ac:dyDescent="0.35">
      <c r="A450" s="2" t="s">
        <v>1694</v>
      </c>
      <c r="B450" s="2" t="s">
        <v>1695</v>
      </c>
      <c r="C450" s="2" t="s">
        <v>2</v>
      </c>
      <c r="D450" s="2" t="s">
        <v>66</v>
      </c>
      <c r="E450" s="2" t="s">
        <v>4</v>
      </c>
      <c r="F450" s="2" t="s">
        <v>17</v>
      </c>
      <c r="G450" s="2" t="s">
        <v>50</v>
      </c>
      <c r="H450" s="2"/>
      <c r="I450" s="2" t="s">
        <v>3390</v>
      </c>
      <c r="J450" s="3">
        <v>12</v>
      </c>
      <c r="K450" s="3">
        <v>9.83</v>
      </c>
      <c r="L450" s="2" t="s">
        <v>8</v>
      </c>
      <c r="M450" s="2" t="s">
        <v>9</v>
      </c>
      <c r="N450" s="3">
        <v>459</v>
      </c>
      <c r="O450" s="2" t="s">
        <v>261</v>
      </c>
      <c r="P450" s="2" t="s">
        <v>61</v>
      </c>
      <c r="Q450" s="3"/>
      <c r="R450" s="3"/>
      <c r="S450" s="2" t="s">
        <v>21</v>
      </c>
      <c r="T450" s="4">
        <v>44955</v>
      </c>
      <c r="U450" s="2" t="s">
        <v>1696</v>
      </c>
      <c r="V450" s="6">
        <f>(Sales[[#This Row],[Price_retail]]-Sales[[#This Row],[Price_current]])/Sales[[#This Row],[Price_retail]]</f>
        <v>0.18083333333333332</v>
      </c>
      <c r="W450" s="3" t="str" cm="1">
        <f t="array" ref="W450">_xlfn.IFS(Sales[[#This Row],[Discount]]=0%,"No Discount",Sales[[#This Row],[Discount]]&lt;=20%,"Light",Sales[[#This Row],[Discount]]&lt;=50%,"Moderate",Sales[[#This Row],[Discount]]&lt;=80%,"High",
TRUE,"Very High")</f>
        <v>Light</v>
      </c>
    </row>
    <row r="451" spans="1:23" x14ac:dyDescent="0.35">
      <c r="A451" s="2" t="s">
        <v>1697</v>
      </c>
      <c r="B451" s="2" t="s">
        <v>1698</v>
      </c>
      <c r="C451" s="2" t="s">
        <v>3394</v>
      </c>
      <c r="D451" s="2" t="s">
        <v>725</v>
      </c>
      <c r="E451" s="2" t="s">
        <v>4</v>
      </c>
      <c r="F451" s="2" t="s">
        <v>17</v>
      </c>
      <c r="G451" s="2" t="s">
        <v>50</v>
      </c>
      <c r="H451" s="2" t="s">
        <v>110</v>
      </c>
      <c r="I451" s="2" t="s">
        <v>3393</v>
      </c>
      <c r="J451" s="3">
        <v>8.99</v>
      </c>
      <c r="K451" s="3">
        <v>7.98</v>
      </c>
      <c r="L451" s="2" t="s">
        <v>8</v>
      </c>
      <c r="M451" s="2" t="s">
        <v>9</v>
      </c>
      <c r="N451" s="3">
        <v>344</v>
      </c>
      <c r="O451" s="2" t="s">
        <v>347</v>
      </c>
      <c r="P451" s="2" t="s">
        <v>30</v>
      </c>
      <c r="Q451" s="3"/>
      <c r="R451" s="3"/>
      <c r="S451" s="2" t="s">
        <v>12</v>
      </c>
      <c r="T451" s="4">
        <v>44955</v>
      </c>
      <c r="U451" s="2" t="s">
        <v>1699</v>
      </c>
      <c r="V451" s="6">
        <f>(Sales[[#This Row],[Price_retail]]-Sales[[#This Row],[Price_current]])/Sales[[#This Row],[Price_retail]]</f>
        <v>0.11234705228031143</v>
      </c>
      <c r="W451" s="3" t="str" cm="1">
        <f t="array" ref="W451">_xlfn.IFS(Sales[[#This Row],[Discount]]=0%,"No Discount",Sales[[#This Row],[Discount]]&lt;=20%,"Light",Sales[[#This Row],[Discount]]&lt;=50%,"Moderate",Sales[[#This Row],[Discount]]&lt;=80%,"High",
TRUE,"Very High")</f>
        <v>Light</v>
      </c>
    </row>
    <row r="452" spans="1:23" x14ac:dyDescent="0.35">
      <c r="A452" s="2" t="s">
        <v>1700</v>
      </c>
      <c r="B452" s="2" t="s">
        <v>1701</v>
      </c>
      <c r="C452" s="2" t="s">
        <v>569</v>
      </c>
      <c r="D452" s="2" t="s">
        <v>3421</v>
      </c>
      <c r="E452" s="2" t="s">
        <v>4</v>
      </c>
      <c r="F452" s="2" t="s">
        <v>5</v>
      </c>
      <c r="G452" s="2" t="s">
        <v>6</v>
      </c>
      <c r="H452" s="2" t="s">
        <v>59</v>
      </c>
      <c r="I452" s="2" t="s">
        <v>3390</v>
      </c>
      <c r="J452" s="3">
        <v>19.48</v>
      </c>
      <c r="K452" s="3">
        <v>19.48</v>
      </c>
      <c r="L452" s="2" t="s">
        <v>3391</v>
      </c>
      <c r="M452" s="2" t="s">
        <v>9</v>
      </c>
      <c r="N452" s="3">
        <v>52</v>
      </c>
      <c r="O452" s="2" t="s">
        <v>3392</v>
      </c>
      <c r="P452" s="2" t="s">
        <v>186</v>
      </c>
      <c r="Q452" s="3"/>
      <c r="R452" s="3"/>
      <c r="S452" s="2" t="s">
        <v>21</v>
      </c>
      <c r="T452" s="4">
        <v>44955</v>
      </c>
      <c r="U452" s="2" t="s">
        <v>1702</v>
      </c>
      <c r="V452" s="6">
        <f>(Sales[[#This Row],[Price_retail]]-Sales[[#This Row],[Price_current]])/Sales[[#This Row],[Price_retail]]</f>
        <v>0</v>
      </c>
      <c r="W452" s="3" t="str" cm="1">
        <f t="array" ref="W4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53" spans="1:23" x14ac:dyDescent="0.35">
      <c r="A453" s="2" t="s">
        <v>1703</v>
      </c>
      <c r="B453" s="2" t="s">
        <v>1704</v>
      </c>
      <c r="C453" s="2" t="s">
        <v>2</v>
      </c>
      <c r="D453" s="2" t="s">
        <v>604</v>
      </c>
      <c r="E453" s="2" t="s">
        <v>4</v>
      </c>
      <c r="F453" s="2" t="s">
        <v>5</v>
      </c>
      <c r="G453" s="2" t="s">
        <v>121</v>
      </c>
      <c r="H453" s="2" t="s">
        <v>418</v>
      </c>
      <c r="I453" s="2" t="s">
        <v>3393</v>
      </c>
      <c r="J453" s="3">
        <v>19.39</v>
      </c>
      <c r="K453" s="3">
        <v>19.39</v>
      </c>
      <c r="L453" s="2" t="s">
        <v>3391</v>
      </c>
      <c r="M453" s="2" t="s">
        <v>9</v>
      </c>
      <c r="N453" s="3">
        <v>996</v>
      </c>
      <c r="O453" s="2" t="s">
        <v>3392</v>
      </c>
      <c r="P453" s="2" t="s">
        <v>186</v>
      </c>
      <c r="Q453" s="3"/>
      <c r="R453" s="3"/>
      <c r="S453" s="2" t="s">
        <v>21</v>
      </c>
      <c r="T453" s="4">
        <v>44955</v>
      </c>
      <c r="U453" s="2" t="s">
        <v>1705</v>
      </c>
      <c r="V453" s="6">
        <f>(Sales[[#This Row],[Price_retail]]-Sales[[#This Row],[Price_current]])/Sales[[#This Row],[Price_retail]]</f>
        <v>0</v>
      </c>
      <c r="W453" s="3" t="str" cm="1">
        <f t="array" ref="W45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54" spans="1:23" x14ac:dyDescent="0.35">
      <c r="A454" s="2" t="s">
        <v>1706</v>
      </c>
      <c r="B454" s="2" t="s">
        <v>1707</v>
      </c>
      <c r="C454" s="2" t="s">
        <v>565</v>
      </c>
      <c r="D454" s="2" t="s">
        <v>742</v>
      </c>
      <c r="E454" s="2" t="s">
        <v>4</v>
      </c>
      <c r="F454" s="2" t="s">
        <v>5</v>
      </c>
      <c r="G454" s="2" t="s">
        <v>6</v>
      </c>
      <c r="H454" s="2" t="s">
        <v>168</v>
      </c>
      <c r="I454" s="2" t="s">
        <v>3393</v>
      </c>
      <c r="J454" s="3">
        <v>8.99</v>
      </c>
      <c r="K454" s="3">
        <v>8.99</v>
      </c>
      <c r="L454" s="2" t="s">
        <v>3391</v>
      </c>
      <c r="M454" s="2" t="s">
        <v>9</v>
      </c>
      <c r="N454" s="3">
        <v>531</v>
      </c>
      <c r="O454" s="2" t="s">
        <v>75</v>
      </c>
      <c r="P454" s="2" t="s">
        <v>53</v>
      </c>
      <c r="Q454" s="3"/>
      <c r="R454" s="3"/>
      <c r="S454" s="2" t="s">
        <v>12</v>
      </c>
      <c r="T454" s="4">
        <v>44955</v>
      </c>
      <c r="U454" s="2" t="s">
        <v>1708</v>
      </c>
      <c r="V454" s="6">
        <f>(Sales[[#This Row],[Price_retail]]-Sales[[#This Row],[Price_current]])/Sales[[#This Row],[Price_retail]]</f>
        <v>0</v>
      </c>
      <c r="W454" s="3" t="str" cm="1">
        <f t="array" ref="W4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55" spans="1:23" x14ac:dyDescent="0.35">
      <c r="A455" s="2" t="s">
        <v>1709</v>
      </c>
      <c r="B455" s="2" t="s">
        <v>1710</v>
      </c>
      <c r="C455" s="2" t="s">
        <v>1135</v>
      </c>
      <c r="D455" s="2" t="s">
        <v>97</v>
      </c>
      <c r="E455" s="2" t="s">
        <v>4</v>
      </c>
      <c r="F455" s="2" t="s">
        <v>5</v>
      </c>
      <c r="G455" s="2" t="s">
        <v>82</v>
      </c>
      <c r="H455" s="2" t="s">
        <v>90</v>
      </c>
      <c r="I455" s="2" t="s">
        <v>3390</v>
      </c>
      <c r="J455" s="3">
        <v>48.28</v>
      </c>
      <c r="K455" s="3">
        <v>21.13</v>
      </c>
      <c r="L455" s="2" t="s">
        <v>8</v>
      </c>
      <c r="M455" s="2" t="s">
        <v>9</v>
      </c>
      <c r="N455" s="3">
        <v>695</v>
      </c>
      <c r="O455" s="2" t="s">
        <v>267</v>
      </c>
      <c r="P455" s="2" t="s">
        <v>3392</v>
      </c>
      <c r="Q455" s="3"/>
      <c r="R455" s="3"/>
      <c r="S455" s="2" t="s">
        <v>21</v>
      </c>
      <c r="T455" s="4">
        <v>44955</v>
      </c>
      <c r="U455" s="2" t="s">
        <v>1711</v>
      </c>
      <c r="V455" s="6">
        <f>(Sales[[#This Row],[Price_retail]]-Sales[[#This Row],[Price_current]])/Sales[[#This Row],[Price_retail]]</f>
        <v>0.56234465617232809</v>
      </c>
      <c r="W455" s="3" t="str" cm="1">
        <f t="array" ref="W455">_xlfn.IFS(Sales[[#This Row],[Discount]]=0%,"No Discount",Sales[[#This Row],[Discount]]&lt;=20%,"Light",Sales[[#This Row],[Discount]]&lt;=50%,"Moderate",Sales[[#This Row],[Discount]]&lt;=80%,"High",
TRUE,"Very High")</f>
        <v>High</v>
      </c>
    </row>
    <row r="456" spans="1:23" x14ac:dyDescent="0.35">
      <c r="A456" s="2" t="s">
        <v>1712</v>
      </c>
      <c r="B456" s="2" t="s">
        <v>1713</v>
      </c>
      <c r="C456" s="2" t="s">
        <v>333</v>
      </c>
      <c r="D456" s="2" t="s">
        <v>89</v>
      </c>
      <c r="E456" s="2" t="s">
        <v>4</v>
      </c>
      <c r="F456" s="2" t="s">
        <v>5</v>
      </c>
      <c r="G456" s="2" t="s">
        <v>6</v>
      </c>
      <c r="H456" s="2" t="s">
        <v>90</v>
      </c>
      <c r="I456" s="2" t="s">
        <v>3390</v>
      </c>
      <c r="J456" s="3">
        <v>18.23</v>
      </c>
      <c r="K456" s="3">
        <v>10.59</v>
      </c>
      <c r="L456" s="2" t="s">
        <v>8</v>
      </c>
      <c r="M456" s="2" t="s">
        <v>9</v>
      </c>
      <c r="N456" s="3">
        <v>277</v>
      </c>
      <c r="O456" s="2" t="s">
        <v>69</v>
      </c>
      <c r="P456" s="2" t="s">
        <v>629</v>
      </c>
      <c r="Q456" s="3"/>
      <c r="R456" s="3"/>
      <c r="S456" s="2" t="s">
        <v>21</v>
      </c>
      <c r="T456" s="4">
        <v>44955</v>
      </c>
      <c r="U456" s="2" t="s">
        <v>1714</v>
      </c>
      <c r="V456" s="6">
        <f>(Sales[[#This Row],[Price_retail]]-Sales[[#This Row],[Price_current]])/Sales[[#This Row],[Price_retail]]</f>
        <v>0.4190894130554032</v>
      </c>
      <c r="W456" s="3" t="str" cm="1">
        <f t="array" ref="W45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57" spans="1:23" x14ac:dyDescent="0.35">
      <c r="A457" s="2" t="s">
        <v>1715</v>
      </c>
      <c r="B457" s="2" t="s">
        <v>1716</v>
      </c>
      <c r="C457" s="2" t="s">
        <v>88</v>
      </c>
      <c r="D457" s="2" t="s">
        <v>765</v>
      </c>
      <c r="E457" s="2" t="s">
        <v>4</v>
      </c>
      <c r="F457" s="2" t="s">
        <v>17</v>
      </c>
      <c r="G457" s="2" t="s">
        <v>67</v>
      </c>
      <c r="H457" s="2" t="s">
        <v>51</v>
      </c>
      <c r="I457" s="2" t="s">
        <v>3390</v>
      </c>
      <c r="J457" s="3">
        <v>16.149999999999999</v>
      </c>
      <c r="K457" s="3">
        <v>16.149999999999999</v>
      </c>
      <c r="L457" s="2" t="s">
        <v>248</v>
      </c>
      <c r="M457" s="2" t="s">
        <v>9</v>
      </c>
      <c r="N457" s="3">
        <v>786</v>
      </c>
      <c r="O457" s="2" t="s">
        <v>104</v>
      </c>
      <c r="P457" s="2" t="s">
        <v>84</v>
      </c>
      <c r="Q457" s="3"/>
      <c r="R457" s="3"/>
      <c r="S457" s="2" t="s">
        <v>21</v>
      </c>
      <c r="T457" s="4">
        <v>44955</v>
      </c>
      <c r="U457" s="2" t="s">
        <v>1717</v>
      </c>
      <c r="V457" s="6">
        <f>(Sales[[#This Row],[Price_retail]]-Sales[[#This Row],[Price_current]])/Sales[[#This Row],[Price_retail]]</f>
        <v>0</v>
      </c>
      <c r="W457" s="3" t="str" cm="1">
        <f t="array" ref="W45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58" spans="1:23" x14ac:dyDescent="0.35">
      <c r="A458" s="2" t="s">
        <v>1718</v>
      </c>
      <c r="B458" s="2" t="s">
        <v>1719</v>
      </c>
      <c r="C458" s="2" t="s">
        <v>242</v>
      </c>
      <c r="D458" s="2" t="s">
        <v>392</v>
      </c>
      <c r="E458" s="2" t="s">
        <v>4</v>
      </c>
      <c r="F458" s="2" t="s">
        <v>17</v>
      </c>
      <c r="G458" s="2" t="s">
        <v>50</v>
      </c>
      <c r="H458" s="2" t="s">
        <v>19</v>
      </c>
      <c r="I458" s="2" t="s">
        <v>3393</v>
      </c>
      <c r="J458" s="3">
        <v>23.89</v>
      </c>
      <c r="K458" s="3">
        <v>23.89</v>
      </c>
      <c r="L458" s="2" t="s">
        <v>3391</v>
      </c>
      <c r="M458" s="2" t="s">
        <v>9</v>
      </c>
      <c r="N458" s="3">
        <v>23</v>
      </c>
      <c r="O458" s="2" t="s">
        <v>60</v>
      </c>
      <c r="P458" s="2" t="s">
        <v>44</v>
      </c>
      <c r="Q458" s="3"/>
      <c r="R458" s="3"/>
      <c r="S458" s="2" t="s">
        <v>21</v>
      </c>
      <c r="T458" s="4">
        <v>44955</v>
      </c>
      <c r="U458" s="2" t="s">
        <v>1720</v>
      </c>
      <c r="V458" s="6">
        <f>(Sales[[#This Row],[Price_retail]]-Sales[[#This Row],[Price_current]])/Sales[[#This Row],[Price_retail]]</f>
        <v>0</v>
      </c>
      <c r="W458" s="3" t="str" cm="1">
        <f t="array" ref="W45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59" spans="1:23" x14ac:dyDescent="0.35">
      <c r="A459" s="2" t="s">
        <v>1721</v>
      </c>
      <c r="B459" s="2" t="s">
        <v>1722</v>
      </c>
      <c r="C459" s="2" t="s">
        <v>200</v>
      </c>
      <c r="D459" s="2" t="s">
        <v>1723</v>
      </c>
      <c r="E459" s="2" t="s">
        <v>4</v>
      </c>
      <c r="F459" s="2" t="s">
        <v>17</v>
      </c>
      <c r="G459" s="2" t="s">
        <v>50</v>
      </c>
      <c r="H459" s="2" t="s">
        <v>139</v>
      </c>
      <c r="I459" s="2" t="s">
        <v>3393</v>
      </c>
      <c r="J459" s="3">
        <v>9.92</v>
      </c>
      <c r="K459" s="3">
        <v>9.92</v>
      </c>
      <c r="L459" s="2" t="s">
        <v>3391</v>
      </c>
      <c r="M459" s="2" t="s">
        <v>9</v>
      </c>
      <c r="N459" s="3">
        <v>234</v>
      </c>
      <c r="O459" s="2" t="s">
        <v>3392</v>
      </c>
      <c r="P459" s="2" t="s">
        <v>44</v>
      </c>
      <c r="Q459" s="3"/>
      <c r="R459" s="3"/>
      <c r="S459" s="2" t="s">
        <v>21</v>
      </c>
      <c r="T459" s="4">
        <v>44955</v>
      </c>
      <c r="U459" s="2" t="s">
        <v>1724</v>
      </c>
      <c r="V459" s="6">
        <f>(Sales[[#This Row],[Price_retail]]-Sales[[#This Row],[Price_current]])/Sales[[#This Row],[Price_retail]]</f>
        <v>0</v>
      </c>
      <c r="W459" s="3" t="str" cm="1">
        <f t="array" ref="W45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0" spans="1:23" x14ac:dyDescent="0.35">
      <c r="A460" s="2" t="s">
        <v>1725</v>
      </c>
      <c r="B460" s="2" t="s">
        <v>1726</v>
      </c>
      <c r="C460" s="2" t="s">
        <v>3413</v>
      </c>
      <c r="D460" s="2" t="s">
        <v>1727</v>
      </c>
      <c r="E460" s="2" t="s">
        <v>4</v>
      </c>
      <c r="F460" s="2" t="s">
        <v>5</v>
      </c>
      <c r="G460" s="2" t="s">
        <v>82</v>
      </c>
      <c r="H460" s="2" t="s">
        <v>418</v>
      </c>
      <c r="I460" s="2" t="s">
        <v>3390</v>
      </c>
      <c r="J460" s="3">
        <v>17.11</v>
      </c>
      <c r="K460" s="3">
        <v>17.11</v>
      </c>
      <c r="L460" s="2" t="s">
        <v>3391</v>
      </c>
      <c r="M460" s="2" t="s">
        <v>9</v>
      </c>
      <c r="N460" s="3">
        <v>312</v>
      </c>
      <c r="O460" s="2" t="s">
        <v>347</v>
      </c>
      <c r="P460" s="2" t="s">
        <v>44</v>
      </c>
      <c r="Q460" s="3"/>
      <c r="R460" s="3"/>
      <c r="S460" s="2" t="s">
        <v>21</v>
      </c>
      <c r="T460" s="4">
        <v>44955</v>
      </c>
      <c r="U460" s="2" t="s">
        <v>1728</v>
      </c>
      <c r="V460" s="6">
        <f>(Sales[[#This Row],[Price_retail]]-Sales[[#This Row],[Price_current]])/Sales[[#This Row],[Price_retail]]</f>
        <v>0</v>
      </c>
      <c r="W460" s="3" t="str" cm="1">
        <f t="array" ref="W46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1" spans="1:23" x14ac:dyDescent="0.35">
      <c r="A461" s="2" t="s">
        <v>1729</v>
      </c>
      <c r="B461" s="2" t="s">
        <v>1730</v>
      </c>
      <c r="C461" s="2" t="s">
        <v>3410</v>
      </c>
      <c r="D461" s="2" t="s">
        <v>537</v>
      </c>
      <c r="E461" s="2" t="s">
        <v>4</v>
      </c>
      <c r="F461" s="2" t="s">
        <v>5</v>
      </c>
      <c r="G461" s="2" t="s">
        <v>82</v>
      </c>
      <c r="H461" s="2" t="s">
        <v>145</v>
      </c>
      <c r="I461" s="2" t="s">
        <v>3393</v>
      </c>
      <c r="J461" s="3">
        <v>10.55</v>
      </c>
      <c r="K461" s="3">
        <v>10.55</v>
      </c>
      <c r="L461" s="2" t="s">
        <v>3391</v>
      </c>
      <c r="M461" s="2" t="s">
        <v>9</v>
      </c>
      <c r="N461" s="3">
        <v>954</v>
      </c>
      <c r="O461" s="2" t="s">
        <v>69</v>
      </c>
      <c r="P461" s="2" t="s">
        <v>419</v>
      </c>
      <c r="Q461" s="3"/>
      <c r="R461" s="3"/>
      <c r="S461" s="2" t="s">
        <v>21</v>
      </c>
      <c r="T461" s="4">
        <v>44955</v>
      </c>
      <c r="U461" s="2" t="s">
        <v>1731</v>
      </c>
      <c r="V461" s="6">
        <f>(Sales[[#This Row],[Price_retail]]-Sales[[#This Row],[Price_current]])/Sales[[#This Row],[Price_retail]]</f>
        <v>0</v>
      </c>
      <c r="W461" s="3" t="str" cm="1">
        <f t="array" ref="W46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2" spans="1:23" x14ac:dyDescent="0.35">
      <c r="A462" s="2" t="s">
        <v>1732</v>
      </c>
      <c r="B462" s="2" t="s">
        <v>1733</v>
      </c>
      <c r="C462" s="2" t="s">
        <v>561</v>
      </c>
      <c r="D462" s="2" t="s">
        <v>3422</v>
      </c>
      <c r="E462" s="2" t="s">
        <v>4</v>
      </c>
      <c r="F462" s="2" t="s">
        <v>5</v>
      </c>
      <c r="G462" s="2" t="s">
        <v>82</v>
      </c>
      <c r="H462" s="2" t="s">
        <v>145</v>
      </c>
      <c r="I462" s="2" t="s">
        <v>3395</v>
      </c>
      <c r="J462" s="3">
        <v>36.869999999999997</v>
      </c>
      <c r="K462" s="3">
        <v>36.869999999999997</v>
      </c>
      <c r="L462" s="2" t="s">
        <v>3391</v>
      </c>
      <c r="M462" s="2" t="s">
        <v>9</v>
      </c>
      <c r="N462" s="3">
        <v>444</v>
      </c>
      <c r="O462" s="2" t="s">
        <v>267</v>
      </c>
      <c r="P462" s="2" t="s">
        <v>76</v>
      </c>
      <c r="Q462" s="3"/>
      <c r="R462" s="3"/>
      <c r="S462" s="2"/>
      <c r="T462" s="4">
        <v>44955</v>
      </c>
      <c r="U462" s="2" t="s">
        <v>1734</v>
      </c>
      <c r="V462" s="6">
        <f>(Sales[[#This Row],[Price_retail]]-Sales[[#This Row],[Price_current]])/Sales[[#This Row],[Price_retail]]</f>
        <v>0</v>
      </c>
      <c r="W462" s="3" t="str" cm="1">
        <f t="array" ref="W46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3" spans="1:23" x14ac:dyDescent="0.35">
      <c r="A463" s="2" t="s">
        <v>1735</v>
      </c>
      <c r="B463" s="2" t="s">
        <v>1736</v>
      </c>
      <c r="C463" s="2" t="s">
        <v>3404</v>
      </c>
      <c r="D463" s="2" t="s">
        <v>115</v>
      </c>
      <c r="E463" s="2" t="s">
        <v>4</v>
      </c>
      <c r="F463" s="2" t="s">
        <v>17</v>
      </c>
      <c r="G463" s="2" t="s">
        <v>27</v>
      </c>
      <c r="H463" s="2" t="s">
        <v>90</v>
      </c>
      <c r="I463" s="2" t="s">
        <v>3393</v>
      </c>
      <c r="J463" s="3">
        <v>8.99</v>
      </c>
      <c r="K463" s="3">
        <v>8.99</v>
      </c>
      <c r="L463" s="2" t="s">
        <v>3391</v>
      </c>
      <c r="M463" s="2" t="s">
        <v>9</v>
      </c>
      <c r="N463" s="3">
        <v>686</v>
      </c>
      <c r="O463" s="2" t="s">
        <v>3392</v>
      </c>
      <c r="P463" s="2" t="s">
        <v>44</v>
      </c>
      <c r="Q463" s="3"/>
      <c r="R463" s="3"/>
      <c r="S463" s="2" t="s">
        <v>12</v>
      </c>
      <c r="T463" s="4">
        <v>44955</v>
      </c>
      <c r="U463" s="2" t="s">
        <v>1737</v>
      </c>
      <c r="V463" s="6">
        <f>(Sales[[#This Row],[Price_retail]]-Sales[[#This Row],[Price_current]])/Sales[[#This Row],[Price_retail]]</f>
        <v>0</v>
      </c>
      <c r="W463" s="3" t="str" cm="1">
        <f t="array" ref="W4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4" spans="1:23" x14ac:dyDescent="0.35">
      <c r="A464" s="2" t="s">
        <v>1738</v>
      </c>
      <c r="B464" s="2" t="s">
        <v>1739</v>
      </c>
      <c r="C464" s="2" t="s">
        <v>108</v>
      </c>
      <c r="D464" s="2" t="s">
        <v>640</v>
      </c>
      <c r="E464" s="2" t="s">
        <v>4</v>
      </c>
      <c r="F464" s="2" t="s">
        <v>17</v>
      </c>
      <c r="G464" s="2" t="s">
        <v>50</v>
      </c>
      <c r="H464" s="2" t="s">
        <v>139</v>
      </c>
      <c r="I464" s="2" t="s">
        <v>3393</v>
      </c>
      <c r="J464" s="3">
        <v>16.2</v>
      </c>
      <c r="K464" s="3">
        <v>16.2</v>
      </c>
      <c r="L464" s="2" t="s">
        <v>3391</v>
      </c>
      <c r="M464" s="2" t="s">
        <v>9</v>
      </c>
      <c r="N464" s="3">
        <v>196</v>
      </c>
      <c r="O464" s="2" t="s">
        <v>69</v>
      </c>
      <c r="P464" s="2" t="s">
        <v>238</v>
      </c>
      <c r="Q464" s="3"/>
      <c r="R464" s="3"/>
      <c r="S464" s="2" t="s">
        <v>12</v>
      </c>
      <c r="T464" s="4">
        <v>44955</v>
      </c>
      <c r="U464" s="2" t="s">
        <v>1740</v>
      </c>
      <c r="V464" s="6">
        <f>(Sales[[#This Row],[Price_retail]]-Sales[[#This Row],[Price_current]])/Sales[[#This Row],[Price_retail]]</f>
        <v>0</v>
      </c>
      <c r="W464" s="3" t="str" cm="1">
        <f t="array" ref="W4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5" spans="1:23" x14ac:dyDescent="0.35">
      <c r="A465" s="2" t="s">
        <v>1741</v>
      </c>
      <c r="B465" s="2" t="s">
        <v>1742</v>
      </c>
      <c r="C465" s="2" t="s">
        <v>1743</v>
      </c>
      <c r="D465" s="2" t="s">
        <v>711</v>
      </c>
      <c r="E465" s="2" t="s">
        <v>4</v>
      </c>
      <c r="F465" s="2" t="s">
        <v>17</v>
      </c>
      <c r="G465" s="2" t="s">
        <v>27</v>
      </c>
      <c r="H465" s="2" t="s">
        <v>83</v>
      </c>
      <c r="I465" s="2" t="s">
        <v>3390</v>
      </c>
      <c r="J465" s="3">
        <v>18.75</v>
      </c>
      <c r="K465" s="3">
        <v>18.75</v>
      </c>
      <c r="L465" s="2" t="s">
        <v>3391</v>
      </c>
      <c r="M465" s="2" t="s">
        <v>9</v>
      </c>
      <c r="N465" s="3">
        <v>556</v>
      </c>
      <c r="O465" s="2" t="s">
        <v>52</v>
      </c>
      <c r="P465" s="2" t="s">
        <v>169</v>
      </c>
      <c r="Q465" s="3"/>
      <c r="R465" s="3"/>
      <c r="S465" s="2" t="s">
        <v>21</v>
      </c>
      <c r="T465" s="4">
        <v>44955</v>
      </c>
      <c r="U465" s="2" t="s">
        <v>1744</v>
      </c>
      <c r="V465" s="6">
        <f>(Sales[[#This Row],[Price_retail]]-Sales[[#This Row],[Price_current]])/Sales[[#This Row],[Price_retail]]</f>
        <v>0</v>
      </c>
      <c r="W465" s="3" t="str" cm="1">
        <f t="array" ref="W4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6" spans="1:23" x14ac:dyDescent="0.35">
      <c r="A466" s="2" t="s">
        <v>1745</v>
      </c>
      <c r="B466" s="2" t="s">
        <v>1746</v>
      </c>
      <c r="C466" s="2" t="s">
        <v>1747</v>
      </c>
      <c r="D466" s="2" t="s">
        <v>1748</v>
      </c>
      <c r="E466" s="2" t="s">
        <v>4</v>
      </c>
      <c r="F466" s="2" t="s">
        <v>17</v>
      </c>
      <c r="G466" s="2" t="s">
        <v>50</v>
      </c>
      <c r="H466" s="2"/>
      <c r="I466" s="2" t="s">
        <v>3390</v>
      </c>
      <c r="J466" s="3">
        <v>19.440000000000001</v>
      </c>
      <c r="K466" s="3">
        <v>19.440000000000001</v>
      </c>
      <c r="L466" s="2" t="s">
        <v>3391</v>
      </c>
      <c r="M466" s="2" t="s">
        <v>9</v>
      </c>
      <c r="N466" s="3">
        <v>547</v>
      </c>
      <c r="O466" s="2" t="s">
        <v>3392</v>
      </c>
      <c r="P466" s="2" t="s">
        <v>288</v>
      </c>
      <c r="Q466" s="3"/>
      <c r="R466" s="3"/>
      <c r="S466" s="2" t="s">
        <v>21</v>
      </c>
      <c r="T466" s="4">
        <v>44955</v>
      </c>
      <c r="U466" s="2" t="s">
        <v>1749</v>
      </c>
      <c r="V466" s="6">
        <f>(Sales[[#This Row],[Price_retail]]-Sales[[#This Row],[Price_current]])/Sales[[#This Row],[Price_retail]]</f>
        <v>0</v>
      </c>
      <c r="W466" s="3" t="str" cm="1">
        <f t="array" ref="W4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7" spans="1:23" x14ac:dyDescent="0.35">
      <c r="A467" s="2" t="s">
        <v>1750</v>
      </c>
      <c r="B467" s="2" t="s">
        <v>1751</v>
      </c>
      <c r="C467" s="2" t="s">
        <v>119</v>
      </c>
      <c r="D467" s="2" t="s">
        <v>42</v>
      </c>
      <c r="E467" s="2" t="s">
        <v>4</v>
      </c>
      <c r="F467" s="2" t="s">
        <v>5</v>
      </c>
      <c r="G467" s="2" t="s">
        <v>82</v>
      </c>
      <c r="H467" s="2" t="s">
        <v>19</v>
      </c>
      <c r="I467" s="2" t="s">
        <v>3395</v>
      </c>
      <c r="J467" s="3">
        <v>11.36</v>
      </c>
      <c r="K467" s="3">
        <v>11.36</v>
      </c>
      <c r="L467" s="2" t="s">
        <v>3391</v>
      </c>
      <c r="M467" s="2" t="s">
        <v>9</v>
      </c>
      <c r="N467" s="3">
        <v>599</v>
      </c>
      <c r="O467" s="2" t="s">
        <v>191</v>
      </c>
      <c r="P467" s="2" t="s">
        <v>44</v>
      </c>
      <c r="Q467" s="3"/>
      <c r="R467" s="3"/>
      <c r="S467" s="2" t="s">
        <v>21</v>
      </c>
      <c r="T467" s="4">
        <v>44955</v>
      </c>
      <c r="U467" s="2" t="s">
        <v>1752</v>
      </c>
      <c r="V467" s="6">
        <f>(Sales[[#This Row],[Price_retail]]-Sales[[#This Row],[Price_current]])/Sales[[#This Row],[Price_retail]]</f>
        <v>0</v>
      </c>
      <c r="W467" s="3" t="str" cm="1">
        <f t="array" ref="W4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68" spans="1:23" x14ac:dyDescent="0.35">
      <c r="A468" s="2" t="s">
        <v>1753</v>
      </c>
      <c r="B468" s="2" t="s">
        <v>1754</v>
      </c>
      <c r="C468" s="2" t="s">
        <v>3433</v>
      </c>
      <c r="D468" s="2" t="s">
        <v>1324</v>
      </c>
      <c r="E468" s="2" t="s">
        <v>4</v>
      </c>
      <c r="F468" s="2" t="s">
        <v>17</v>
      </c>
      <c r="G468" s="2" t="s">
        <v>67</v>
      </c>
      <c r="H468" s="2" t="s">
        <v>19</v>
      </c>
      <c r="I468" s="2" t="s">
        <v>3393</v>
      </c>
      <c r="J468" s="3">
        <v>9.56</v>
      </c>
      <c r="K468" s="3">
        <v>6.19</v>
      </c>
      <c r="L468" s="2" t="s">
        <v>8</v>
      </c>
      <c r="M468" s="2" t="s">
        <v>9</v>
      </c>
      <c r="N468" s="3">
        <v>291</v>
      </c>
      <c r="O468" s="2" t="s">
        <v>69</v>
      </c>
      <c r="P468" s="2" t="s">
        <v>3392</v>
      </c>
      <c r="Q468" s="3"/>
      <c r="R468" s="3"/>
      <c r="S468" s="2" t="s">
        <v>12</v>
      </c>
      <c r="T468" s="4">
        <v>44955</v>
      </c>
      <c r="U468" s="2" t="s">
        <v>1755</v>
      </c>
      <c r="V468" s="6">
        <f>(Sales[[#This Row],[Price_retail]]-Sales[[#This Row],[Price_current]])/Sales[[#This Row],[Price_retail]]</f>
        <v>0.35251046025104604</v>
      </c>
      <c r="W468" s="3" t="str" cm="1">
        <f t="array" ref="W46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69" spans="1:23" x14ac:dyDescent="0.35">
      <c r="A469" s="2" t="s">
        <v>1756</v>
      </c>
      <c r="B469" s="2" t="s">
        <v>1757</v>
      </c>
      <c r="C469" s="2" t="s">
        <v>484</v>
      </c>
      <c r="D469" s="2" t="s">
        <v>450</v>
      </c>
      <c r="E469" s="2" t="s">
        <v>4</v>
      </c>
      <c r="F469" s="2" t="s">
        <v>5</v>
      </c>
      <c r="G469" s="2" t="s">
        <v>82</v>
      </c>
      <c r="H469" s="2" t="s">
        <v>59</v>
      </c>
      <c r="I469" s="2" t="s">
        <v>3393</v>
      </c>
      <c r="J469" s="3">
        <v>11.45</v>
      </c>
      <c r="K469" s="3">
        <v>11.45</v>
      </c>
      <c r="L469" s="2" t="s">
        <v>3391</v>
      </c>
      <c r="M469" s="2" t="s">
        <v>9</v>
      </c>
      <c r="N469" s="3">
        <v>950</v>
      </c>
      <c r="O469" s="2" t="s">
        <v>191</v>
      </c>
      <c r="P469" s="2" t="s">
        <v>30</v>
      </c>
      <c r="Q469" s="3"/>
      <c r="R469" s="3"/>
      <c r="S469" s="2" t="s">
        <v>21</v>
      </c>
      <c r="T469" s="4">
        <v>44955</v>
      </c>
      <c r="U469" s="2" t="s">
        <v>1758</v>
      </c>
      <c r="V469" s="6">
        <f>(Sales[[#This Row],[Price_retail]]-Sales[[#This Row],[Price_current]])/Sales[[#This Row],[Price_retail]]</f>
        <v>0</v>
      </c>
      <c r="W469" s="3" t="str" cm="1">
        <f t="array" ref="W46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0" spans="1:23" x14ac:dyDescent="0.35">
      <c r="A470" s="2" t="s">
        <v>1759</v>
      </c>
      <c r="B470" s="2" t="s">
        <v>1760</v>
      </c>
      <c r="C470" s="2" t="s">
        <v>3406</v>
      </c>
      <c r="D470" s="2" t="s">
        <v>279</v>
      </c>
      <c r="E470" s="2" t="s">
        <v>4</v>
      </c>
      <c r="F470" s="2" t="s">
        <v>17</v>
      </c>
      <c r="G470" s="2" t="s">
        <v>50</v>
      </c>
      <c r="H470" s="2" t="s">
        <v>28</v>
      </c>
      <c r="I470" s="2" t="s">
        <v>3395</v>
      </c>
      <c r="J470" s="3">
        <v>20.92</v>
      </c>
      <c r="K470" s="3">
        <v>10.6</v>
      </c>
      <c r="L470" s="2" t="s">
        <v>8</v>
      </c>
      <c r="M470" s="2" t="s">
        <v>9</v>
      </c>
      <c r="N470" s="3">
        <v>968</v>
      </c>
      <c r="O470" s="2" t="s">
        <v>98</v>
      </c>
      <c r="P470" s="2" t="s">
        <v>30</v>
      </c>
      <c r="Q470" s="3"/>
      <c r="R470" s="3"/>
      <c r="S470" s="2" t="s">
        <v>21</v>
      </c>
      <c r="T470" s="4">
        <v>44955</v>
      </c>
      <c r="U470" s="2" t="s">
        <v>1761</v>
      </c>
      <c r="V470" s="6">
        <f>(Sales[[#This Row],[Price_retail]]-Sales[[#This Row],[Price_current]])/Sales[[#This Row],[Price_retail]]</f>
        <v>0.49330783938814537</v>
      </c>
      <c r="W470" s="3" t="str" cm="1">
        <f t="array" ref="W47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71" spans="1:23" x14ac:dyDescent="0.35">
      <c r="A471" s="2" t="s">
        <v>1762</v>
      </c>
      <c r="B471" s="2" t="s">
        <v>1763</v>
      </c>
      <c r="C471" s="2" t="s">
        <v>698</v>
      </c>
      <c r="D471" s="2" t="s">
        <v>26</v>
      </c>
      <c r="E471" s="2" t="s">
        <v>4</v>
      </c>
      <c r="F471" s="2" t="s">
        <v>17</v>
      </c>
      <c r="G471" s="2" t="s">
        <v>27</v>
      </c>
      <c r="H471" s="2" t="s">
        <v>28</v>
      </c>
      <c r="I471" s="2" t="s">
        <v>3390</v>
      </c>
      <c r="J471" s="3">
        <v>14.45</v>
      </c>
      <c r="K471" s="3">
        <v>11.12</v>
      </c>
      <c r="L471" s="2" t="s">
        <v>8</v>
      </c>
      <c r="M471" s="2" t="s">
        <v>9</v>
      </c>
      <c r="N471" s="3">
        <v>904</v>
      </c>
      <c r="O471" s="2" t="s">
        <v>267</v>
      </c>
      <c r="P471" s="2" t="s">
        <v>92</v>
      </c>
      <c r="Q471" s="3"/>
      <c r="R471" s="3"/>
      <c r="S471" s="2" t="s">
        <v>12</v>
      </c>
      <c r="T471" s="4">
        <v>44955</v>
      </c>
      <c r="U471" s="2" t="s">
        <v>1764</v>
      </c>
      <c r="V471" s="6">
        <f>(Sales[[#This Row],[Price_retail]]-Sales[[#This Row],[Price_current]])/Sales[[#This Row],[Price_retail]]</f>
        <v>0.23044982698961938</v>
      </c>
      <c r="W471" s="3" t="str" cm="1">
        <f t="array" ref="W47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72" spans="1:23" x14ac:dyDescent="0.35">
      <c r="A472" s="2" t="s">
        <v>1765</v>
      </c>
      <c r="B472" s="2" t="s">
        <v>1766</v>
      </c>
      <c r="C472" s="2" t="s">
        <v>1425</v>
      </c>
      <c r="D472" s="2" t="s">
        <v>247</v>
      </c>
      <c r="E472" s="2" t="s">
        <v>4</v>
      </c>
      <c r="F472" s="2" t="s">
        <v>17</v>
      </c>
      <c r="G472" s="2" t="s">
        <v>67</v>
      </c>
      <c r="H472" s="2" t="s">
        <v>68</v>
      </c>
      <c r="I472" s="2" t="s">
        <v>3390</v>
      </c>
      <c r="J472" s="3">
        <v>24.24</v>
      </c>
      <c r="K472" s="3">
        <v>24.24</v>
      </c>
      <c r="L472" s="2" t="s">
        <v>3391</v>
      </c>
      <c r="M472" s="2" t="s">
        <v>9</v>
      </c>
      <c r="N472" s="3">
        <v>747</v>
      </c>
      <c r="O472" s="2" t="s">
        <v>347</v>
      </c>
      <c r="P472" s="2" t="s">
        <v>44</v>
      </c>
      <c r="Q472" s="3"/>
      <c r="R472" s="3"/>
      <c r="S472" s="2" t="s">
        <v>12</v>
      </c>
      <c r="T472" s="4">
        <v>44955</v>
      </c>
      <c r="U472" s="2" t="s">
        <v>1767</v>
      </c>
      <c r="V472" s="6">
        <f>(Sales[[#This Row],[Price_retail]]-Sales[[#This Row],[Price_current]])/Sales[[#This Row],[Price_retail]]</f>
        <v>0</v>
      </c>
      <c r="W472" s="3" t="str" cm="1">
        <f t="array" ref="W47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3" spans="1:23" x14ac:dyDescent="0.35">
      <c r="A473" s="2" t="s">
        <v>1768</v>
      </c>
      <c r="B473" s="2" t="s">
        <v>1769</v>
      </c>
      <c r="C473" s="2" t="s">
        <v>65</v>
      </c>
      <c r="D473" s="2" t="s">
        <v>776</v>
      </c>
      <c r="E473" s="2" t="s">
        <v>4</v>
      </c>
      <c r="F473" s="2" t="s">
        <v>5</v>
      </c>
      <c r="G473" s="2" t="s">
        <v>6</v>
      </c>
      <c r="H473" s="2" t="s">
        <v>83</v>
      </c>
      <c r="I473" s="2" t="s">
        <v>3393</v>
      </c>
      <c r="J473" s="3">
        <v>20.34</v>
      </c>
      <c r="K473" s="3">
        <v>20.34</v>
      </c>
      <c r="L473" s="2" t="s">
        <v>3391</v>
      </c>
      <c r="M473" s="2" t="s">
        <v>9</v>
      </c>
      <c r="N473" s="3">
        <v>850</v>
      </c>
      <c r="O473" s="2" t="s">
        <v>261</v>
      </c>
      <c r="P473" s="2" t="s">
        <v>92</v>
      </c>
      <c r="Q473" s="3"/>
      <c r="R473" s="3"/>
      <c r="S473" s="2" t="s">
        <v>21</v>
      </c>
      <c r="T473" s="4">
        <v>44955</v>
      </c>
      <c r="U473" s="2" t="s">
        <v>1770</v>
      </c>
      <c r="V473" s="6">
        <f>(Sales[[#This Row],[Price_retail]]-Sales[[#This Row],[Price_current]])/Sales[[#This Row],[Price_retail]]</f>
        <v>0</v>
      </c>
      <c r="W473" s="3" t="str" cm="1">
        <f t="array" ref="W4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4" spans="1:23" x14ac:dyDescent="0.35">
      <c r="A474" s="2" t="s">
        <v>1771</v>
      </c>
      <c r="B474" s="2" t="s">
        <v>1772</v>
      </c>
      <c r="C474" s="2" t="s">
        <v>995</v>
      </c>
      <c r="D474" s="2" t="s">
        <v>1773</v>
      </c>
      <c r="E474" s="2" t="s">
        <v>4</v>
      </c>
      <c r="F474" s="2" t="s">
        <v>17</v>
      </c>
      <c r="G474" s="2" t="s">
        <v>67</v>
      </c>
      <c r="H474" s="2" t="s">
        <v>333</v>
      </c>
      <c r="I474" s="2" t="s">
        <v>3390</v>
      </c>
      <c r="J474" s="3">
        <v>8.99</v>
      </c>
      <c r="K474" s="3">
        <v>8.99</v>
      </c>
      <c r="L474" s="2" t="s">
        <v>3391</v>
      </c>
      <c r="M474" s="2" t="s">
        <v>9</v>
      </c>
      <c r="N474" s="3">
        <v>455</v>
      </c>
      <c r="O474" s="2" t="s">
        <v>60</v>
      </c>
      <c r="P474" s="2" t="s">
        <v>44</v>
      </c>
      <c r="Q474" s="3"/>
      <c r="R474" s="3"/>
      <c r="S474" s="2" t="s">
        <v>12</v>
      </c>
      <c r="T474" s="4">
        <v>44955</v>
      </c>
      <c r="U474" s="2" t="s">
        <v>1774</v>
      </c>
      <c r="V474" s="6">
        <f>(Sales[[#This Row],[Price_retail]]-Sales[[#This Row],[Price_current]])/Sales[[#This Row],[Price_retail]]</f>
        <v>0</v>
      </c>
      <c r="W474" s="3" t="str" cm="1">
        <f t="array" ref="W47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5" spans="1:23" x14ac:dyDescent="0.35">
      <c r="A475" s="2" t="s">
        <v>1775</v>
      </c>
      <c r="B475" s="2" t="s">
        <v>1776</v>
      </c>
      <c r="C475" s="2" t="s">
        <v>484</v>
      </c>
      <c r="D475" s="2" t="s">
        <v>1184</v>
      </c>
      <c r="E475" s="2" t="s">
        <v>4</v>
      </c>
      <c r="F475" s="2" t="s">
        <v>17</v>
      </c>
      <c r="G475" s="2" t="s">
        <v>50</v>
      </c>
      <c r="H475" s="2" t="s">
        <v>90</v>
      </c>
      <c r="I475" s="2" t="s">
        <v>3390</v>
      </c>
      <c r="J475" s="3">
        <v>17.920000000000002</v>
      </c>
      <c r="K475" s="3">
        <v>17.920000000000002</v>
      </c>
      <c r="L475" s="2" t="s">
        <v>248</v>
      </c>
      <c r="M475" s="2" t="s">
        <v>9</v>
      </c>
      <c r="N475" s="3">
        <v>735</v>
      </c>
      <c r="O475" s="2" t="s">
        <v>75</v>
      </c>
      <c r="P475" s="2" t="s">
        <v>70</v>
      </c>
      <c r="Q475" s="3"/>
      <c r="R475" s="3"/>
      <c r="S475" s="2" t="s">
        <v>21</v>
      </c>
      <c r="T475" s="4">
        <v>44955</v>
      </c>
      <c r="U475" s="2" t="s">
        <v>1777</v>
      </c>
      <c r="V475" s="6">
        <f>(Sales[[#This Row],[Price_retail]]-Sales[[#This Row],[Price_current]])/Sales[[#This Row],[Price_retail]]</f>
        <v>0</v>
      </c>
      <c r="W475" s="3" t="str" cm="1">
        <f t="array" ref="W47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6" spans="1:23" x14ac:dyDescent="0.35">
      <c r="A476" s="2" t="s">
        <v>1778</v>
      </c>
      <c r="B476" s="2" t="s">
        <v>1779</v>
      </c>
      <c r="C476" s="2" t="s">
        <v>1743</v>
      </c>
      <c r="D476" s="2" t="s">
        <v>1780</v>
      </c>
      <c r="E476" s="2" t="s">
        <v>4</v>
      </c>
      <c r="F476" s="2" t="s">
        <v>17</v>
      </c>
      <c r="G476" s="2" t="s">
        <v>67</v>
      </c>
      <c r="H476" s="2" t="s">
        <v>7</v>
      </c>
      <c r="I476" s="2" t="s">
        <v>3390</v>
      </c>
      <c r="J476" s="3">
        <v>53.93</v>
      </c>
      <c r="K476" s="3">
        <v>53.93</v>
      </c>
      <c r="L476" s="2" t="s">
        <v>3391</v>
      </c>
      <c r="M476" s="2" t="s">
        <v>9</v>
      </c>
      <c r="N476" s="3">
        <v>21</v>
      </c>
      <c r="O476" s="2" t="s">
        <v>163</v>
      </c>
      <c r="P476" s="2" t="s">
        <v>215</v>
      </c>
      <c r="Q476" s="3"/>
      <c r="R476" s="3"/>
      <c r="S476" s="2" t="s">
        <v>21</v>
      </c>
      <c r="T476" s="4">
        <v>44955</v>
      </c>
      <c r="U476" s="2" t="s">
        <v>1781</v>
      </c>
      <c r="V476" s="6">
        <f>(Sales[[#This Row],[Price_retail]]-Sales[[#This Row],[Price_current]])/Sales[[#This Row],[Price_retail]]</f>
        <v>0</v>
      </c>
      <c r="W476" s="3" t="str" cm="1">
        <f t="array" ref="W47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7" spans="1:23" x14ac:dyDescent="0.35">
      <c r="A477" s="2" t="s">
        <v>1782</v>
      </c>
      <c r="B477" s="2" t="s">
        <v>1783</v>
      </c>
      <c r="C477" s="2" t="s">
        <v>1784</v>
      </c>
      <c r="D477" s="2" t="s">
        <v>144</v>
      </c>
      <c r="E477" s="2" t="s">
        <v>4</v>
      </c>
      <c r="F477" s="2" t="s">
        <v>17</v>
      </c>
      <c r="G477" s="2" t="s">
        <v>50</v>
      </c>
      <c r="H477" s="2" t="s">
        <v>145</v>
      </c>
      <c r="I477" s="2" t="s">
        <v>3390</v>
      </c>
      <c r="J477" s="3">
        <v>32.42</v>
      </c>
      <c r="K477" s="3">
        <v>22.14</v>
      </c>
      <c r="L477" s="2" t="s">
        <v>8</v>
      </c>
      <c r="M477" s="2" t="s">
        <v>9</v>
      </c>
      <c r="N477" s="3">
        <v>348</v>
      </c>
      <c r="O477" s="2" t="s">
        <v>3392</v>
      </c>
      <c r="P477" s="2" t="s">
        <v>238</v>
      </c>
      <c r="Q477" s="3"/>
      <c r="R477" s="3"/>
      <c r="S477" s="2" t="s">
        <v>21</v>
      </c>
      <c r="T477" s="4">
        <v>44955</v>
      </c>
      <c r="U477" s="2" t="s">
        <v>1785</v>
      </c>
      <c r="V477" s="6">
        <f>(Sales[[#This Row],[Price_retail]]-Sales[[#This Row],[Price_current]])/Sales[[#This Row],[Price_retail]]</f>
        <v>0.31708821714990748</v>
      </c>
      <c r="W477" s="3" t="str" cm="1">
        <f t="array" ref="W47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78" spans="1:23" x14ac:dyDescent="0.35">
      <c r="A478" s="2" t="s">
        <v>1786</v>
      </c>
      <c r="B478" s="2" t="s">
        <v>1787</v>
      </c>
      <c r="C478" s="2" t="s">
        <v>1115</v>
      </c>
      <c r="D478" s="2" t="s">
        <v>1243</v>
      </c>
      <c r="E478" s="2" t="s">
        <v>4</v>
      </c>
      <c r="F478" s="2" t="s">
        <v>17</v>
      </c>
      <c r="G478" s="2" t="s">
        <v>18</v>
      </c>
      <c r="H478" s="2" t="s">
        <v>90</v>
      </c>
      <c r="I478" s="2" t="s">
        <v>3395</v>
      </c>
      <c r="J478" s="3">
        <v>19.73</v>
      </c>
      <c r="K478" s="3">
        <v>19.73</v>
      </c>
      <c r="L478" s="2" t="s">
        <v>3391</v>
      </c>
      <c r="M478" s="2" t="s">
        <v>9</v>
      </c>
      <c r="N478" s="3">
        <v>845</v>
      </c>
      <c r="O478" s="2" t="s">
        <v>267</v>
      </c>
      <c r="P478" s="2" t="s">
        <v>53</v>
      </c>
      <c r="Q478" s="3"/>
      <c r="R478" s="3"/>
      <c r="S478" s="2" t="s">
        <v>21</v>
      </c>
      <c r="T478" s="4">
        <v>44955</v>
      </c>
      <c r="U478" s="2" t="s">
        <v>1788</v>
      </c>
      <c r="V478" s="6">
        <f>(Sales[[#This Row],[Price_retail]]-Sales[[#This Row],[Price_current]])/Sales[[#This Row],[Price_retail]]</f>
        <v>0</v>
      </c>
      <c r="W478" s="3" t="str" cm="1">
        <f t="array" ref="W4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79" spans="1:23" x14ac:dyDescent="0.35">
      <c r="A479" s="2" t="s">
        <v>1789</v>
      </c>
      <c r="B479" s="2" t="s">
        <v>1790</v>
      </c>
      <c r="C479" s="2" t="s">
        <v>2915</v>
      </c>
      <c r="D479" s="2" t="s">
        <v>42</v>
      </c>
      <c r="E479" s="2" t="s">
        <v>4</v>
      </c>
      <c r="F479" s="2" t="s">
        <v>5</v>
      </c>
      <c r="G479" s="2" t="s">
        <v>121</v>
      </c>
      <c r="H479" s="2" t="s">
        <v>19</v>
      </c>
      <c r="I479" s="2" t="s">
        <v>3393</v>
      </c>
      <c r="J479" s="3">
        <v>8.99</v>
      </c>
      <c r="K479" s="3">
        <v>8.99</v>
      </c>
      <c r="L479" s="2" t="s">
        <v>3391</v>
      </c>
      <c r="M479" s="2" t="s">
        <v>9</v>
      </c>
      <c r="N479" s="3">
        <v>133</v>
      </c>
      <c r="O479" s="2" t="s">
        <v>29</v>
      </c>
      <c r="P479" s="2" t="s">
        <v>419</v>
      </c>
      <c r="Q479" s="3"/>
      <c r="R479" s="3"/>
      <c r="S479" s="2" t="s">
        <v>12</v>
      </c>
      <c r="T479" s="4">
        <v>44955</v>
      </c>
      <c r="U479" s="2" t="s">
        <v>1791</v>
      </c>
      <c r="V479" s="6">
        <f>(Sales[[#This Row],[Price_retail]]-Sales[[#This Row],[Price_current]])/Sales[[#This Row],[Price_retail]]</f>
        <v>0</v>
      </c>
      <c r="W479" s="3" t="str" cm="1">
        <f t="array" ref="W47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80" spans="1:23" x14ac:dyDescent="0.35">
      <c r="A480" s="2" t="s">
        <v>1792</v>
      </c>
      <c r="B480" s="2" t="s">
        <v>1793</v>
      </c>
      <c r="C480" s="2" t="s">
        <v>200</v>
      </c>
      <c r="D480" s="2" t="s">
        <v>1091</v>
      </c>
      <c r="E480" s="2" t="s">
        <v>4</v>
      </c>
      <c r="F480" s="2" t="s">
        <v>17</v>
      </c>
      <c r="G480" s="2" t="s">
        <v>50</v>
      </c>
      <c r="H480" s="2" t="s">
        <v>7</v>
      </c>
      <c r="I480" s="2" t="s">
        <v>3393</v>
      </c>
      <c r="J480" s="3">
        <v>20.34</v>
      </c>
      <c r="K480" s="3">
        <v>11.3</v>
      </c>
      <c r="L480" s="2" t="s">
        <v>8</v>
      </c>
      <c r="M480" s="2" t="s">
        <v>9</v>
      </c>
      <c r="N480" s="3">
        <v>600</v>
      </c>
      <c r="O480" s="2" t="s">
        <v>69</v>
      </c>
      <c r="P480" s="2" t="s">
        <v>76</v>
      </c>
      <c r="Q480" s="3"/>
      <c r="R480" s="3"/>
      <c r="S480" s="2" t="s">
        <v>21</v>
      </c>
      <c r="T480" s="4">
        <v>44955</v>
      </c>
      <c r="U480" s="2" t="s">
        <v>1794</v>
      </c>
      <c r="V480" s="6">
        <f>(Sales[[#This Row],[Price_retail]]-Sales[[#This Row],[Price_current]])/Sales[[#This Row],[Price_retail]]</f>
        <v>0.44444444444444442</v>
      </c>
      <c r="W480" s="3" t="str" cm="1">
        <f t="array" ref="W48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81" spans="1:23" x14ac:dyDescent="0.35">
      <c r="A481" s="2" t="s">
        <v>1795</v>
      </c>
      <c r="B481" s="2" t="s">
        <v>1796</v>
      </c>
      <c r="C481" s="2" t="s">
        <v>1797</v>
      </c>
      <c r="D481" s="2" t="s">
        <v>58</v>
      </c>
      <c r="E481" s="2" t="s">
        <v>4</v>
      </c>
      <c r="F481" s="2" t="s">
        <v>17</v>
      </c>
      <c r="G481" s="2" t="s">
        <v>27</v>
      </c>
      <c r="H481" s="2" t="s">
        <v>59</v>
      </c>
      <c r="I481" s="2" t="s">
        <v>3390</v>
      </c>
      <c r="J481" s="3">
        <v>23.5</v>
      </c>
      <c r="K481" s="3">
        <v>23.5</v>
      </c>
      <c r="L481" s="2" t="s">
        <v>3391</v>
      </c>
      <c r="M481" s="2" t="s">
        <v>9</v>
      </c>
      <c r="N481" s="3">
        <v>654</v>
      </c>
      <c r="O481" s="2" t="s">
        <v>20</v>
      </c>
      <c r="P481" s="2" t="s">
        <v>44</v>
      </c>
      <c r="Q481" s="3"/>
      <c r="R481" s="3"/>
      <c r="S481" s="2" t="s">
        <v>21</v>
      </c>
      <c r="T481" s="4">
        <v>44955</v>
      </c>
      <c r="U481" s="2" t="s">
        <v>1798</v>
      </c>
      <c r="V481" s="6">
        <f>(Sales[[#This Row],[Price_retail]]-Sales[[#This Row],[Price_current]])/Sales[[#This Row],[Price_retail]]</f>
        <v>0</v>
      </c>
      <c r="W481" s="3" t="str" cm="1">
        <f t="array" ref="W48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82" spans="1:23" x14ac:dyDescent="0.35">
      <c r="A482" s="2" t="s">
        <v>1799</v>
      </c>
      <c r="B482" s="2" t="s">
        <v>1800</v>
      </c>
      <c r="C482" s="2" t="s">
        <v>65</v>
      </c>
      <c r="D482" s="2" t="s">
        <v>625</v>
      </c>
      <c r="E482" s="2" t="s">
        <v>4</v>
      </c>
      <c r="F482" s="2" t="s">
        <v>17</v>
      </c>
      <c r="G482" s="2" t="s">
        <v>50</v>
      </c>
      <c r="H482" s="2" t="s">
        <v>333</v>
      </c>
      <c r="I482" s="2" t="s">
        <v>3395</v>
      </c>
      <c r="J482" s="3">
        <v>13.61</v>
      </c>
      <c r="K482" s="3">
        <v>13.61</v>
      </c>
      <c r="L482" s="2" t="s">
        <v>3391</v>
      </c>
      <c r="M482" s="2" t="s">
        <v>9</v>
      </c>
      <c r="N482" s="3">
        <v>833</v>
      </c>
      <c r="O482" s="2" t="s">
        <v>69</v>
      </c>
      <c r="P482" s="2" t="s">
        <v>84</v>
      </c>
      <c r="Q482" s="3"/>
      <c r="R482" s="3"/>
      <c r="S482" s="2" t="s">
        <v>21</v>
      </c>
      <c r="T482" s="4">
        <v>44955</v>
      </c>
      <c r="U482" s="2" t="s">
        <v>1801</v>
      </c>
      <c r="V482" s="6">
        <f>(Sales[[#This Row],[Price_retail]]-Sales[[#This Row],[Price_current]])/Sales[[#This Row],[Price_retail]]</f>
        <v>0</v>
      </c>
      <c r="W482" s="3" t="str" cm="1">
        <f t="array" ref="W48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83" spans="1:23" x14ac:dyDescent="0.35">
      <c r="A483" s="2" t="s">
        <v>1802</v>
      </c>
      <c r="B483" s="2" t="s">
        <v>1803</v>
      </c>
      <c r="C483" s="2" t="s">
        <v>412</v>
      </c>
      <c r="D483" s="2" t="s">
        <v>327</v>
      </c>
      <c r="E483" s="2" t="s">
        <v>4</v>
      </c>
      <c r="F483" s="2" t="s">
        <v>5</v>
      </c>
      <c r="G483" s="2" t="s">
        <v>121</v>
      </c>
      <c r="H483" s="2" t="s">
        <v>110</v>
      </c>
      <c r="I483" s="2" t="s">
        <v>3393</v>
      </c>
      <c r="J483" s="3">
        <v>18.62</v>
      </c>
      <c r="K483" s="3">
        <v>7.76</v>
      </c>
      <c r="L483" s="2" t="s">
        <v>8</v>
      </c>
      <c r="M483" s="2" t="s">
        <v>9</v>
      </c>
      <c r="N483" s="3">
        <v>784</v>
      </c>
      <c r="O483" s="2" t="s">
        <v>52</v>
      </c>
      <c r="P483" s="2" t="s">
        <v>169</v>
      </c>
      <c r="Q483" s="3"/>
      <c r="R483" s="3"/>
      <c r="S483" s="2" t="s">
        <v>12</v>
      </c>
      <c r="T483" s="4">
        <v>44955</v>
      </c>
      <c r="U483" s="2" t="s">
        <v>1804</v>
      </c>
      <c r="V483" s="6">
        <f>(Sales[[#This Row],[Price_retail]]-Sales[[#This Row],[Price_current]])/Sales[[#This Row],[Price_retail]]</f>
        <v>0.58324382384532769</v>
      </c>
      <c r="W483" s="3" t="str" cm="1">
        <f t="array" ref="W483">_xlfn.IFS(Sales[[#This Row],[Discount]]=0%,"No Discount",Sales[[#This Row],[Discount]]&lt;=20%,"Light",Sales[[#This Row],[Discount]]&lt;=50%,"Moderate",Sales[[#This Row],[Discount]]&lt;=80%,"High",
TRUE,"Very High")</f>
        <v>High</v>
      </c>
    </row>
    <row r="484" spans="1:23" x14ac:dyDescent="0.35">
      <c r="A484" s="2" t="s">
        <v>1805</v>
      </c>
      <c r="B484" s="2" t="s">
        <v>1806</v>
      </c>
      <c r="C484" s="2" t="s">
        <v>750</v>
      </c>
      <c r="D484" s="2" t="s">
        <v>358</v>
      </c>
      <c r="E484" s="2" t="s">
        <v>4</v>
      </c>
      <c r="F484" s="2" t="s">
        <v>5</v>
      </c>
      <c r="G484" s="2" t="s">
        <v>121</v>
      </c>
      <c r="H484" s="2" t="s">
        <v>333</v>
      </c>
      <c r="I484" s="2" t="s">
        <v>3389</v>
      </c>
      <c r="J484" s="3">
        <v>35.880000000000003</v>
      </c>
      <c r="K484" s="3">
        <v>35.880000000000003</v>
      </c>
      <c r="L484" s="2" t="s">
        <v>3391</v>
      </c>
      <c r="M484" s="2" t="s">
        <v>9</v>
      </c>
      <c r="N484" s="3">
        <v>385</v>
      </c>
      <c r="O484" s="2" t="s">
        <v>36</v>
      </c>
      <c r="P484" s="2" t="s">
        <v>215</v>
      </c>
      <c r="Q484" s="3"/>
      <c r="R484" s="3"/>
      <c r="S484" s="2" t="s">
        <v>21</v>
      </c>
      <c r="T484" s="4">
        <v>44955</v>
      </c>
      <c r="U484" s="2" t="s">
        <v>1807</v>
      </c>
      <c r="V484" s="6">
        <f>(Sales[[#This Row],[Price_retail]]-Sales[[#This Row],[Price_current]])/Sales[[#This Row],[Price_retail]]</f>
        <v>0</v>
      </c>
      <c r="W484" s="3" t="str" cm="1">
        <f t="array" ref="W4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85" spans="1:23" x14ac:dyDescent="0.35">
      <c r="A485" s="2" t="s">
        <v>1808</v>
      </c>
      <c r="B485" s="2" t="s">
        <v>1809</v>
      </c>
      <c r="C485" s="2" t="s">
        <v>88</v>
      </c>
      <c r="D485" s="2" t="s">
        <v>1598</v>
      </c>
      <c r="E485" s="2" t="s">
        <v>4</v>
      </c>
      <c r="F485" s="2" t="s">
        <v>5</v>
      </c>
      <c r="G485" s="2" t="s">
        <v>6</v>
      </c>
      <c r="H485" s="2" t="s">
        <v>418</v>
      </c>
      <c r="I485" s="2" t="s">
        <v>3395</v>
      </c>
      <c r="J485" s="3">
        <v>9.76</v>
      </c>
      <c r="K485" s="3">
        <v>9.76</v>
      </c>
      <c r="L485" s="2" t="s">
        <v>3391</v>
      </c>
      <c r="M485" s="2" t="s">
        <v>9</v>
      </c>
      <c r="N485" s="3">
        <v>121</v>
      </c>
      <c r="O485" s="2" t="s">
        <v>98</v>
      </c>
      <c r="P485" s="2" t="s">
        <v>3392</v>
      </c>
      <c r="Q485" s="3"/>
      <c r="R485" s="3"/>
      <c r="S485" s="2" t="s">
        <v>12</v>
      </c>
      <c r="T485" s="4">
        <v>44955</v>
      </c>
      <c r="U485" s="2" t="s">
        <v>1810</v>
      </c>
      <c r="V485" s="6">
        <f>(Sales[[#This Row],[Price_retail]]-Sales[[#This Row],[Price_current]])/Sales[[#This Row],[Price_retail]]</f>
        <v>0</v>
      </c>
      <c r="W485" s="3" t="str" cm="1">
        <f t="array" ref="W48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86" spans="1:23" x14ac:dyDescent="0.35">
      <c r="A486" s="2" t="s">
        <v>1811</v>
      </c>
      <c r="B486" s="2" t="s">
        <v>1812</v>
      </c>
      <c r="C486" s="2" t="s">
        <v>1073</v>
      </c>
      <c r="D486" s="2" t="s">
        <v>506</v>
      </c>
      <c r="E486" s="2" t="s">
        <v>4</v>
      </c>
      <c r="F486" s="2" t="s">
        <v>5</v>
      </c>
      <c r="G486" s="2" t="s">
        <v>82</v>
      </c>
      <c r="H486" s="2" t="s">
        <v>237</v>
      </c>
      <c r="I486" s="2" t="s">
        <v>3393</v>
      </c>
      <c r="J486" s="3">
        <v>8.99</v>
      </c>
      <c r="K486" s="3">
        <v>7.28</v>
      </c>
      <c r="L486" s="2" t="s">
        <v>8</v>
      </c>
      <c r="M486" s="2" t="s">
        <v>9</v>
      </c>
      <c r="N486" s="3">
        <v>242</v>
      </c>
      <c r="O486" s="2" t="s">
        <v>191</v>
      </c>
      <c r="P486" s="2" t="s">
        <v>30</v>
      </c>
      <c r="Q486" s="3"/>
      <c r="R486" s="3"/>
      <c r="S486" s="2" t="s">
        <v>21</v>
      </c>
      <c r="T486" s="4">
        <v>44955</v>
      </c>
      <c r="U486" s="2" t="s">
        <v>1813</v>
      </c>
      <c r="V486" s="6">
        <f>(Sales[[#This Row],[Price_retail]]-Sales[[#This Row],[Price_current]])/Sales[[#This Row],[Price_retail]]</f>
        <v>0.19021134593993325</v>
      </c>
      <c r="W486" s="3" t="str" cm="1">
        <f t="array" ref="W486">_xlfn.IFS(Sales[[#This Row],[Discount]]=0%,"No Discount",Sales[[#This Row],[Discount]]&lt;=20%,"Light",Sales[[#This Row],[Discount]]&lt;=50%,"Moderate",Sales[[#This Row],[Discount]]&lt;=80%,"High",
TRUE,"Very High")</f>
        <v>Light</v>
      </c>
    </row>
    <row r="487" spans="1:23" x14ac:dyDescent="0.35">
      <c r="A487" s="2" t="s">
        <v>1814</v>
      </c>
      <c r="B487" s="2" t="s">
        <v>1815</v>
      </c>
      <c r="C487" s="2" t="s">
        <v>318</v>
      </c>
      <c r="D487" s="2" t="s">
        <v>939</v>
      </c>
      <c r="E487" s="2" t="s">
        <v>4</v>
      </c>
      <c r="F487" s="2" t="s">
        <v>5</v>
      </c>
      <c r="G487" s="2" t="s">
        <v>82</v>
      </c>
      <c r="H487" s="2" t="s">
        <v>134</v>
      </c>
      <c r="I487" s="2" t="s">
        <v>3390</v>
      </c>
      <c r="J487" s="3">
        <v>22.9</v>
      </c>
      <c r="K487" s="3">
        <v>11.82</v>
      </c>
      <c r="L487" s="2" t="s">
        <v>8</v>
      </c>
      <c r="M487" s="2" t="s">
        <v>9</v>
      </c>
      <c r="N487" s="3">
        <v>422</v>
      </c>
      <c r="O487" s="2" t="s">
        <v>29</v>
      </c>
      <c r="P487" s="2" t="s">
        <v>53</v>
      </c>
      <c r="Q487" s="3"/>
      <c r="R487" s="3"/>
      <c r="S487" s="2" t="s">
        <v>12</v>
      </c>
      <c r="T487" s="4">
        <v>44955</v>
      </c>
      <c r="U487" s="2" t="s">
        <v>1816</v>
      </c>
      <c r="V487" s="6">
        <f>(Sales[[#This Row],[Price_retail]]-Sales[[#This Row],[Price_current]])/Sales[[#This Row],[Price_retail]]</f>
        <v>0.48384279475982528</v>
      </c>
      <c r="W487" s="3" t="str" cm="1">
        <f t="array" ref="W4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88" spans="1:23" x14ac:dyDescent="0.35">
      <c r="A488" s="2" t="s">
        <v>1817</v>
      </c>
      <c r="B488" s="2" t="s">
        <v>1818</v>
      </c>
      <c r="C488" s="2" t="s">
        <v>242</v>
      </c>
      <c r="D488" s="2" t="s">
        <v>314</v>
      </c>
      <c r="E488" s="2" t="s">
        <v>4</v>
      </c>
      <c r="F488" s="2" t="s">
        <v>17</v>
      </c>
      <c r="G488" s="2" t="s">
        <v>27</v>
      </c>
      <c r="H488" s="2" t="s">
        <v>59</v>
      </c>
      <c r="I488" s="2" t="s">
        <v>3390</v>
      </c>
      <c r="J488" s="3">
        <v>20.12</v>
      </c>
      <c r="K488" s="3">
        <v>12.56</v>
      </c>
      <c r="L488" s="2" t="s">
        <v>8</v>
      </c>
      <c r="M488" s="2" t="s">
        <v>9</v>
      </c>
      <c r="N488" s="3">
        <v>898</v>
      </c>
      <c r="O488" s="2" t="s">
        <v>140</v>
      </c>
      <c r="P488" s="2" t="s">
        <v>70</v>
      </c>
      <c r="Q488" s="3"/>
      <c r="R488" s="3"/>
      <c r="S488" s="2" t="s">
        <v>21</v>
      </c>
      <c r="T488" s="4">
        <v>44955</v>
      </c>
      <c r="U488" s="2" t="s">
        <v>1819</v>
      </c>
      <c r="V488" s="6">
        <f>(Sales[[#This Row],[Price_retail]]-Sales[[#This Row],[Price_current]])/Sales[[#This Row],[Price_retail]]</f>
        <v>0.37574552683896623</v>
      </c>
      <c r="W488" s="3" t="str" cm="1">
        <f t="array" ref="W48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89" spans="1:23" x14ac:dyDescent="0.35">
      <c r="A489" s="2" t="s">
        <v>1820</v>
      </c>
      <c r="B489" s="2" t="s">
        <v>1821</v>
      </c>
      <c r="C489" s="2" t="s">
        <v>1822</v>
      </c>
      <c r="D489" s="2" t="s">
        <v>1823</v>
      </c>
      <c r="E489" s="2" t="s">
        <v>4</v>
      </c>
      <c r="F489" s="2" t="s">
        <v>17</v>
      </c>
      <c r="G489" s="2" t="s">
        <v>50</v>
      </c>
      <c r="H489" s="2" t="s">
        <v>168</v>
      </c>
      <c r="I489" s="2" t="s">
        <v>3390</v>
      </c>
      <c r="J489" s="3">
        <v>27.55</v>
      </c>
      <c r="K489" s="3">
        <v>27.55</v>
      </c>
      <c r="L489" s="2" t="s">
        <v>3391</v>
      </c>
      <c r="M489" s="2" t="s">
        <v>9</v>
      </c>
      <c r="N489" s="3">
        <v>3</v>
      </c>
      <c r="O489" s="2" t="s">
        <v>163</v>
      </c>
      <c r="P489" s="2" t="s">
        <v>328</v>
      </c>
      <c r="Q489" s="3"/>
      <c r="R489" s="3"/>
      <c r="S489" s="2" t="s">
        <v>21</v>
      </c>
      <c r="T489" s="4">
        <v>44955</v>
      </c>
      <c r="U489" s="2" t="s">
        <v>1824</v>
      </c>
      <c r="V489" s="6">
        <f>(Sales[[#This Row],[Price_retail]]-Sales[[#This Row],[Price_current]])/Sales[[#This Row],[Price_retail]]</f>
        <v>0</v>
      </c>
      <c r="W489" s="3" t="str" cm="1">
        <f t="array" ref="W48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0" spans="1:23" x14ac:dyDescent="0.35">
      <c r="A490" s="2" t="s">
        <v>1825</v>
      </c>
      <c r="B490" s="2" t="s">
        <v>1826</v>
      </c>
      <c r="C490" s="2" t="s">
        <v>1743</v>
      </c>
      <c r="D490" s="2" t="s">
        <v>521</v>
      </c>
      <c r="E490" s="2" t="s">
        <v>4</v>
      </c>
      <c r="F490" s="2" t="s">
        <v>5</v>
      </c>
      <c r="G490" s="2" t="s">
        <v>6</v>
      </c>
      <c r="H490" s="2" t="s">
        <v>19</v>
      </c>
      <c r="I490" s="2" t="s">
        <v>3395</v>
      </c>
      <c r="J490" s="3">
        <v>21.4</v>
      </c>
      <c r="K490" s="3">
        <v>21.4</v>
      </c>
      <c r="L490" s="2" t="s">
        <v>3391</v>
      </c>
      <c r="M490" s="2" t="s">
        <v>9</v>
      </c>
      <c r="N490" s="3">
        <v>311</v>
      </c>
      <c r="O490" s="2" t="s">
        <v>163</v>
      </c>
      <c r="P490" s="2" t="s">
        <v>61</v>
      </c>
      <c r="Q490" s="3"/>
      <c r="R490" s="3"/>
      <c r="S490" s="2" t="s">
        <v>21</v>
      </c>
      <c r="T490" s="4">
        <v>44955</v>
      </c>
      <c r="U490" s="2" t="s">
        <v>1827</v>
      </c>
      <c r="V490" s="6">
        <f>(Sales[[#This Row],[Price_retail]]-Sales[[#This Row],[Price_current]])/Sales[[#This Row],[Price_retail]]</f>
        <v>0</v>
      </c>
      <c r="W490" s="3" t="str" cm="1">
        <f t="array" ref="W49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1" spans="1:23" x14ac:dyDescent="0.35">
      <c r="A491" s="2" t="s">
        <v>1828</v>
      </c>
      <c r="B491" s="2" t="s">
        <v>1829</v>
      </c>
      <c r="C491" s="2" t="s">
        <v>995</v>
      </c>
      <c r="D491" s="2" t="s">
        <v>109</v>
      </c>
      <c r="E491" s="2" t="s">
        <v>4</v>
      </c>
      <c r="F491" s="2" t="s">
        <v>5</v>
      </c>
      <c r="G491" s="2" t="s">
        <v>82</v>
      </c>
      <c r="H491" s="2" t="s">
        <v>110</v>
      </c>
      <c r="I491" s="2" t="s">
        <v>3393</v>
      </c>
      <c r="J491" s="3">
        <v>11.45</v>
      </c>
      <c r="K491" s="3">
        <v>7.45</v>
      </c>
      <c r="L491" s="2" t="s">
        <v>8</v>
      </c>
      <c r="M491" s="2" t="s">
        <v>9</v>
      </c>
      <c r="N491" s="3">
        <v>965</v>
      </c>
      <c r="O491" s="2" t="s">
        <v>98</v>
      </c>
      <c r="P491" s="2" t="s">
        <v>186</v>
      </c>
      <c r="Q491" s="3"/>
      <c r="R491" s="3"/>
      <c r="S491" s="2" t="s">
        <v>21</v>
      </c>
      <c r="T491" s="4">
        <v>44955</v>
      </c>
      <c r="U491" s="2" t="s">
        <v>1830</v>
      </c>
      <c r="V491" s="6">
        <f>(Sales[[#This Row],[Price_retail]]-Sales[[#This Row],[Price_current]])/Sales[[#This Row],[Price_retail]]</f>
        <v>0.34934497816593879</v>
      </c>
      <c r="W491" s="3" t="str" cm="1">
        <f t="array" ref="W49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92" spans="1:23" x14ac:dyDescent="0.35">
      <c r="A492" s="2" t="s">
        <v>1831</v>
      </c>
      <c r="B492" s="2" t="s">
        <v>1832</v>
      </c>
      <c r="C492" s="2" t="s">
        <v>65</v>
      </c>
      <c r="D492" s="2" t="s">
        <v>526</v>
      </c>
      <c r="E492" s="2" t="s">
        <v>4</v>
      </c>
      <c r="F492" s="2" t="s">
        <v>5</v>
      </c>
      <c r="G492" s="2" t="s">
        <v>121</v>
      </c>
      <c r="H492" s="2"/>
      <c r="I492" s="2" t="s">
        <v>3390</v>
      </c>
      <c r="J492" s="3">
        <v>19.84</v>
      </c>
      <c r="K492" s="3">
        <v>13.31</v>
      </c>
      <c r="L492" s="2" t="s">
        <v>8</v>
      </c>
      <c r="M492" s="2" t="s">
        <v>9</v>
      </c>
      <c r="N492" s="3">
        <v>207</v>
      </c>
      <c r="O492" s="2" t="s">
        <v>43</v>
      </c>
      <c r="P492" s="2" t="s">
        <v>221</v>
      </c>
      <c r="Q492" s="3"/>
      <c r="R492" s="3"/>
      <c r="S492" s="2" t="s">
        <v>21</v>
      </c>
      <c r="T492" s="4">
        <v>44955</v>
      </c>
      <c r="U492" s="2" t="s">
        <v>1833</v>
      </c>
      <c r="V492" s="6">
        <f>(Sales[[#This Row],[Price_retail]]-Sales[[#This Row],[Price_current]])/Sales[[#This Row],[Price_retail]]</f>
        <v>0.329133064516129</v>
      </c>
      <c r="W492" s="3" t="str" cm="1">
        <f t="array" ref="W49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493" spans="1:23" x14ac:dyDescent="0.35">
      <c r="A493" s="2" t="s">
        <v>1834</v>
      </c>
      <c r="B493" s="2" t="s">
        <v>1835</v>
      </c>
      <c r="C493" s="2" t="s">
        <v>3396</v>
      </c>
      <c r="D493" s="2" t="s">
        <v>190</v>
      </c>
      <c r="E493" s="2" t="s">
        <v>4</v>
      </c>
      <c r="F493" s="2" t="s">
        <v>5</v>
      </c>
      <c r="G493" s="2" t="s">
        <v>82</v>
      </c>
      <c r="H493" s="2" t="s">
        <v>134</v>
      </c>
      <c r="I493" s="2" t="s">
        <v>3390</v>
      </c>
      <c r="J493" s="3">
        <v>8.99</v>
      </c>
      <c r="K493" s="3">
        <v>8.99</v>
      </c>
      <c r="L493" s="2" t="s">
        <v>3391</v>
      </c>
      <c r="M493" s="2" t="s">
        <v>9</v>
      </c>
      <c r="N493" s="3">
        <v>476</v>
      </c>
      <c r="O493" s="2" t="s">
        <v>347</v>
      </c>
      <c r="P493" s="2" t="s">
        <v>177</v>
      </c>
      <c r="Q493" s="3"/>
      <c r="R493" s="3"/>
      <c r="S493" s="2" t="s">
        <v>21</v>
      </c>
      <c r="T493" s="4">
        <v>44955</v>
      </c>
      <c r="U493" s="2" t="s">
        <v>1836</v>
      </c>
      <c r="V493" s="6">
        <f>(Sales[[#This Row],[Price_retail]]-Sales[[#This Row],[Price_current]])/Sales[[#This Row],[Price_retail]]</f>
        <v>0</v>
      </c>
      <c r="W493" s="3" t="str" cm="1">
        <f t="array" ref="W4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4" spans="1:23" x14ac:dyDescent="0.35">
      <c r="A494" s="2" t="s">
        <v>1837</v>
      </c>
      <c r="B494" s="2" t="s">
        <v>1838</v>
      </c>
      <c r="C494" s="2" t="s">
        <v>1839</v>
      </c>
      <c r="D494" s="2" t="s">
        <v>354</v>
      </c>
      <c r="E494" s="2" t="s">
        <v>4</v>
      </c>
      <c r="F494" s="2" t="s">
        <v>17</v>
      </c>
      <c r="G494" s="2" t="s">
        <v>50</v>
      </c>
      <c r="H494" s="2" t="s">
        <v>90</v>
      </c>
      <c r="I494" s="2" t="s">
        <v>3393</v>
      </c>
      <c r="J494" s="3">
        <v>13.63</v>
      </c>
      <c r="K494" s="3">
        <v>13.63</v>
      </c>
      <c r="L494" s="2" t="s">
        <v>3391</v>
      </c>
      <c r="M494" s="2" t="s">
        <v>9</v>
      </c>
      <c r="N494" s="3">
        <v>940</v>
      </c>
      <c r="O494" s="2" t="s">
        <v>163</v>
      </c>
      <c r="P494" s="2" t="s">
        <v>70</v>
      </c>
      <c r="Q494" s="3"/>
      <c r="R494" s="3"/>
      <c r="S494" s="2" t="s">
        <v>21</v>
      </c>
      <c r="T494" s="4">
        <v>44955</v>
      </c>
      <c r="U494" s="2" t="s">
        <v>1840</v>
      </c>
      <c r="V494" s="6">
        <f>(Sales[[#This Row],[Price_retail]]-Sales[[#This Row],[Price_current]])/Sales[[#This Row],[Price_retail]]</f>
        <v>0</v>
      </c>
      <c r="W494" s="3" t="str" cm="1">
        <f t="array" ref="W49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5" spans="1:23" x14ac:dyDescent="0.35">
      <c r="A495" s="2" t="s">
        <v>1841</v>
      </c>
      <c r="B495" s="2" t="s">
        <v>1842</v>
      </c>
      <c r="C495" s="2" t="s">
        <v>1743</v>
      </c>
      <c r="D495" s="2" t="s">
        <v>307</v>
      </c>
      <c r="E495" s="2" t="s">
        <v>4</v>
      </c>
      <c r="F495" s="2" t="s">
        <v>5</v>
      </c>
      <c r="G495" s="2" t="s">
        <v>82</v>
      </c>
      <c r="H495" s="2" t="s">
        <v>83</v>
      </c>
      <c r="I495" s="2" t="s">
        <v>3395</v>
      </c>
      <c r="J495" s="3">
        <v>20.63</v>
      </c>
      <c r="K495" s="3">
        <v>20.63</v>
      </c>
      <c r="L495" s="2" t="s">
        <v>3391</v>
      </c>
      <c r="M495" s="2" t="s">
        <v>9</v>
      </c>
      <c r="N495" s="3">
        <v>777</v>
      </c>
      <c r="O495" s="2" t="s">
        <v>104</v>
      </c>
      <c r="P495" s="2" t="s">
        <v>92</v>
      </c>
      <c r="Q495" s="3"/>
      <c r="R495" s="3"/>
      <c r="S495" s="2" t="s">
        <v>21</v>
      </c>
      <c r="T495" s="4">
        <v>44955</v>
      </c>
      <c r="U495" s="2" t="s">
        <v>1843</v>
      </c>
      <c r="V495" s="6">
        <f>(Sales[[#This Row],[Price_retail]]-Sales[[#This Row],[Price_current]])/Sales[[#This Row],[Price_retail]]</f>
        <v>0</v>
      </c>
      <c r="W495" s="3" t="str" cm="1">
        <f t="array" ref="W49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6" spans="1:23" x14ac:dyDescent="0.35">
      <c r="A496" s="2" t="s">
        <v>1844</v>
      </c>
      <c r="B496" s="2" t="s">
        <v>1845</v>
      </c>
      <c r="C496" s="2" t="s">
        <v>3423</v>
      </c>
      <c r="D496" s="2" t="s">
        <v>490</v>
      </c>
      <c r="E496" s="2" t="s">
        <v>4</v>
      </c>
      <c r="F496" s="2" t="s">
        <v>17</v>
      </c>
      <c r="G496" s="2" t="s">
        <v>67</v>
      </c>
      <c r="H496" s="2" t="s">
        <v>185</v>
      </c>
      <c r="I496" s="2" t="s">
        <v>3393</v>
      </c>
      <c r="J496" s="3">
        <v>12.83</v>
      </c>
      <c r="K496" s="3">
        <v>12.83</v>
      </c>
      <c r="L496" s="2" t="s">
        <v>3391</v>
      </c>
      <c r="M496" s="2" t="s">
        <v>9</v>
      </c>
      <c r="N496" s="3">
        <v>808</v>
      </c>
      <c r="O496" s="2" t="s">
        <v>69</v>
      </c>
      <c r="P496" s="2" t="s">
        <v>3392</v>
      </c>
      <c r="Q496" s="3"/>
      <c r="R496" s="3"/>
      <c r="S496" s="2" t="s">
        <v>21</v>
      </c>
      <c r="T496" s="4">
        <v>44955</v>
      </c>
      <c r="U496" s="2" t="s">
        <v>1846</v>
      </c>
      <c r="V496" s="6">
        <f>(Sales[[#This Row],[Price_retail]]-Sales[[#This Row],[Price_current]])/Sales[[#This Row],[Price_retail]]</f>
        <v>0</v>
      </c>
      <c r="W496" s="3" t="str" cm="1">
        <f t="array" ref="W49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7" spans="1:23" x14ac:dyDescent="0.35">
      <c r="A497" s="2" t="s">
        <v>1847</v>
      </c>
      <c r="B497" s="2" t="s">
        <v>1848</v>
      </c>
      <c r="C497" s="2" t="s">
        <v>3398</v>
      </c>
      <c r="D497" s="2" t="s">
        <v>89</v>
      </c>
      <c r="E497" s="2" t="s">
        <v>4</v>
      </c>
      <c r="F497" s="2" t="s">
        <v>5</v>
      </c>
      <c r="G497" s="2" t="s">
        <v>82</v>
      </c>
      <c r="H497" s="2" t="s">
        <v>90</v>
      </c>
      <c r="I497" s="2" t="s">
        <v>3395</v>
      </c>
      <c r="J497" s="3">
        <v>60.79</v>
      </c>
      <c r="K497" s="3">
        <v>60.79</v>
      </c>
      <c r="L497" s="2" t="s">
        <v>3391</v>
      </c>
      <c r="M497" s="2" t="s">
        <v>9</v>
      </c>
      <c r="N497" s="3">
        <v>703</v>
      </c>
      <c r="O497" s="2" t="s">
        <v>287</v>
      </c>
      <c r="P497" s="2" t="s">
        <v>3392</v>
      </c>
      <c r="Q497" s="3"/>
      <c r="R497" s="3"/>
      <c r="S497" s="2" t="s">
        <v>21</v>
      </c>
      <c r="T497" s="4">
        <v>44955</v>
      </c>
      <c r="U497" s="2" t="s">
        <v>1849</v>
      </c>
      <c r="V497" s="6">
        <f>(Sales[[#This Row],[Price_retail]]-Sales[[#This Row],[Price_current]])/Sales[[#This Row],[Price_retail]]</f>
        <v>0</v>
      </c>
      <c r="W497" s="3" t="str" cm="1">
        <f t="array" ref="W49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8" spans="1:23" x14ac:dyDescent="0.35">
      <c r="A498" s="2" t="s">
        <v>1850</v>
      </c>
      <c r="B498" s="2" t="s">
        <v>1851</v>
      </c>
      <c r="C498" s="2" t="s">
        <v>65</v>
      </c>
      <c r="D498" s="2" t="s">
        <v>776</v>
      </c>
      <c r="E498" s="2" t="s">
        <v>4</v>
      </c>
      <c r="F498" s="2" t="s">
        <v>5</v>
      </c>
      <c r="G498" s="2" t="s">
        <v>121</v>
      </c>
      <c r="H498" s="2" t="s">
        <v>83</v>
      </c>
      <c r="I498" s="2" t="s">
        <v>3390</v>
      </c>
      <c r="J498" s="3">
        <v>8.99</v>
      </c>
      <c r="K498" s="3">
        <v>8.99</v>
      </c>
      <c r="L498" s="2" t="s">
        <v>3391</v>
      </c>
      <c r="M498" s="2" t="s">
        <v>9</v>
      </c>
      <c r="N498" s="3">
        <v>543</v>
      </c>
      <c r="O498" s="2" t="s">
        <v>163</v>
      </c>
      <c r="P498" s="2" t="s">
        <v>76</v>
      </c>
      <c r="Q498" s="3"/>
      <c r="R498" s="3"/>
      <c r="S498" s="2" t="s">
        <v>21</v>
      </c>
      <c r="T498" s="4">
        <v>44955</v>
      </c>
      <c r="U498" s="2" t="s">
        <v>1852</v>
      </c>
      <c r="V498" s="6">
        <f>(Sales[[#This Row],[Price_retail]]-Sales[[#This Row],[Price_current]])/Sales[[#This Row],[Price_retail]]</f>
        <v>0</v>
      </c>
      <c r="W498" s="3" t="str" cm="1">
        <f t="array" ref="W49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499" spans="1:23" x14ac:dyDescent="0.35">
      <c r="A499" s="2" t="s">
        <v>1853</v>
      </c>
      <c r="B499" s="2" t="s">
        <v>1854</v>
      </c>
      <c r="C499" s="2" t="s">
        <v>88</v>
      </c>
      <c r="D499" s="2" t="s">
        <v>229</v>
      </c>
      <c r="E499" s="2" t="s">
        <v>4</v>
      </c>
      <c r="F499" s="2" t="s">
        <v>5</v>
      </c>
      <c r="G499" s="2" t="s">
        <v>82</v>
      </c>
      <c r="H499" s="2" t="s">
        <v>168</v>
      </c>
      <c r="I499" s="2" t="s">
        <v>3390</v>
      </c>
      <c r="J499" s="3">
        <v>11.58</v>
      </c>
      <c r="K499" s="3">
        <v>9.68</v>
      </c>
      <c r="L499" s="2" t="s">
        <v>8</v>
      </c>
      <c r="M499" s="2" t="s">
        <v>9</v>
      </c>
      <c r="N499" s="3">
        <v>135</v>
      </c>
      <c r="O499" s="2" t="s">
        <v>91</v>
      </c>
      <c r="P499" s="2" t="s">
        <v>44</v>
      </c>
      <c r="Q499" s="3"/>
      <c r="R499" s="3"/>
      <c r="S499" s="2" t="s">
        <v>21</v>
      </c>
      <c r="T499" s="4">
        <v>44955</v>
      </c>
      <c r="U499" s="2" t="s">
        <v>1855</v>
      </c>
      <c r="V499" s="6">
        <f>(Sales[[#This Row],[Price_retail]]-Sales[[#This Row],[Price_current]])/Sales[[#This Row],[Price_retail]]</f>
        <v>0.16407599309153717</v>
      </c>
      <c r="W499" s="3" t="str" cm="1">
        <f t="array" ref="W499">_xlfn.IFS(Sales[[#This Row],[Discount]]=0%,"No Discount",Sales[[#This Row],[Discount]]&lt;=20%,"Light",Sales[[#This Row],[Discount]]&lt;=50%,"Moderate",Sales[[#This Row],[Discount]]&lt;=80%,"High",
TRUE,"Very High")</f>
        <v>Light</v>
      </c>
    </row>
    <row r="500" spans="1:23" x14ac:dyDescent="0.35">
      <c r="A500" s="2" t="s">
        <v>1856</v>
      </c>
      <c r="B500" s="2" t="s">
        <v>1857</v>
      </c>
      <c r="C500" s="2" t="s">
        <v>469</v>
      </c>
      <c r="D500" s="2" t="s">
        <v>81</v>
      </c>
      <c r="E500" s="2" t="s">
        <v>4</v>
      </c>
      <c r="F500" s="2" t="s">
        <v>5</v>
      </c>
      <c r="G500" s="2" t="s">
        <v>6</v>
      </c>
      <c r="H500" s="2" t="s">
        <v>83</v>
      </c>
      <c r="I500" s="2" t="s">
        <v>3390</v>
      </c>
      <c r="J500" s="3">
        <v>9.34</v>
      </c>
      <c r="K500" s="3">
        <v>9.34</v>
      </c>
      <c r="L500" s="2" t="s">
        <v>3391</v>
      </c>
      <c r="M500" s="2" t="s">
        <v>9</v>
      </c>
      <c r="N500" s="3">
        <v>916</v>
      </c>
      <c r="O500" s="2" t="s">
        <v>36</v>
      </c>
      <c r="P500" s="2" t="s">
        <v>37</v>
      </c>
      <c r="Q500" s="3"/>
      <c r="R500" s="3"/>
      <c r="S500" s="2" t="s">
        <v>21</v>
      </c>
      <c r="T500" s="4">
        <v>44955</v>
      </c>
      <c r="U500" s="2" t="s">
        <v>1858</v>
      </c>
      <c r="V500" s="6">
        <f>(Sales[[#This Row],[Price_retail]]-Sales[[#This Row],[Price_current]])/Sales[[#This Row],[Price_retail]]</f>
        <v>0</v>
      </c>
      <c r="W500" s="3" t="str" cm="1">
        <f t="array" ref="W50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01" spans="1:23" x14ac:dyDescent="0.35">
      <c r="A501" s="2" t="s">
        <v>1859</v>
      </c>
      <c r="B501" s="2" t="s">
        <v>1860</v>
      </c>
      <c r="C501" s="2" t="s">
        <v>102</v>
      </c>
      <c r="D501" s="2" t="s">
        <v>470</v>
      </c>
      <c r="E501" s="2" t="s">
        <v>4</v>
      </c>
      <c r="F501" s="2" t="s">
        <v>17</v>
      </c>
      <c r="G501" s="2" t="s">
        <v>18</v>
      </c>
      <c r="H501" s="2" t="s">
        <v>185</v>
      </c>
      <c r="I501" s="2" t="s">
        <v>3390</v>
      </c>
      <c r="J501" s="3">
        <v>10.64</v>
      </c>
      <c r="K501" s="3">
        <v>10.64</v>
      </c>
      <c r="L501" s="2" t="s">
        <v>3391</v>
      </c>
      <c r="M501" s="2" t="s">
        <v>9</v>
      </c>
      <c r="N501" s="3">
        <v>214</v>
      </c>
      <c r="O501" s="2" t="s">
        <v>69</v>
      </c>
      <c r="P501" s="2" t="s">
        <v>92</v>
      </c>
      <c r="Q501" s="3"/>
      <c r="R501" s="3"/>
      <c r="S501" s="2" t="s">
        <v>21</v>
      </c>
      <c r="T501" s="4">
        <v>44955</v>
      </c>
      <c r="U501" s="2" t="s">
        <v>1861</v>
      </c>
      <c r="V501" s="6">
        <f>(Sales[[#This Row],[Price_retail]]-Sales[[#This Row],[Price_current]])/Sales[[#This Row],[Price_retail]]</f>
        <v>0</v>
      </c>
      <c r="W501" s="3" t="str" cm="1">
        <f t="array" ref="W50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02" spans="1:23" x14ac:dyDescent="0.35">
      <c r="A502" s="2" t="s">
        <v>1862</v>
      </c>
      <c r="B502" s="2" t="s">
        <v>1863</v>
      </c>
      <c r="C502" s="2" t="s">
        <v>242</v>
      </c>
      <c r="D502" s="2" t="s">
        <v>617</v>
      </c>
      <c r="E502" s="2" t="s">
        <v>4</v>
      </c>
      <c r="F502" s="2" t="s">
        <v>5</v>
      </c>
      <c r="G502" s="2" t="s">
        <v>121</v>
      </c>
      <c r="H502" s="2" t="s">
        <v>83</v>
      </c>
      <c r="I502" s="2" t="s">
        <v>3393</v>
      </c>
      <c r="J502" s="3">
        <v>10.98</v>
      </c>
      <c r="K502" s="3">
        <v>6.09</v>
      </c>
      <c r="L502" s="2" t="s">
        <v>8</v>
      </c>
      <c r="M502" s="2" t="s">
        <v>9</v>
      </c>
      <c r="N502" s="3">
        <v>260</v>
      </c>
      <c r="O502" s="2" t="s">
        <v>267</v>
      </c>
      <c r="P502" s="2" t="s">
        <v>53</v>
      </c>
      <c r="Q502" s="3"/>
      <c r="R502" s="3"/>
      <c r="S502" s="2" t="s">
        <v>21</v>
      </c>
      <c r="T502" s="4">
        <v>44955</v>
      </c>
      <c r="U502" s="2" t="s">
        <v>1864</v>
      </c>
      <c r="V502" s="6">
        <f>(Sales[[#This Row],[Price_retail]]-Sales[[#This Row],[Price_current]])/Sales[[#This Row],[Price_retail]]</f>
        <v>0.44535519125683065</v>
      </c>
      <c r="W502" s="3" t="str" cm="1">
        <f t="array" ref="W50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03" spans="1:23" x14ac:dyDescent="0.35">
      <c r="A503" s="2" t="s">
        <v>1865</v>
      </c>
      <c r="B503" s="2" t="s">
        <v>1866</v>
      </c>
      <c r="C503" s="2" t="s">
        <v>3394</v>
      </c>
      <c r="D503" s="2" t="s">
        <v>913</v>
      </c>
      <c r="E503" s="2" t="s">
        <v>4</v>
      </c>
      <c r="F503" s="2" t="s">
        <v>17</v>
      </c>
      <c r="G503" s="2" t="s">
        <v>18</v>
      </c>
      <c r="H503" s="2" t="s">
        <v>51</v>
      </c>
      <c r="I503" s="2" t="s">
        <v>3390</v>
      </c>
      <c r="J503" s="3">
        <v>8.99</v>
      </c>
      <c r="K503" s="3">
        <v>6.87</v>
      </c>
      <c r="L503" s="2" t="s">
        <v>8</v>
      </c>
      <c r="M503" s="2" t="s">
        <v>9</v>
      </c>
      <c r="N503" s="3">
        <v>205</v>
      </c>
      <c r="O503" s="2" t="s">
        <v>664</v>
      </c>
      <c r="P503" s="2" t="s">
        <v>186</v>
      </c>
      <c r="Q503" s="3"/>
      <c r="R503" s="3"/>
      <c r="S503" s="2" t="s">
        <v>21</v>
      </c>
      <c r="T503" s="4">
        <v>44955</v>
      </c>
      <c r="U503" s="2" t="s">
        <v>1867</v>
      </c>
      <c r="V503" s="6">
        <f>(Sales[[#This Row],[Price_retail]]-Sales[[#This Row],[Price_current]])/Sales[[#This Row],[Price_retail]]</f>
        <v>0.23581757508342605</v>
      </c>
      <c r="W503" s="3" t="str" cm="1">
        <f t="array" ref="W50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04" spans="1:23" x14ac:dyDescent="0.35">
      <c r="A504" s="2" t="s">
        <v>1868</v>
      </c>
      <c r="B504" s="2" t="s">
        <v>1869</v>
      </c>
      <c r="C504" s="2" t="s">
        <v>3394</v>
      </c>
      <c r="D504" s="2" t="s">
        <v>279</v>
      </c>
      <c r="E504" s="2" t="s">
        <v>4</v>
      </c>
      <c r="F504" s="2" t="s">
        <v>17</v>
      </c>
      <c r="G504" s="2" t="s">
        <v>67</v>
      </c>
      <c r="H504" s="2" t="s">
        <v>28</v>
      </c>
      <c r="I504" s="2" t="s">
        <v>3395</v>
      </c>
      <c r="J504" s="3">
        <v>23.66</v>
      </c>
      <c r="K504" s="3">
        <v>23.66</v>
      </c>
      <c r="L504" s="2" t="s">
        <v>3391</v>
      </c>
      <c r="M504" s="2" t="s">
        <v>9</v>
      </c>
      <c r="N504" s="3">
        <v>819</v>
      </c>
      <c r="O504" s="2" t="s">
        <v>287</v>
      </c>
      <c r="P504" s="2" t="s">
        <v>92</v>
      </c>
      <c r="Q504" s="3"/>
      <c r="R504" s="3"/>
      <c r="S504" s="2" t="s">
        <v>21</v>
      </c>
      <c r="T504" s="4">
        <v>44955</v>
      </c>
      <c r="U504" s="2" t="s">
        <v>1870</v>
      </c>
      <c r="V504" s="6">
        <f>(Sales[[#This Row],[Price_retail]]-Sales[[#This Row],[Price_current]])/Sales[[#This Row],[Price_retail]]</f>
        <v>0</v>
      </c>
      <c r="W504" s="3" t="str" cm="1">
        <f t="array" ref="W50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05" spans="1:23" x14ac:dyDescent="0.35">
      <c r="A505" s="2" t="s">
        <v>1871</v>
      </c>
      <c r="B505" s="2" t="s">
        <v>1872</v>
      </c>
      <c r="C505" s="2" t="s">
        <v>3394</v>
      </c>
      <c r="D505" s="2" t="s">
        <v>133</v>
      </c>
      <c r="E505" s="2" t="s">
        <v>4</v>
      </c>
      <c r="F505" s="2" t="s">
        <v>17</v>
      </c>
      <c r="G505" s="2" t="s">
        <v>67</v>
      </c>
      <c r="H505" s="2" t="s">
        <v>134</v>
      </c>
      <c r="I505" s="2" t="s">
        <v>3393</v>
      </c>
      <c r="J505" s="3">
        <v>11.58</v>
      </c>
      <c r="K505" s="3">
        <v>9.26</v>
      </c>
      <c r="L505" s="2" t="s">
        <v>8</v>
      </c>
      <c r="M505" s="2" t="s">
        <v>9</v>
      </c>
      <c r="N505" s="3">
        <v>186</v>
      </c>
      <c r="O505" s="2" t="s">
        <v>60</v>
      </c>
      <c r="P505" s="2" t="s">
        <v>92</v>
      </c>
      <c r="Q505" s="3"/>
      <c r="R505" s="3"/>
      <c r="S505" s="2" t="s">
        <v>12</v>
      </c>
      <c r="T505" s="4">
        <v>44955</v>
      </c>
      <c r="U505" s="2" t="s">
        <v>1873</v>
      </c>
      <c r="V505" s="6">
        <f>(Sales[[#This Row],[Price_retail]]-Sales[[#This Row],[Price_current]])/Sales[[#This Row],[Price_retail]]</f>
        <v>0.20034542314335063</v>
      </c>
      <c r="W505" s="3" t="str" cm="1">
        <f t="array" ref="W50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06" spans="1:23" x14ac:dyDescent="0.35">
      <c r="A506" s="2" t="s">
        <v>1874</v>
      </c>
      <c r="B506" s="2" t="s">
        <v>1875</v>
      </c>
      <c r="C506" s="2" t="s">
        <v>901</v>
      </c>
      <c r="D506" s="2" t="s">
        <v>428</v>
      </c>
      <c r="E506" s="2" t="s">
        <v>4</v>
      </c>
      <c r="F506" s="2" t="s">
        <v>5</v>
      </c>
      <c r="G506" s="2" t="s">
        <v>121</v>
      </c>
      <c r="H506" s="2" t="s">
        <v>333</v>
      </c>
      <c r="I506" s="2" t="s">
        <v>3390</v>
      </c>
      <c r="J506" s="3">
        <v>17.12</v>
      </c>
      <c r="K506" s="3">
        <v>17.12</v>
      </c>
      <c r="L506" s="2" t="s">
        <v>3391</v>
      </c>
      <c r="M506" s="2" t="s">
        <v>9</v>
      </c>
      <c r="N506" s="3">
        <v>139</v>
      </c>
      <c r="O506" s="2" t="s">
        <v>29</v>
      </c>
      <c r="P506" s="2" t="s">
        <v>3392</v>
      </c>
      <c r="Q506" s="3"/>
      <c r="R506" s="3"/>
      <c r="S506" s="2" t="s">
        <v>21</v>
      </c>
      <c r="T506" s="4">
        <v>44955</v>
      </c>
      <c r="U506" s="2" t="s">
        <v>1876</v>
      </c>
      <c r="V506" s="6">
        <f>(Sales[[#This Row],[Price_retail]]-Sales[[#This Row],[Price_current]])/Sales[[#This Row],[Price_retail]]</f>
        <v>0</v>
      </c>
      <c r="W506" s="3" t="str" cm="1">
        <f t="array" ref="W5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07" spans="1:23" x14ac:dyDescent="0.35">
      <c r="A507" s="2" t="s">
        <v>1877</v>
      </c>
      <c r="B507" s="2" t="s">
        <v>1878</v>
      </c>
      <c r="C507" s="2" t="s">
        <v>80</v>
      </c>
      <c r="D507" s="2" t="s">
        <v>758</v>
      </c>
      <c r="E507" s="2" t="s">
        <v>4</v>
      </c>
      <c r="F507" s="2" t="s">
        <v>5</v>
      </c>
      <c r="G507" s="2" t="s">
        <v>6</v>
      </c>
      <c r="H507" s="2" t="s">
        <v>168</v>
      </c>
      <c r="I507" s="2" t="s">
        <v>3393</v>
      </c>
      <c r="J507" s="3">
        <v>12.32</v>
      </c>
      <c r="K507" s="3">
        <v>12.32</v>
      </c>
      <c r="L507" s="2" t="s">
        <v>3391</v>
      </c>
      <c r="M507" s="2" t="s">
        <v>9</v>
      </c>
      <c r="N507" s="3">
        <v>150</v>
      </c>
      <c r="O507" s="2" t="s">
        <v>91</v>
      </c>
      <c r="P507" s="2" t="s">
        <v>169</v>
      </c>
      <c r="Q507" s="3"/>
      <c r="R507" s="3"/>
      <c r="S507" s="2" t="s">
        <v>12</v>
      </c>
      <c r="T507" s="4">
        <v>44955</v>
      </c>
      <c r="U507" s="2" t="s">
        <v>1879</v>
      </c>
      <c r="V507" s="6">
        <f>(Sales[[#This Row],[Price_retail]]-Sales[[#This Row],[Price_current]])/Sales[[#This Row],[Price_retail]]</f>
        <v>0</v>
      </c>
      <c r="W507" s="3" t="str" cm="1">
        <f t="array" ref="W50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08" spans="1:23" x14ac:dyDescent="0.35">
      <c r="A508" s="2" t="s">
        <v>1880</v>
      </c>
      <c r="B508" s="2" t="s">
        <v>1881</v>
      </c>
      <c r="C508" s="2" t="s">
        <v>300</v>
      </c>
      <c r="D508" s="2" t="s">
        <v>842</v>
      </c>
      <c r="E508" s="2" t="s">
        <v>4</v>
      </c>
      <c r="F508" s="2" t="s">
        <v>5</v>
      </c>
      <c r="G508" s="2" t="s">
        <v>82</v>
      </c>
      <c r="H508" s="2" t="s">
        <v>7</v>
      </c>
      <c r="I508" s="2" t="s">
        <v>3393</v>
      </c>
      <c r="J508" s="3">
        <v>10.7</v>
      </c>
      <c r="K508" s="3">
        <v>10.7</v>
      </c>
      <c r="L508" s="2" t="s">
        <v>3391</v>
      </c>
      <c r="M508" s="2" t="s">
        <v>9</v>
      </c>
      <c r="N508" s="3">
        <v>63</v>
      </c>
      <c r="O508" s="2" t="s">
        <v>75</v>
      </c>
      <c r="P508" s="2" t="s">
        <v>3392</v>
      </c>
      <c r="Q508" s="3"/>
      <c r="R508" s="3"/>
      <c r="S508" s="2" t="s">
        <v>12</v>
      </c>
      <c r="T508" s="4">
        <v>44955</v>
      </c>
      <c r="U508" s="2" t="s">
        <v>1882</v>
      </c>
      <c r="V508" s="6">
        <f>(Sales[[#This Row],[Price_retail]]-Sales[[#This Row],[Price_current]])/Sales[[#This Row],[Price_retail]]</f>
        <v>0</v>
      </c>
      <c r="W508" s="3" t="str" cm="1">
        <f t="array" ref="W50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09" spans="1:23" x14ac:dyDescent="0.35">
      <c r="A509" s="2" t="s">
        <v>1883</v>
      </c>
      <c r="B509" s="2" t="s">
        <v>1884</v>
      </c>
      <c r="C509" s="2" t="s">
        <v>3394</v>
      </c>
      <c r="D509" s="2" t="s">
        <v>617</v>
      </c>
      <c r="E509" s="2" t="s">
        <v>4</v>
      </c>
      <c r="F509" s="2" t="s">
        <v>5</v>
      </c>
      <c r="G509" s="2" t="s">
        <v>6</v>
      </c>
      <c r="H509" s="2" t="s">
        <v>83</v>
      </c>
      <c r="I509" s="2" t="s">
        <v>3393</v>
      </c>
      <c r="J509" s="3">
        <v>39.24</v>
      </c>
      <c r="K509" s="3">
        <v>22.12</v>
      </c>
      <c r="L509" s="2" t="s">
        <v>8</v>
      </c>
      <c r="M509" s="2" t="s">
        <v>9</v>
      </c>
      <c r="N509" s="3">
        <v>921</v>
      </c>
      <c r="O509" s="2" t="s">
        <v>287</v>
      </c>
      <c r="P509" s="2" t="s">
        <v>177</v>
      </c>
      <c r="Q509" s="3"/>
      <c r="R509" s="3"/>
      <c r="S509" s="2" t="s">
        <v>21</v>
      </c>
      <c r="T509" s="4">
        <v>44955</v>
      </c>
      <c r="U509" s="2" t="s">
        <v>1885</v>
      </c>
      <c r="V509" s="6">
        <f>(Sales[[#This Row],[Price_retail]]-Sales[[#This Row],[Price_current]])/Sales[[#This Row],[Price_retail]]</f>
        <v>0.43628950050968401</v>
      </c>
      <c r="W509" s="3" t="str" cm="1">
        <f t="array" ref="W50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10" spans="1:23" x14ac:dyDescent="0.35">
      <c r="A510" s="2" t="s">
        <v>1886</v>
      </c>
      <c r="B510" s="2" t="s">
        <v>1887</v>
      </c>
      <c r="C510" s="2" t="s">
        <v>1888</v>
      </c>
      <c r="D510" s="2" t="s">
        <v>533</v>
      </c>
      <c r="E510" s="2" t="s">
        <v>4</v>
      </c>
      <c r="F510" s="2" t="s">
        <v>17</v>
      </c>
      <c r="G510" s="2" t="s">
        <v>27</v>
      </c>
      <c r="H510" s="2" t="s">
        <v>59</v>
      </c>
      <c r="I510" s="2" t="s">
        <v>3393</v>
      </c>
      <c r="J510" s="3">
        <v>25.99</v>
      </c>
      <c r="K510" s="3">
        <v>25.99</v>
      </c>
      <c r="L510" s="2" t="s">
        <v>3391</v>
      </c>
      <c r="M510" s="2" t="s">
        <v>9</v>
      </c>
      <c r="N510" s="3">
        <v>18</v>
      </c>
      <c r="O510" s="2" t="s">
        <v>104</v>
      </c>
      <c r="P510" s="2" t="s">
        <v>61</v>
      </c>
      <c r="Q510" s="3"/>
      <c r="R510" s="3"/>
      <c r="S510" s="2" t="s">
        <v>21</v>
      </c>
      <c r="T510" s="4">
        <v>44955</v>
      </c>
      <c r="U510" s="2" t="s">
        <v>1889</v>
      </c>
      <c r="V510" s="6">
        <f>(Sales[[#This Row],[Price_retail]]-Sales[[#This Row],[Price_current]])/Sales[[#This Row],[Price_retail]]</f>
        <v>0</v>
      </c>
      <c r="W510" s="3" t="str" cm="1">
        <f t="array" ref="W5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1" spans="1:23" x14ac:dyDescent="0.35">
      <c r="A511" s="2" t="s">
        <v>1890</v>
      </c>
      <c r="B511" s="2" t="s">
        <v>1891</v>
      </c>
      <c r="C511" s="2" t="s">
        <v>412</v>
      </c>
      <c r="D511" s="2" t="s">
        <v>573</v>
      </c>
      <c r="E511" s="2" t="s">
        <v>4</v>
      </c>
      <c r="F511" s="2" t="s">
        <v>5</v>
      </c>
      <c r="G511" s="2" t="s">
        <v>6</v>
      </c>
      <c r="H511" s="2" t="s">
        <v>68</v>
      </c>
      <c r="I511" s="2" t="s">
        <v>3393</v>
      </c>
      <c r="J511" s="3">
        <v>8.99</v>
      </c>
      <c r="K511" s="3">
        <v>8.99</v>
      </c>
      <c r="L511" s="2" t="s">
        <v>3391</v>
      </c>
      <c r="M511" s="2" t="s">
        <v>9</v>
      </c>
      <c r="N511" s="3">
        <v>92</v>
      </c>
      <c r="O511" s="2" t="s">
        <v>29</v>
      </c>
      <c r="P511" s="2" t="s">
        <v>169</v>
      </c>
      <c r="Q511" s="3"/>
      <c r="R511" s="3"/>
      <c r="S511" s="2" t="s">
        <v>12</v>
      </c>
      <c r="T511" s="4">
        <v>44955</v>
      </c>
      <c r="U511" s="2" t="s">
        <v>1892</v>
      </c>
      <c r="V511" s="6">
        <f>(Sales[[#This Row],[Price_retail]]-Sales[[#This Row],[Price_current]])/Sales[[#This Row],[Price_retail]]</f>
        <v>0</v>
      </c>
      <c r="W511" s="3" t="str" cm="1">
        <f t="array" ref="W51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2" spans="1:23" x14ac:dyDescent="0.35">
      <c r="A512" s="2" t="s">
        <v>1893</v>
      </c>
      <c r="B512" s="2" t="s">
        <v>1894</v>
      </c>
      <c r="C512" s="2" t="s">
        <v>306</v>
      </c>
      <c r="D512" s="2" t="s">
        <v>887</v>
      </c>
      <c r="E512" s="2" t="s">
        <v>4</v>
      </c>
      <c r="F512" s="2" t="s">
        <v>5</v>
      </c>
      <c r="G512" s="2" t="s">
        <v>121</v>
      </c>
      <c r="H512" s="2" t="s">
        <v>185</v>
      </c>
      <c r="I512" s="2" t="s">
        <v>3395</v>
      </c>
      <c r="J512" s="3">
        <v>8.99</v>
      </c>
      <c r="K512" s="3">
        <v>8.99</v>
      </c>
      <c r="L512" s="2" t="s">
        <v>3391</v>
      </c>
      <c r="M512" s="2" t="s">
        <v>9</v>
      </c>
      <c r="N512" s="3">
        <v>335</v>
      </c>
      <c r="O512" s="2" t="s">
        <v>29</v>
      </c>
      <c r="P512" s="2" t="s">
        <v>44</v>
      </c>
      <c r="Q512" s="3"/>
      <c r="R512" s="3"/>
      <c r="S512" s="2" t="s">
        <v>21</v>
      </c>
      <c r="T512" s="4">
        <v>44955</v>
      </c>
      <c r="U512" s="2" t="s">
        <v>1895</v>
      </c>
      <c r="V512" s="6">
        <f>(Sales[[#This Row],[Price_retail]]-Sales[[#This Row],[Price_current]])/Sales[[#This Row],[Price_retail]]</f>
        <v>0</v>
      </c>
      <c r="W512" s="3" t="str" cm="1">
        <f t="array" ref="W51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3" spans="1:23" x14ac:dyDescent="0.35">
      <c r="A513" s="2" t="s">
        <v>1896</v>
      </c>
      <c r="B513" s="2" t="s">
        <v>1897</v>
      </c>
      <c r="C513" s="2" t="s">
        <v>333</v>
      </c>
      <c r="D513" s="2" t="s">
        <v>842</v>
      </c>
      <c r="E513" s="2" t="s">
        <v>4</v>
      </c>
      <c r="F513" s="2" t="s">
        <v>5</v>
      </c>
      <c r="G513" s="2" t="s">
        <v>6</v>
      </c>
      <c r="H513" s="2" t="s">
        <v>7</v>
      </c>
      <c r="I513" s="2" t="s">
        <v>3393</v>
      </c>
      <c r="J513" s="3">
        <v>27.76</v>
      </c>
      <c r="K513" s="3">
        <v>27.76</v>
      </c>
      <c r="L513" s="2" t="s">
        <v>248</v>
      </c>
      <c r="M513" s="2" t="s">
        <v>9</v>
      </c>
      <c r="N513" s="3">
        <v>252</v>
      </c>
      <c r="O513" s="2" t="s">
        <v>60</v>
      </c>
      <c r="P513" s="2" t="s">
        <v>44</v>
      </c>
      <c r="Q513" s="3"/>
      <c r="R513" s="3"/>
      <c r="S513" s="2" t="s">
        <v>21</v>
      </c>
      <c r="T513" s="4">
        <v>44955</v>
      </c>
      <c r="U513" s="2" t="s">
        <v>1898</v>
      </c>
      <c r="V513" s="6">
        <f>(Sales[[#This Row],[Price_retail]]-Sales[[#This Row],[Price_current]])/Sales[[#This Row],[Price_retail]]</f>
        <v>0</v>
      </c>
      <c r="W513" s="3" t="str" cm="1">
        <f t="array" ref="W51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4" spans="1:23" x14ac:dyDescent="0.35">
      <c r="A514" s="2" t="s">
        <v>1899</v>
      </c>
      <c r="B514" s="2" t="s">
        <v>1900</v>
      </c>
      <c r="C514" s="2" t="s">
        <v>786</v>
      </c>
      <c r="D514" s="2" t="s">
        <v>209</v>
      </c>
      <c r="E514" s="2" t="s">
        <v>4</v>
      </c>
      <c r="F514" s="2" t="s">
        <v>5</v>
      </c>
      <c r="G514" s="2" t="s">
        <v>121</v>
      </c>
      <c r="H514" s="2" t="s">
        <v>35</v>
      </c>
      <c r="I514" s="2" t="s">
        <v>3390</v>
      </c>
      <c r="J514" s="3">
        <v>11.75</v>
      </c>
      <c r="K514" s="3">
        <v>11.75</v>
      </c>
      <c r="L514" s="2" t="s">
        <v>3391</v>
      </c>
      <c r="M514" s="2" t="s">
        <v>9</v>
      </c>
      <c r="N514" s="3">
        <v>918</v>
      </c>
      <c r="O514" s="2" t="s">
        <v>36</v>
      </c>
      <c r="P514" s="2" t="s">
        <v>186</v>
      </c>
      <c r="Q514" s="3"/>
      <c r="R514" s="3"/>
      <c r="S514" s="2" t="s">
        <v>21</v>
      </c>
      <c r="T514" s="4">
        <v>44955</v>
      </c>
      <c r="U514" s="2" t="s">
        <v>1901</v>
      </c>
      <c r="V514" s="6">
        <f>(Sales[[#This Row],[Price_retail]]-Sales[[#This Row],[Price_current]])/Sales[[#This Row],[Price_retail]]</f>
        <v>0</v>
      </c>
      <c r="W514" s="3" t="str" cm="1">
        <f t="array" ref="W5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5" spans="1:23" x14ac:dyDescent="0.35">
      <c r="A515" s="2" t="s">
        <v>1902</v>
      </c>
      <c r="B515" s="2" t="s">
        <v>1903</v>
      </c>
      <c r="C515" s="2" t="s">
        <v>469</v>
      </c>
      <c r="D515" s="2" t="s">
        <v>138</v>
      </c>
      <c r="E515" s="2" t="s">
        <v>4</v>
      </c>
      <c r="F515" s="2" t="s">
        <v>5</v>
      </c>
      <c r="G515" s="2" t="s">
        <v>82</v>
      </c>
      <c r="H515" s="2" t="s">
        <v>139</v>
      </c>
      <c r="I515" s="2" t="s">
        <v>3393</v>
      </c>
      <c r="J515" s="3">
        <v>8.99</v>
      </c>
      <c r="K515" s="3">
        <v>8.99</v>
      </c>
      <c r="L515" s="2" t="s">
        <v>3391</v>
      </c>
      <c r="M515" s="2" t="s">
        <v>9</v>
      </c>
      <c r="N515" s="3">
        <v>188</v>
      </c>
      <c r="O515" s="2" t="s">
        <v>69</v>
      </c>
      <c r="P515" s="2" t="s">
        <v>53</v>
      </c>
      <c r="Q515" s="3"/>
      <c r="R515" s="3"/>
      <c r="S515" s="2" t="s">
        <v>21</v>
      </c>
      <c r="T515" s="4">
        <v>44955</v>
      </c>
      <c r="U515" s="2" t="s">
        <v>1904</v>
      </c>
      <c r="V515" s="6">
        <f>(Sales[[#This Row],[Price_retail]]-Sales[[#This Row],[Price_current]])/Sales[[#This Row],[Price_retail]]</f>
        <v>0</v>
      </c>
      <c r="W515" s="3" t="str" cm="1">
        <f t="array" ref="W51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6" spans="1:23" x14ac:dyDescent="0.35">
      <c r="A516" s="2" t="s">
        <v>1905</v>
      </c>
      <c r="B516" s="2" t="s">
        <v>1906</v>
      </c>
      <c r="C516" s="2" t="s">
        <v>1115</v>
      </c>
      <c r="D516" s="2" t="s">
        <v>1125</v>
      </c>
      <c r="E516" s="2" t="s">
        <v>4</v>
      </c>
      <c r="F516" s="2" t="s">
        <v>5</v>
      </c>
      <c r="G516" s="2" t="s">
        <v>82</v>
      </c>
      <c r="H516" s="2" t="s">
        <v>333</v>
      </c>
      <c r="I516" s="2" t="s">
        <v>3390</v>
      </c>
      <c r="J516" s="3">
        <v>27.8</v>
      </c>
      <c r="K516" s="3">
        <v>15.99</v>
      </c>
      <c r="L516" s="2" t="s">
        <v>8</v>
      </c>
      <c r="M516" s="2" t="s">
        <v>9</v>
      </c>
      <c r="N516" s="3">
        <v>123</v>
      </c>
      <c r="O516" s="2" t="s">
        <v>69</v>
      </c>
      <c r="P516" s="2" t="s">
        <v>553</v>
      </c>
      <c r="Q516" s="3"/>
      <c r="R516" s="3"/>
      <c r="S516" s="2"/>
      <c r="T516" s="4">
        <v>44955</v>
      </c>
      <c r="U516" s="2" t="s">
        <v>1907</v>
      </c>
      <c r="V516" s="6">
        <f>(Sales[[#This Row],[Price_retail]]-Sales[[#This Row],[Price_current]])/Sales[[#This Row],[Price_retail]]</f>
        <v>0.42482014388489209</v>
      </c>
      <c r="W516" s="3" t="str" cm="1">
        <f t="array" ref="W51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17" spans="1:23" x14ac:dyDescent="0.35">
      <c r="A517" s="2" t="s">
        <v>1908</v>
      </c>
      <c r="B517" s="2" t="s">
        <v>1909</v>
      </c>
      <c r="C517" s="2" t="s">
        <v>3394</v>
      </c>
      <c r="D517" s="2" t="s">
        <v>66</v>
      </c>
      <c r="E517" s="2" t="s">
        <v>4</v>
      </c>
      <c r="F517" s="2" t="s">
        <v>17</v>
      </c>
      <c r="G517" s="2" t="s">
        <v>67</v>
      </c>
      <c r="H517" s="2" t="s">
        <v>68</v>
      </c>
      <c r="I517" s="2" t="s">
        <v>3393</v>
      </c>
      <c r="J517" s="3">
        <v>17.170000000000002</v>
      </c>
      <c r="K517" s="3">
        <v>11.34</v>
      </c>
      <c r="L517" s="2" t="s">
        <v>8</v>
      </c>
      <c r="M517" s="2" t="s">
        <v>9</v>
      </c>
      <c r="N517" s="3">
        <v>363</v>
      </c>
      <c r="O517" s="2" t="s">
        <v>347</v>
      </c>
      <c r="P517" s="2" t="s">
        <v>238</v>
      </c>
      <c r="Q517" s="3"/>
      <c r="R517" s="3"/>
      <c r="S517" s="2" t="s">
        <v>12</v>
      </c>
      <c r="T517" s="4">
        <v>44955</v>
      </c>
      <c r="U517" s="2" t="s">
        <v>1910</v>
      </c>
      <c r="V517" s="6">
        <f>(Sales[[#This Row],[Price_retail]]-Sales[[#This Row],[Price_current]])/Sales[[#This Row],[Price_retail]]</f>
        <v>0.33954571927781019</v>
      </c>
      <c r="W517" s="3" t="str" cm="1">
        <f t="array" ref="W51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18" spans="1:23" x14ac:dyDescent="0.35">
      <c r="A518" s="2" t="s">
        <v>1911</v>
      </c>
      <c r="B518" s="2" t="s">
        <v>1912</v>
      </c>
      <c r="C518" s="2" t="s">
        <v>469</v>
      </c>
      <c r="D518" s="2" t="s">
        <v>3418</v>
      </c>
      <c r="E518" s="2" t="s">
        <v>4</v>
      </c>
      <c r="F518" s="2" t="s">
        <v>5</v>
      </c>
      <c r="G518" s="2" t="s">
        <v>82</v>
      </c>
      <c r="H518" s="2" t="s">
        <v>68</v>
      </c>
      <c r="I518" s="2" t="s">
        <v>3390</v>
      </c>
      <c r="J518" s="3">
        <v>17.96</v>
      </c>
      <c r="K518" s="3">
        <v>17.96</v>
      </c>
      <c r="L518" s="2" t="s">
        <v>3391</v>
      </c>
      <c r="M518" s="2" t="s">
        <v>9</v>
      </c>
      <c r="N518" s="3">
        <v>445</v>
      </c>
      <c r="O518" s="2" t="s">
        <v>3392</v>
      </c>
      <c r="P518" s="2" t="s">
        <v>37</v>
      </c>
      <c r="Q518" s="3"/>
      <c r="R518" s="3"/>
      <c r="S518" s="2" t="s">
        <v>21</v>
      </c>
      <c r="T518" s="4">
        <v>44955</v>
      </c>
      <c r="U518" s="2" t="s">
        <v>1913</v>
      </c>
      <c r="V518" s="6">
        <f>(Sales[[#This Row],[Price_retail]]-Sales[[#This Row],[Price_current]])/Sales[[#This Row],[Price_retail]]</f>
        <v>0</v>
      </c>
      <c r="W518" s="3" t="str" cm="1">
        <f t="array" ref="W5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19" spans="1:23" x14ac:dyDescent="0.35">
      <c r="A519" s="2" t="s">
        <v>1914</v>
      </c>
      <c r="B519" s="2" t="s">
        <v>1915</v>
      </c>
      <c r="C519" s="2" t="s">
        <v>1425</v>
      </c>
      <c r="D519" s="2" t="s">
        <v>42</v>
      </c>
      <c r="E519" s="2" t="s">
        <v>4</v>
      </c>
      <c r="F519" s="2" t="s">
        <v>5</v>
      </c>
      <c r="G519" s="2" t="s">
        <v>6</v>
      </c>
      <c r="H519" s="2" t="s">
        <v>19</v>
      </c>
      <c r="I519" s="2" t="s">
        <v>3393</v>
      </c>
      <c r="J519" s="3">
        <v>24.42</v>
      </c>
      <c r="K519" s="3">
        <v>13.2</v>
      </c>
      <c r="L519" s="2" t="s">
        <v>8</v>
      </c>
      <c r="M519" s="2" t="s">
        <v>9</v>
      </c>
      <c r="N519" s="3">
        <v>187</v>
      </c>
      <c r="O519" s="2" t="s">
        <v>36</v>
      </c>
      <c r="P519" s="2" t="s">
        <v>92</v>
      </c>
      <c r="Q519" s="3"/>
      <c r="R519" s="3"/>
      <c r="S519" s="2"/>
      <c r="T519" s="4">
        <v>44955</v>
      </c>
      <c r="U519" s="2" t="s">
        <v>1916</v>
      </c>
      <c r="V519" s="6">
        <f>(Sales[[#This Row],[Price_retail]]-Sales[[#This Row],[Price_current]])/Sales[[#This Row],[Price_retail]]</f>
        <v>0.45945945945945954</v>
      </c>
      <c r="W519" s="3" t="str" cm="1">
        <f t="array" ref="W51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20" spans="1:23" x14ac:dyDescent="0.35">
      <c r="A520" s="2" t="s">
        <v>1917</v>
      </c>
      <c r="B520" s="2" t="s">
        <v>1918</v>
      </c>
      <c r="C520" s="2" t="s">
        <v>423</v>
      </c>
      <c r="D520" s="2" t="s">
        <v>857</v>
      </c>
      <c r="E520" s="2" t="s">
        <v>4</v>
      </c>
      <c r="F520" s="2" t="s">
        <v>5</v>
      </c>
      <c r="G520" s="2" t="s">
        <v>6</v>
      </c>
      <c r="H520" s="2" t="s">
        <v>51</v>
      </c>
      <c r="I520" s="2" t="s">
        <v>3395</v>
      </c>
      <c r="J520" s="3">
        <v>8.99</v>
      </c>
      <c r="K520" s="3">
        <v>8.99</v>
      </c>
      <c r="L520" s="2" t="s">
        <v>3391</v>
      </c>
      <c r="M520" s="2" t="s">
        <v>9</v>
      </c>
      <c r="N520" s="3">
        <v>554</v>
      </c>
      <c r="O520" s="2" t="s">
        <v>3392</v>
      </c>
      <c r="P520" s="2" t="s">
        <v>37</v>
      </c>
      <c r="Q520" s="3"/>
      <c r="R520" s="3"/>
      <c r="S520" s="2" t="s">
        <v>21</v>
      </c>
      <c r="T520" s="4">
        <v>44955</v>
      </c>
      <c r="U520" s="2" t="s">
        <v>1919</v>
      </c>
      <c r="V520" s="6">
        <f>(Sales[[#This Row],[Price_retail]]-Sales[[#This Row],[Price_current]])/Sales[[#This Row],[Price_retail]]</f>
        <v>0</v>
      </c>
      <c r="W520" s="3" t="str" cm="1">
        <f t="array" ref="W52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1" spans="1:23" x14ac:dyDescent="0.35">
      <c r="A521" s="2" t="s">
        <v>1920</v>
      </c>
      <c r="B521" s="2" t="s">
        <v>1921</v>
      </c>
      <c r="C521" s="2" t="s">
        <v>126</v>
      </c>
      <c r="D521" s="2" t="s">
        <v>1011</v>
      </c>
      <c r="E521" s="2" t="s">
        <v>4</v>
      </c>
      <c r="F521" s="2" t="s">
        <v>17</v>
      </c>
      <c r="G521" s="2" t="s">
        <v>50</v>
      </c>
      <c r="H521" s="2" t="s">
        <v>68</v>
      </c>
      <c r="I521" s="2" t="s">
        <v>3390</v>
      </c>
      <c r="J521" s="3">
        <v>8.99</v>
      </c>
      <c r="K521" s="3">
        <v>8.99</v>
      </c>
      <c r="L521" s="2" t="s">
        <v>3391</v>
      </c>
      <c r="M521" s="2" t="s">
        <v>9</v>
      </c>
      <c r="N521" s="3">
        <v>699</v>
      </c>
      <c r="O521" s="2" t="s">
        <v>3392</v>
      </c>
      <c r="P521" s="2" t="s">
        <v>283</v>
      </c>
      <c r="Q521" s="3"/>
      <c r="R521" s="3"/>
      <c r="S521" s="2" t="s">
        <v>21</v>
      </c>
      <c r="T521" s="4">
        <v>44955</v>
      </c>
      <c r="U521" s="2" t="s">
        <v>1922</v>
      </c>
      <c r="V521" s="6">
        <f>(Sales[[#This Row],[Price_retail]]-Sales[[#This Row],[Price_current]])/Sales[[#This Row],[Price_retail]]</f>
        <v>0</v>
      </c>
      <c r="W521" s="3" t="str" cm="1">
        <f t="array" ref="W5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2" spans="1:23" x14ac:dyDescent="0.35">
      <c r="A522" s="2" t="s">
        <v>1923</v>
      </c>
      <c r="B522" s="2" t="s">
        <v>1924</v>
      </c>
      <c r="C522" s="2" t="s">
        <v>985</v>
      </c>
      <c r="D522" s="2" t="s">
        <v>442</v>
      </c>
      <c r="E522" s="2" t="s">
        <v>4</v>
      </c>
      <c r="F522" s="2" t="s">
        <v>5</v>
      </c>
      <c r="G522" s="2" t="s">
        <v>121</v>
      </c>
      <c r="H522" s="2" t="s">
        <v>59</v>
      </c>
      <c r="I522" s="2" t="s">
        <v>3390</v>
      </c>
      <c r="J522" s="3">
        <v>37.32</v>
      </c>
      <c r="K522" s="3">
        <v>37.32</v>
      </c>
      <c r="L522" s="2" t="s">
        <v>3391</v>
      </c>
      <c r="M522" s="2" t="s">
        <v>9</v>
      </c>
      <c r="N522" s="3">
        <v>722</v>
      </c>
      <c r="O522" s="2" t="s">
        <v>287</v>
      </c>
      <c r="P522" s="2" t="s">
        <v>283</v>
      </c>
      <c r="Q522" s="3"/>
      <c r="R522" s="3"/>
      <c r="S522" s="2" t="s">
        <v>21</v>
      </c>
      <c r="T522" s="4">
        <v>44955</v>
      </c>
      <c r="U522" s="2" t="s">
        <v>1925</v>
      </c>
      <c r="V522" s="6">
        <f>(Sales[[#This Row],[Price_retail]]-Sales[[#This Row],[Price_current]])/Sales[[#This Row],[Price_retail]]</f>
        <v>0</v>
      </c>
      <c r="W522" s="3" t="str" cm="1">
        <f t="array" ref="W52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3" spans="1:23" x14ac:dyDescent="0.35">
      <c r="A523" s="2" t="s">
        <v>1926</v>
      </c>
      <c r="B523" s="2" t="s">
        <v>1927</v>
      </c>
      <c r="C523" s="2" t="s">
        <v>65</v>
      </c>
      <c r="D523" s="2" t="s">
        <v>138</v>
      </c>
      <c r="E523" s="2" t="s">
        <v>4</v>
      </c>
      <c r="F523" s="2" t="s">
        <v>5</v>
      </c>
      <c r="G523" s="2" t="s">
        <v>82</v>
      </c>
      <c r="H523" s="2" t="s">
        <v>139</v>
      </c>
      <c r="I523" s="2" t="s">
        <v>3393</v>
      </c>
      <c r="J523" s="3">
        <v>8.99</v>
      </c>
      <c r="K523" s="3">
        <v>4.4800000000000004</v>
      </c>
      <c r="L523" s="2" t="s">
        <v>8</v>
      </c>
      <c r="M523" s="2" t="s">
        <v>9</v>
      </c>
      <c r="N523" s="3">
        <v>798</v>
      </c>
      <c r="O523" s="2" t="s">
        <v>98</v>
      </c>
      <c r="P523" s="2" t="s">
        <v>192</v>
      </c>
      <c r="Q523" s="3"/>
      <c r="R523" s="3"/>
      <c r="S523" s="2"/>
      <c r="T523" s="4">
        <v>44955</v>
      </c>
      <c r="U523" s="2" t="s">
        <v>1928</v>
      </c>
      <c r="V523" s="6">
        <f>(Sales[[#This Row],[Price_retail]]-Sales[[#This Row],[Price_current]])/Sales[[#This Row],[Price_retail]]</f>
        <v>0.50166852057842048</v>
      </c>
      <c r="W523" s="3" t="str" cm="1">
        <f t="array" ref="W523">_xlfn.IFS(Sales[[#This Row],[Discount]]=0%,"No Discount",Sales[[#This Row],[Discount]]&lt;=20%,"Light",Sales[[#This Row],[Discount]]&lt;=50%,"Moderate",Sales[[#This Row],[Discount]]&lt;=80%,"High",
TRUE,"Very High")</f>
        <v>High</v>
      </c>
    </row>
    <row r="524" spans="1:23" x14ac:dyDescent="0.35">
      <c r="A524" s="2" t="s">
        <v>1929</v>
      </c>
      <c r="B524" s="2" t="s">
        <v>1930</v>
      </c>
      <c r="C524" s="2" t="s">
        <v>3394</v>
      </c>
      <c r="D524" s="2" t="s">
        <v>494</v>
      </c>
      <c r="E524" s="2" t="s">
        <v>4</v>
      </c>
      <c r="F524" s="2" t="s">
        <v>17</v>
      </c>
      <c r="G524" s="2" t="s">
        <v>27</v>
      </c>
      <c r="H524" s="2" t="s">
        <v>83</v>
      </c>
      <c r="I524" s="2" t="s">
        <v>3390</v>
      </c>
      <c r="J524" s="3">
        <v>8.99</v>
      </c>
      <c r="K524" s="3">
        <v>4.6100000000000003</v>
      </c>
      <c r="L524" s="2" t="s">
        <v>8</v>
      </c>
      <c r="M524" s="2" t="s">
        <v>9</v>
      </c>
      <c r="N524" s="3">
        <v>780</v>
      </c>
      <c r="O524" s="2" t="s">
        <v>140</v>
      </c>
      <c r="P524" s="2" t="s">
        <v>186</v>
      </c>
      <c r="Q524" s="3"/>
      <c r="R524" s="3"/>
      <c r="S524" s="2" t="s">
        <v>21</v>
      </c>
      <c r="T524" s="4">
        <v>44955</v>
      </c>
      <c r="U524" s="2" t="s">
        <v>1931</v>
      </c>
      <c r="V524" s="6">
        <f>(Sales[[#This Row],[Price_retail]]-Sales[[#This Row],[Price_current]])/Sales[[#This Row],[Price_retail]]</f>
        <v>0.48720800889877641</v>
      </c>
      <c r="W524" s="3" t="str" cm="1">
        <f t="array" ref="W52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25" spans="1:23" x14ac:dyDescent="0.35">
      <c r="A525" s="2" t="s">
        <v>1932</v>
      </c>
      <c r="B525" s="2" t="s">
        <v>1933</v>
      </c>
      <c r="C525" s="2" t="s">
        <v>1421</v>
      </c>
      <c r="D525" s="2" t="s">
        <v>272</v>
      </c>
      <c r="E525" s="2" t="s">
        <v>4</v>
      </c>
      <c r="F525" s="2" t="s">
        <v>5</v>
      </c>
      <c r="G525" s="2" t="s">
        <v>82</v>
      </c>
      <c r="H525" s="2" t="s">
        <v>51</v>
      </c>
      <c r="I525" s="2" t="s">
        <v>3390</v>
      </c>
      <c r="J525" s="3">
        <v>8.99</v>
      </c>
      <c r="K525" s="3">
        <v>6.59</v>
      </c>
      <c r="L525" s="2" t="s">
        <v>8</v>
      </c>
      <c r="M525" s="2" t="s">
        <v>9</v>
      </c>
      <c r="N525" s="3">
        <v>490</v>
      </c>
      <c r="O525" s="2" t="s">
        <v>91</v>
      </c>
      <c r="P525" s="2" t="s">
        <v>221</v>
      </c>
      <c r="Q525" s="3"/>
      <c r="R525" s="3"/>
      <c r="S525" s="2" t="s">
        <v>21</v>
      </c>
      <c r="T525" s="4">
        <v>44955</v>
      </c>
      <c r="U525" s="2" t="s">
        <v>1934</v>
      </c>
      <c r="V525" s="6">
        <f>(Sales[[#This Row],[Price_retail]]-Sales[[#This Row],[Price_current]])/Sales[[#This Row],[Price_retail]]</f>
        <v>0.2669632925472748</v>
      </c>
      <c r="W525" s="3" t="str" cm="1">
        <f t="array" ref="W52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26" spans="1:23" x14ac:dyDescent="0.35">
      <c r="A526" s="2" t="s">
        <v>1935</v>
      </c>
      <c r="B526" s="2" t="s">
        <v>1936</v>
      </c>
      <c r="C526" s="2" t="s">
        <v>3394</v>
      </c>
      <c r="D526" s="2" t="s">
        <v>354</v>
      </c>
      <c r="E526" s="2" t="s">
        <v>4</v>
      </c>
      <c r="F526" s="2" t="s">
        <v>17</v>
      </c>
      <c r="G526" s="2" t="s">
        <v>27</v>
      </c>
      <c r="H526" s="2"/>
      <c r="I526" s="2" t="s">
        <v>3390</v>
      </c>
      <c r="J526" s="3">
        <v>49.11</v>
      </c>
      <c r="K526" s="3">
        <v>49.11</v>
      </c>
      <c r="L526" s="2" t="s">
        <v>3391</v>
      </c>
      <c r="M526" s="2" t="s">
        <v>9</v>
      </c>
      <c r="N526" s="3">
        <v>882</v>
      </c>
      <c r="O526" s="2" t="s">
        <v>91</v>
      </c>
      <c r="P526" s="2" t="s">
        <v>186</v>
      </c>
      <c r="Q526" s="3"/>
      <c r="R526" s="3"/>
      <c r="S526" s="2" t="s">
        <v>21</v>
      </c>
      <c r="T526" s="4">
        <v>44955</v>
      </c>
      <c r="U526" s="2" t="s">
        <v>1937</v>
      </c>
      <c r="V526" s="6">
        <f>(Sales[[#This Row],[Price_retail]]-Sales[[#This Row],[Price_current]])/Sales[[#This Row],[Price_retail]]</f>
        <v>0</v>
      </c>
      <c r="W526" s="3" t="str" cm="1">
        <f t="array" ref="W52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7" spans="1:23" x14ac:dyDescent="0.35">
      <c r="A527" s="2" t="s">
        <v>1938</v>
      </c>
      <c r="B527" s="2" t="s">
        <v>1939</v>
      </c>
      <c r="C527" s="2" t="s">
        <v>1747</v>
      </c>
      <c r="D527" s="2" t="s">
        <v>1165</v>
      </c>
      <c r="E527" s="2" t="s">
        <v>4</v>
      </c>
      <c r="F527" s="2" t="s">
        <v>17</v>
      </c>
      <c r="G527" s="2" t="s">
        <v>27</v>
      </c>
      <c r="H527" s="2" t="s">
        <v>185</v>
      </c>
      <c r="I527" s="2" t="s">
        <v>3390</v>
      </c>
      <c r="J527" s="3">
        <v>20.52</v>
      </c>
      <c r="K527" s="3">
        <v>20.52</v>
      </c>
      <c r="L527" s="2" t="s">
        <v>3391</v>
      </c>
      <c r="M527" s="2" t="s">
        <v>9</v>
      </c>
      <c r="N527" s="3">
        <v>636</v>
      </c>
      <c r="O527" s="2" t="s">
        <v>104</v>
      </c>
      <c r="P527" s="2" t="s">
        <v>163</v>
      </c>
      <c r="Q527" s="3"/>
      <c r="R527" s="3"/>
      <c r="S527" s="2" t="s">
        <v>21</v>
      </c>
      <c r="T527" s="4">
        <v>44955</v>
      </c>
      <c r="U527" s="2" t="s">
        <v>1940</v>
      </c>
      <c r="V527" s="6">
        <f>(Sales[[#This Row],[Price_retail]]-Sales[[#This Row],[Price_current]])/Sales[[#This Row],[Price_retail]]</f>
        <v>0</v>
      </c>
      <c r="W527" s="3" t="str" cm="1">
        <f t="array" ref="W5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8" spans="1:23" x14ac:dyDescent="0.35">
      <c r="A528" s="2" t="s">
        <v>1941</v>
      </c>
      <c r="B528" s="2" t="s">
        <v>1942</v>
      </c>
      <c r="C528" s="2" t="s">
        <v>3407</v>
      </c>
      <c r="D528" s="2" t="s">
        <v>1161</v>
      </c>
      <c r="E528" s="2" t="s">
        <v>4</v>
      </c>
      <c r="F528" s="2" t="s">
        <v>17</v>
      </c>
      <c r="G528" s="2" t="s">
        <v>50</v>
      </c>
      <c r="H528" s="2" t="s">
        <v>28</v>
      </c>
      <c r="I528" s="2" t="s">
        <v>3393</v>
      </c>
      <c r="J528" s="3">
        <v>29.84</v>
      </c>
      <c r="K528" s="3">
        <v>29.84</v>
      </c>
      <c r="L528" s="2" t="s">
        <v>3391</v>
      </c>
      <c r="M528" s="2" t="s">
        <v>9</v>
      </c>
      <c r="N528" s="3">
        <v>811</v>
      </c>
      <c r="O528" s="2" t="s">
        <v>261</v>
      </c>
      <c r="P528" s="2" t="s">
        <v>238</v>
      </c>
      <c r="Q528" s="3"/>
      <c r="R528" s="3"/>
      <c r="S528" s="2" t="s">
        <v>12</v>
      </c>
      <c r="T528" s="4">
        <v>44955</v>
      </c>
      <c r="U528" s="2" t="s">
        <v>1943</v>
      </c>
      <c r="V528" s="6">
        <f>(Sales[[#This Row],[Price_retail]]-Sales[[#This Row],[Price_current]])/Sales[[#This Row],[Price_retail]]</f>
        <v>0</v>
      </c>
      <c r="W528" s="3" t="str" cm="1">
        <f t="array" ref="W5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29" spans="1:23" x14ac:dyDescent="0.35">
      <c r="A529" s="2" t="s">
        <v>1944</v>
      </c>
      <c r="B529" s="2" t="s">
        <v>1945</v>
      </c>
      <c r="C529" s="2" t="s">
        <v>721</v>
      </c>
      <c r="D529" s="2" t="s">
        <v>511</v>
      </c>
      <c r="E529" s="2" t="s">
        <v>4</v>
      </c>
      <c r="F529" s="2" t="s">
        <v>5</v>
      </c>
      <c r="G529" s="2" t="s">
        <v>121</v>
      </c>
      <c r="H529" s="2" t="s">
        <v>7</v>
      </c>
      <c r="I529" s="2" t="s">
        <v>3395</v>
      </c>
      <c r="J529" s="3">
        <v>17.420000000000002</v>
      </c>
      <c r="K529" s="3">
        <v>1123</v>
      </c>
      <c r="L529" s="2" t="s">
        <v>8</v>
      </c>
      <c r="M529" s="2" t="s">
        <v>9</v>
      </c>
      <c r="N529" s="3">
        <v>319</v>
      </c>
      <c r="O529" s="2" t="s">
        <v>359</v>
      </c>
      <c r="P529" s="2" t="s">
        <v>177</v>
      </c>
      <c r="Q529" s="3"/>
      <c r="R529" s="3"/>
      <c r="S529" s="2" t="s">
        <v>21</v>
      </c>
      <c r="T529" s="4">
        <v>44955</v>
      </c>
      <c r="U529" s="2" t="s">
        <v>1946</v>
      </c>
      <c r="V529" s="6">
        <f>(Sales[[#This Row],[Price_retail]]-Sales[[#This Row],[Price_current]])/Sales[[#This Row],[Price_retail]]</f>
        <v>-63.46613088404132</v>
      </c>
      <c r="W529" s="3" t="str" cm="1">
        <f t="array" ref="W529">_xlfn.IFS(Sales[[#This Row],[Discount]]=0%,"No Discount",Sales[[#This Row],[Discount]]&lt;=20%,"Light",Sales[[#This Row],[Discount]]&lt;=50%,"Moderate",Sales[[#This Row],[Discount]]&lt;=80%,"High",
TRUE,"Very High")</f>
        <v>Light</v>
      </c>
    </row>
    <row r="530" spans="1:23" x14ac:dyDescent="0.35">
      <c r="A530" s="2" t="s">
        <v>1947</v>
      </c>
      <c r="B530" s="2" t="s">
        <v>1948</v>
      </c>
      <c r="C530" s="2" t="s">
        <v>65</v>
      </c>
      <c r="D530" s="2" t="s">
        <v>847</v>
      </c>
      <c r="E530" s="2" t="s">
        <v>4</v>
      </c>
      <c r="F530" s="2" t="s">
        <v>5</v>
      </c>
      <c r="G530" s="2" t="s">
        <v>6</v>
      </c>
      <c r="H530" s="2" t="s">
        <v>237</v>
      </c>
      <c r="I530" s="2" t="s">
        <v>3395</v>
      </c>
      <c r="J530" s="3">
        <v>11.23</v>
      </c>
      <c r="K530" s="3">
        <v>11.23</v>
      </c>
      <c r="L530" s="2" t="s">
        <v>3391</v>
      </c>
      <c r="M530" s="2" t="s">
        <v>9</v>
      </c>
      <c r="N530" s="3">
        <v>962</v>
      </c>
      <c r="O530" s="2" t="s">
        <v>359</v>
      </c>
      <c r="P530" s="2" t="s">
        <v>3392</v>
      </c>
      <c r="Q530" s="3"/>
      <c r="R530" s="3"/>
      <c r="S530" s="2" t="s">
        <v>21</v>
      </c>
      <c r="T530" s="4">
        <v>44955</v>
      </c>
      <c r="U530" s="2" t="s">
        <v>1949</v>
      </c>
      <c r="V530" s="6">
        <f>(Sales[[#This Row],[Price_retail]]-Sales[[#This Row],[Price_current]])/Sales[[#This Row],[Price_retail]]</f>
        <v>0</v>
      </c>
      <c r="W530" s="3" t="str" cm="1">
        <f t="array" ref="W53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1" spans="1:23" x14ac:dyDescent="0.35">
      <c r="A531" s="2" t="s">
        <v>1950</v>
      </c>
      <c r="B531" s="2" t="s">
        <v>1951</v>
      </c>
      <c r="C531" s="2" t="s">
        <v>242</v>
      </c>
      <c r="D531" s="2" t="s">
        <v>1101</v>
      </c>
      <c r="E531" s="2" t="s">
        <v>4</v>
      </c>
      <c r="F531" s="2" t="s">
        <v>5</v>
      </c>
      <c r="G531" s="2" t="s">
        <v>6</v>
      </c>
      <c r="H531" s="2" t="s">
        <v>134</v>
      </c>
      <c r="I531" s="2" t="s">
        <v>3390</v>
      </c>
      <c r="J531" s="3">
        <v>22.14</v>
      </c>
      <c r="K531" s="3">
        <v>22.14</v>
      </c>
      <c r="L531" s="2" t="s">
        <v>3391</v>
      </c>
      <c r="M531" s="2" t="s">
        <v>9</v>
      </c>
      <c r="N531" s="3">
        <v>758</v>
      </c>
      <c r="O531" s="2" t="s">
        <v>75</v>
      </c>
      <c r="P531" s="2" t="s">
        <v>177</v>
      </c>
      <c r="Q531" s="3"/>
      <c r="R531" s="3"/>
      <c r="S531" s="2" t="s">
        <v>12</v>
      </c>
      <c r="T531" s="4">
        <v>44955</v>
      </c>
      <c r="U531" s="2" t="s">
        <v>1952</v>
      </c>
      <c r="V531" s="6">
        <f>(Sales[[#This Row],[Price_retail]]-Sales[[#This Row],[Price_current]])/Sales[[#This Row],[Price_retail]]</f>
        <v>0</v>
      </c>
      <c r="W531" s="3" t="str" cm="1">
        <f t="array" ref="W5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2" spans="1:23" x14ac:dyDescent="0.35">
      <c r="A532" s="2" t="s">
        <v>1953</v>
      </c>
      <c r="B532" s="2" t="s">
        <v>1954</v>
      </c>
      <c r="C532" s="2" t="s">
        <v>242</v>
      </c>
      <c r="D532" s="2" t="s">
        <v>413</v>
      </c>
      <c r="E532" s="2" t="s">
        <v>4</v>
      </c>
      <c r="F532" s="2" t="s">
        <v>17</v>
      </c>
      <c r="G532" s="2" t="s">
        <v>67</v>
      </c>
      <c r="H532" s="2" t="s">
        <v>19</v>
      </c>
      <c r="I532" s="2" t="s">
        <v>3395</v>
      </c>
      <c r="J532" s="3">
        <v>8.99</v>
      </c>
      <c r="K532" s="3">
        <v>8.99</v>
      </c>
      <c r="L532" s="2" t="s">
        <v>3391</v>
      </c>
      <c r="M532" s="2" t="s">
        <v>9</v>
      </c>
      <c r="N532" s="3">
        <v>275</v>
      </c>
      <c r="O532" s="2" t="s">
        <v>60</v>
      </c>
      <c r="P532" s="2" t="s">
        <v>238</v>
      </c>
      <c r="Q532" s="3"/>
      <c r="R532" s="3"/>
      <c r="S532" s="2" t="s">
        <v>12</v>
      </c>
      <c r="T532" s="4">
        <v>44955</v>
      </c>
      <c r="U532" s="2" t="s">
        <v>1955</v>
      </c>
      <c r="V532" s="6">
        <f>(Sales[[#This Row],[Price_retail]]-Sales[[#This Row],[Price_current]])/Sales[[#This Row],[Price_retail]]</f>
        <v>0</v>
      </c>
      <c r="W532" s="3" t="str" cm="1">
        <f t="array" ref="W5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3" spans="1:23" x14ac:dyDescent="0.35">
      <c r="A533" s="2" t="s">
        <v>1956</v>
      </c>
      <c r="B533" s="2" t="s">
        <v>1957</v>
      </c>
      <c r="C533" s="2" t="s">
        <v>1425</v>
      </c>
      <c r="D533" s="2" t="s">
        <v>196</v>
      </c>
      <c r="E533" s="2" t="s">
        <v>4</v>
      </c>
      <c r="F533" s="2" t="s">
        <v>17</v>
      </c>
      <c r="G533" s="2" t="s">
        <v>18</v>
      </c>
      <c r="H533" s="2" t="s">
        <v>7</v>
      </c>
      <c r="I533" s="2" t="s">
        <v>3390</v>
      </c>
      <c r="J533" s="3">
        <v>8.99</v>
      </c>
      <c r="K533" s="3">
        <v>8.99</v>
      </c>
      <c r="L533" s="2" t="s">
        <v>3391</v>
      </c>
      <c r="M533" s="2" t="s">
        <v>9</v>
      </c>
      <c r="N533" s="3">
        <v>538</v>
      </c>
      <c r="O533" s="2" t="s">
        <v>69</v>
      </c>
      <c r="P533" s="2" t="s">
        <v>44</v>
      </c>
      <c r="Q533" s="3"/>
      <c r="R533" s="3"/>
      <c r="S533" s="2" t="s">
        <v>21</v>
      </c>
      <c r="T533" s="4">
        <v>44955</v>
      </c>
      <c r="U533" s="2" t="s">
        <v>1958</v>
      </c>
      <c r="V533" s="6">
        <f>(Sales[[#This Row],[Price_retail]]-Sales[[#This Row],[Price_current]])/Sales[[#This Row],[Price_retail]]</f>
        <v>0</v>
      </c>
      <c r="W533" s="3" t="str" cm="1">
        <f t="array" ref="W5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4" spans="1:23" x14ac:dyDescent="0.35">
      <c r="A534" s="2" t="s">
        <v>1959</v>
      </c>
      <c r="B534" s="2" t="s">
        <v>1960</v>
      </c>
      <c r="C534" s="2" t="s">
        <v>318</v>
      </c>
      <c r="D534" s="2" t="s">
        <v>769</v>
      </c>
      <c r="E534" s="2" t="s">
        <v>4</v>
      </c>
      <c r="F534" s="2" t="s">
        <v>17</v>
      </c>
      <c r="G534" s="2" t="s">
        <v>67</v>
      </c>
      <c r="H534" s="2" t="s">
        <v>35</v>
      </c>
      <c r="I534" s="2" t="s">
        <v>3393</v>
      </c>
      <c r="J534" s="3">
        <v>23.41</v>
      </c>
      <c r="K534" s="3">
        <v>23.41</v>
      </c>
      <c r="L534" s="2" t="s">
        <v>3391</v>
      </c>
      <c r="M534" s="2" t="s">
        <v>9</v>
      </c>
      <c r="N534" s="3">
        <v>503</v>
      </c>
      <c r="O534" s="2" t="s">
        <v>10</v>
      </c>
      <c r="P534" s="2" t="s">
        <v>30</v>
      </c>
      <c r="Q534" s="3"/>
      <c r="R534" s="3"/>
      <c r="S534" s="2" t="s">
        <v>12</v>
      </c>
      <c r="T534" s="4">
        <v>44955</v>
      </c>
      <c r="U534" s="2" t="s">
        <v>1961</v>
      </c>
      <c r="V534" s="6">
        <f>(Sales[[#This Row],[Price_retail]]-Sales[[#This Row],[Price_current]])/Sales[[#This Row],[Price_retail]]</f>
        <v>0</v>
      </c>
      <c r="W534" s="3" t="str" cm="1">
        <f t="array" ref="W53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5" spans="1:23" x14ac:dyDescent="0.35">
      <c r="A535" s="2" t="s">
        <v>1962</v>
      </c>
      <c r="B535" s="2" t="s">
        <v>1963</v>
      </c>
      <c r="C535" s="2" t="s">
        <v>65</v>
      </c>
      <c r="D535" s="2" t="s">
        <v>115</v>
      </c>
      <c r="E535" s="2" t="s">
        <v>4</v>
      </c>
      <c r="F535" s="2" t="s">
        <v>17</v>
      </c>
      <c r="G535" s="2" t="s">
        <v>50</v>
      </c>
      <c r="H535" s="2" t="s">
        <v>90</v>
      </c>
      <c r="I535" s="2" t="s">
        <v>3390</v>
      </c>
      <c r="J535" s="3">
        <v>8.99</v>
      </c>
      <c r="K535" s="3">
        <v>8.99</v>
      </c>
      <c r="L535" s="2" t="s">
        <v>3391</v>
      </c>
      <c r="M535" s="2" t="s">
        <v>9</v>
      </c>
      <c r="N535" s="3">
        <v>304</v>
      </c>
      <c r="O535" s="2" t="s">
        <v>75</v>
      </c>
      <c r="P535" s="2" t="s">
        <v>177</v>
      </c>
      <c r="Q535" s="3"/>
      <c r="R535" s="3"/>
      <c r="S535" s="2" t="s">
        <v>21</v>
      </c>
      <c r="T535" s="4">
        <v>44955</v>
      </c>
      <c r="U535" s="2" t="s">
        <v>1964</v>
      </c>
      <c r="V535" s="6">
        <f>(Sales[[#This Row],[Price_retail]]-Sales[[#This Row],[Price_current]])/Sales[[#This Row],[Price_retail]]</f>
        <v>0</v>
      </c>
      <c r="W535" s="3" t="str" cm="1">
        <f t="array" ref="W5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36" spans="1:23" x14ac:dyDescent="0.35">
      <c r="A536" s="2" t="s">
        <v>1965</v>
      </c>
      <c r="B536" s="2" t="s">
        <v>1966</v>
      </c>
      <c r="C536" s="2" t="s">
        <v>399</v>
      </c>
      <c r="D536" s="2" t="s">
        <v>89</v>
      </c>
      <c r="E536" s="2" t="s">
        <v>4</v>
      </c>
      <c r="F536" s="2" t="s">
        <v>5</v>
      </c>
      <c r="G536" s="2" t="s">
        <v>6</v>
      </c>
      <c r="H536" s="2" t="s">
        <v>90</v>
      </c>
      <c r="I536" s="2" t="s">
        <v>3395</v>
      </c>
      <c r="J536" s="3">
        <v>14.1</v>
      </c>
      <c r="K536" s="3">
        <v>6.53</v>
      </c>
      <c r="L536" s="2" t="s">
        <v>8</v>
      </c>
      <c r="M536" s="2" t="s">
        <v>9</v>
      </c>
      <c r="N536" s="3">
        <v>656</v>
      </c>
      <c r="O536" s="2" t="s">
        <v>98</v>
      </c>
      <c r="P536" s="2" t="s">
        <v>44</v>
      </c>
      <c r="Q536" s="3"/>
      <c r="R536" s="3"/>
      <c r="S536" s="2" t="s">
        <v>21</v>
      </c>
      <c r="T536" s="4">
        <v>44955</v>
      </c>
      <c r="U536" s="2" t="s">
        <v>1967</v>
      </c>
      <c r="V536" s="6">
        <f>(Sales[[#This Row],[Price_retail]]-Sales[[#This Row],[Price_current]])/Sales[[#This Row],[Price_retail]]</f>
        <v>0.53687943262411342</v>
      </c>
      <c r="W536" s="3" t="str" cm="1">
        <f t="array" ref="W536">_xlfn.IFS(Sales[[#This Row],[Discount]]=0%,"No Discount",Sales[[#This Row],[Discount]]&lt;=20%,"Light",Sales[[#This Row],[Discount]]&lt;=50%,"Moderate",Sales[[#This Row],[Discount]]&lt;=80%,"High",
TRUE,"Very High")</f>
        <v>High</v>
      </c>
    </row>
    <row r="537" spans="1:23" x14ac:dyDescent="0.35">
      <c r="A537" s="2" t="s">
        <v>1968</v>
      </c>
      <c r="B537" s="2" t="s">
        <v>1969</v>
      </c>
      <c r="C537" s="2" t="s">
        <v>3417</v>
      </c>
      <c r="D537" s="2" t="s">
        <v>292</v>
      </c>
      <c r="E537" s="2" t="s">
        <v>4</v>
      </c>
      <c r="F537" s="2" t="s">
        <v>17</v>
      </c>
      <c r="G537" s="2" t="s">
        <v>50</v>
      </c>
      <c r="H537" s="2" t="s">
        <v>145</v>
      </c>
      <c r="I537" s="2" t="s">
        <v>3393</v>
      </c>
      <c r="J537" s="3">
        <v>14.46</v>
      </c>
      <c r="K537" s="3">
        <v>9.9</v>
      </c>
      <c r="L537" s="2" t="s">
        <v>8</v>
      </c>
      <c r="M537" s="2" t="s">
        <v>9</v>
      </c>
      <c r="N537" s="3">
        <v>812</v>
      </c>
      <c r="O537" s="2" t="s">
        <v>261</v>
      </c>
      <c r="P537" s="2" t="s">
        <v>368</v>
      </c>
      <c r="Q537" s="3"/>
      <c r="R537" s="3"/>
      <c r="S537" s="2" t="s">
        <v>21</v>
      </c>
      <c r="T537" s="4">
        <v>44955</v>
      </c>
      <c r="U537" s="2" t="s">
        <v>1970</v>
      </c>
      <c r="V537" s="6">
        <f>(Sales[[#This Row],[Price_retail]]-Sales[[#This Row],[Price_current]])/Sales[[#This Row],[Price_retail]]</f>
        <v>0.31535269709543567</v>
      </c>
      <c r="W537" s="3" t="str" cm="1">
        <f t="array" ref="W53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38" spans="1:23" x14ac:dyDescent="0.35">
      <c r="A538" s="2" t="s">
        <v>1971</v>
      </c>
      <c r="B538" s="2" t="s">
        <v>1972</v>
      </c>
      <c r="C538" s="2" t="s">
        <v>1973</v>
      </c>
      <c r="D538" s="2" t="s">
        <v>392</v>
      </c>
      <c r="E538" s="2" t="s">
        <v>4</v>
      </c>
      <c r="F538" s="2" t="s">
        <v>17</v>
      </c>
      <c r="G538" s="2" t="s">
        <v>18</v>
      </c>
      <c r="H538" s="2" t="s">
        <v>19</v>
      </c>
      <c r="I538" s="2" t="s">
        <v>3390</v>
      </c>
      <c r="J538" s="3">
        <v>11.7</v>
      </c>
      <c r="K538" s="3">
        <v>8.34</v>
      </c>
      <c r="L538" s="2" t="s">
        <v>8</v>
      </c>
      <c r="M538" s="2" t="s">
        <v>9</v>
      </c>
      <c r="N538" s="3">
        <v>688</v>
      </c>
      <c r="O538" s="2" t="s">
        <v>261</v>
      </c>
      <c r="P538" s="2" t="s">
        <v>221</v>
      </c>
      <c r="Q538" s="3"/>
      <c r="R538" s="3"/>
      <c r="S538" s="2" t="s">
        <v>21</v>
      </c>
      <c r="T538" s="4">
        <v>44955</v>
      </c>
      <c r="U538" s="2" t="s">
        <v>1974</v>
      </c>
      <c r="V538" s="6">
        <f>(Sales[[#This Row],[Price_retail]]-Sales[[#This Row],[Price_current]])/Sales[[#This Row],[Price_retail]]</f>
        <v>0.28717948717948716</v>
      </c>
      <c r="W538" s="3" t="str" cm="1">
        <f t="array" ref="W53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39" spans="1:23" x14ac:dyDescent="0.35">
      <c r="A539" s="2" t="s">
        <v>1975</v>
      </c>
      <c r="B539" s="2" t="s">
        <v>1976</v>
      </c>
      <c r="C539" s="2" t="s">
        <v>119</v>
      </c>
      <c r="D539" s="2" t="s">
        <v>363</v>
      </c>
      <c r="E539" s="2" t="s">
        <v>4</v>
      </c>
      <c r="F539" s="2" t="s">
        <v>17</v>
      </c>
      <c r="G539" s="2" t="s">
        <v>67</v>
      </c>
      <c r="H539" s="2" t="s">
        <v>59</v>
      </c>
      <c r="I539" s="2" t="s">
        <v>3393</v>
      </c>
      <c r="J539" s="3">
        <v>8.99</v>
      </c>
      <c r="K539" s="3">
        <v>669</v>
      </c>
      <c r="L539" s="2" t="s">
        <v>8</v>
      </c>
      <c r="M539" s="2" t="s">
        <v>9</v>
      </c>
      <c r="N539" s="3">
        <v>161</v>
      </c>
      <c r="O539" s="2" t="s">
        <v>43</v>
      </c>
      <c r="P539" s="2" t="s">
        <v>163</v>
      </c>
      <c r="Q539" s="3"/>
      <c r="R539" s="3"/>
      <c r="S539" s="2" t="s">
        <v>21</v>
      </c>
      <c r="T539" s="4">
        <v>44955</v>
      </c>
      <c r="U539" s="2" t="s">
        <v>1977</v>
      </c>
      <c r="V539" s="6">
        <f>(Sales[[#This Row],[Price_retail]]-Sales[[#This Row],[Price_current]])/Sales[[#This Row],[Price_retail]]</f>
        <v>-73.41601779755284</v>
      </c>
      <c r="W539" s="3" t="str" cm="1">
        <f t="array" ref="W539">_xlfn.IFS(Sales[[#This Row],[Discount]]=0%,"No Discount",Sales[[#This Row],[Discount]]&lt;=20%,"Light",Sales[[#This Row],[Discount]]&lt;=50%,"Moderate",Sales[[#This Row],[Discount]]&lt;=80%,"High",
TRUE,"Very High")</f>
        <v>Light</v>
      </c>
    </row>
    <row r="540" spans="1:23" x14ac:dyDescent="0.35">
      <c r="A540" s="2" t="s">
        <v>1978</v>
      </c>
      <c r="B540" s="2" t="s">
        <v>1979</v>
      </c>
      <c r="C540" s="2" t="s">
        <v>41</v>
      </c>
      <c r="D540" s="2" t="s">
        <v>847</v>
      </c>
      <c r="E540" s="2" t="s">
        <v>4</v>
      </c>
      <c r="F540" s="2" t="s">
        <v>5</v>
      </c>
      <c r="G540" s="2" t="s">
        <v>121</v>
      </c>
      <c r="H540" s="2" t="s">
        <v>237</v>
      </c>
      <c r="I540" s="2" t="s">
        <v>3393</v>
      </c>
      <c r="J540" s="3">
        <v>11.07</v>
      </c>
      <c r="K540" s="3">
        <v>7.17</v>
      </c>
      <c r="L540" s="2" t="s">
        <v>8</v>
      </c>
      <c r="M540" s="2" t="s">
        <v>9</v>
      </c>
      <c r="N540" s="3">
        <v>314</v>
      </c>
      <c r="O540" s="2" t="s">
        <v>347</v>
      </c>
      <c r="P540" s="2" t="s">
        <v>70</v>
      </c>
      <c r="Q540" s="3"/>
      <c r="R540" s="3"/>
      <c r="S540" s="2" t="s">
        <v>21</v>
      </c>
      <c r="T540" s="4">
        <v>44955</v>
      </c>
      <c r="U540" s="2" t="s">
        <v>1980</v>
      </c>
      <c r="V540" s="6">
        <f>(Sales[[#This Row],[Price_retail]]-Sales[[#This Row],[Price_current]])/Sales[[#This Row],[Price_retail]]</f>
        <v>0.35230352303523038</v>
      </c>
      <c r="W540" s="3" t="str" cm="1">
        <f t="array" ref="W54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41" spans="1:23" x14ac:dyDescent="0.35">
      <c r="A541" s="2" t="s">
        <v>1981</v>
      </c>
      <c r="B541" s="2" t="s">
        <v>1982</v>
      </c>
      <c r="C541" s="2" t="s">
        <v>242</v>
      </c>
      <c r="D541" s="2" t="s">
        <v>1206</v>
      </c>
      <c r="E541" s="2" t="s">
        <v>4</v>
      </c>
      <c r="F541" s="2" t="s">
        <v>17</v>
      </c>
      <c r="G541" s="2" t="s">
        <v>18</v>
      </c>
      <c r="H541" s="2" t="s">
        <v>418</v>
      </c>
      <c r="I541" s="2" t="s">
        <v>3390</v>
      </c>
      <c r="J541" s="3">
        <v>9.94</v>
      </c>
      <c r="K541" s="3">
        <v>9.94</v>
      </c>
      <c r="L541" s="2" t="s">
        <v>3391</v>
      </c>
      <c r="M541" s="2" t="s">
        <v>9</v>
      </c>
      <c r="N541" s="3">
        <v>61</v>
      </c>
      <c r="O541" s="2" t="s">
        <v>347</v>
      </c>
      <c r="P541" s="2" t="s">
        <v>37</v>
      </c>
      <c r="Q541" s="3"/>
      <c r="R541" s="3"/>
      <c r="S541" s="2" t="s">
        <v>12</v>
      </c>
      <c r="T541" s="4">
        <v>44955</v>
      </c>
      <c r="U541" s="2" t="s">
        <v>1983</v>
      </c>
      <c r="V541" s="6">
        <f>(Sales[[#This Row],[Price_retail]]-Sales[[#This Row],[Price_current]])/Sales[[#This Row],[Price_retail]]</f>
        <v>0</v>
      </c>
      <c r="W541" s="3" t="str" cm="1">
        <f t="array" ref="W5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42" spans="1:23" x14ac:dyDescent="0.35">
      <c r="A542" s="2" t="s">
        <v>1984</v>
      </c>
      <c r="B542" s="2" t="s">
        <v>1985</v>
      </c>
      <c r="C542" s="2" t="s">
        <v>200</v>
      </c>
      <c r="D542" s="2" t="s">
        <v>1748</v>
      </c>
      <c r="E542" s="2" t="s">
        <v>4</v>
      </c>
      <c r="F542" s="2" t="s">
        <v>17</v>
      </c>
      <c r="G542" s="2" t="s">
        <v>18</v>
      </c>
      <c r="H542" s="2" t="s">
        <v>110</v>
      </c>
      <c r="I542" s="2" t="s">
        <v>3393</v>
      </c>
      <c r="J542" s="3">
        <v>17.100000000000001</v>
      </c>
      <c r="K542" s="3">
        <v>17.100000000000001</v>
      </c>
      <c r="L542" s="2" t="s">
        <v>3391</v>
      </c>
      <c r="M542" s="2" t="s">
        <v>9</v>
      </c>
      <c r="N542" s="3">
        <v>203</v>
      </c>
      <c r="O542" s="2" t="s">
        <v>302</v>
      </c>
      <c r="P542" s="2" t="s">
        <v>30</v>
      </c>
      <c r="Q542" s="3"/>
      <c r="R542" s="3"/>
      <c r="S542" s="2" t="s">
        <v>21</v>
      </c>
      <c r="T542" s="4">
        <v>44955</v>
      </c>
      <c r="U542" s="2" t="s">
        <v>1986</v>
      </c>
      <c r="V542" s="6">
        <f>(Sales[[#This Row],[Price_retail]]-Sales[[#This Row],[Price_current]])/Sales[[#This Row],[Price_retail]]</f>
        <v>0</v>
      </c>
      <c r="W542" s="3" t="str" cm="1">
        <f t="array" ref="W54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43" spans="1:23" x14ac:dyDescent="0.35">
      <c r="A543" s="2" t="s">
        <v>1987</v>
      </c>
      <c r="B543" s="2" t="s">
        <v>1988</v>
      </c>
      <c r="C543" s="2" t="s">
        <v>1421</v>
      </c>
      <c r="D543" s="2" t="s">
        <v>501</v>
      </c>
      <c r="E543" s="2" t="s">
        <v>4</v>
      </c>
      <c r="F543" s="2" t="s">
        <v>17</v>
      </c>
      <c r="G543" s="2" t="s">
        <v>18</v>
      </c>
      <c r="H543" s="2" t="s">
        <v>83</v>
      </c>
      <c r="I543" s="2" t="s">
        <v>3390</v>
      </c>
      <c r="J543" s="3">
        <v>16.62</v>
      </c>
      <c r="K543" s="3">
        <v>10.199999999999999</v>
      </c>
      <c r="L543" s="2" t="s">
        <v>8</v>
      </c>
      <c r="M543" s="2" t="s">
        <v>9</v>
      </c>
      <c r="N543" s="3">
        <v>296</v>
      </c>
      <c r="O543" s="2" t="s">
        <v>3392</v>
      </c>
      <c r="P543" s="2" t="s">
        <v>128</v>
      </c>
      <c r="Q543" s="3"/>
      <c r="R543" s="3"/>
      <c r="S543" s="2" t="s">
        <v>21</v>
      </c>
      <c r="T543" s="4">
        <v>44955</v>
      </c>
      <c r="U543" s="2" t="s">
        <v>1989</v>
      </c>
      <c r="V543" s="6">
        <f>(Sales[[#This Row],[Price_retail]]-Sales[[#This Row],[Price_current]])/Sales[[#This Row],[Price_retail]]</f>
        <v>0.38628158844765353</v>
      </c>
      <c r="W543" s="3" t="str" cm="1">
        <f t="array" ref="W54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44" spans="1:23" x14ac:dyDescent="0.35">
      <c r="A544" s="2" t="s">
        <v>1990</v>
      </c>
      <c r="B544" s="2" t="s">
        <v>1991</v>
      </c>
      <c r="C544" s="2" t="s">
        <v>721</v>
      </c>
      <c r="D544" s="2" t="s">
        <v>342</v>
      </c>
      <c r="E544" s="2" t="s">
        <v>4</v>
      </c>
      <c r="F544" s="2" t="s">
        <v>17</v>
      </c>
      <c r="G544" s="2" t="s">
        <v>67</v>
      </c>
      <c r="H544" s="2" t="s">
        <v>237</v>
      </c>
      <c r="I544" s="2" t="s">
        <v>3390</v>
      </c>
      <c r="J544" s="3">
        <v>19.260000000000002</v>
      </c>
      <c r="K544" s="3">
        <v>19.260000000000002</v>
      </c>
      <c r="L544" s="2" t="s">
        <v>3391</v>
      </c>
      <c r="M544" s="2" t="s">
        <v>9</v>
      </c>
      <c r="N544" s="3">
        <v>299</v>
      </c>
      <c r="O544" s="2" t="s">
        <v>20</v>
      </c>
      <c r="P544" s="2" t="s">
        <v>3392</v>
      </c>
      <c r="Q544" s="3"/>
      <c r="R544" s="3"/>
      <c r="S544" s="2" t="s">
        <v>21</v>
      </c>
      <c r="T544" s="4">
        <v>44955</v>
      </c>
      <c r="U544" s="2" t="s">
        <v>1992</v>
      </c>
      <c r="V544" s="6">
        <f>(Sales[[#This Row],[Price_retail]]-Sales[[#This Row],[Price_current]])/Sales[[#This Row],[Price_retail]]</f>
        <v>0</v>
      </c>
      <c r="W544" s="3" t="str" cm="1">
        <f t="array" ref="W54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45" spans="1:23" x14ac:dyDescent="0.35">
      <c r="A545" s="2" t="s">
        <v>1993</v>
      </c>
      <c r="B545" s="2" t="s">
        <v>1994</v>
      </c>
      <c r="C545" s="2" t="s">
        <v>108</v>
      </c>
      <c r="D545" s="2" t="s">
        <v>442</v>
      </c>
      <c r="E545" s="2" t="s">
        <v>4</v>
      </c>
      <c r="F545" s="2" t="s">
        <v>5</v>
      </c>
      <c r="G545" s="2" t="s">
        <v>82</v>
      </c>
      <c r="H545" s="2" t="s">
        <v>59</v>
      </c>
      <c r="I545" s="2" t="s">
        <v>3393</v>
      </c>
      <c r="J545" s="3">
        <v>10.79</v>
      </c>
      <c r="K545" s="3">
        <v>10.79</v>
      </c>
      <c r="L545" s="2" t="s">
        <v>3391</v>
      </c>
      <c r="M545" s="2" t="s">
        <v>9</v>
      </c>
      <c r="N545" s="3">
        <v>762</v>
      </c>
      <c r="O545" s="2" t="s">
        <v>359</v>
      </c>
      <c r="P545" s="2" t="s">
        <v>238</v>
      </c>
      <c r="Q545" s="3"/>
      <c r="R545" s="3"/>
      <c r="S545" s="2"/>
      <c r="T545" s="4">
        <v>44955</v>
      </c>
      <c r="U545" s="2" t="s">
        <v>1995</v>
      </c>
      <c r="V545" s="6">
        <f>(Sales[[#This Row],[Price_retail]]-Sales[[#This Row],[Price_current]])/Sales[[#This Row],[Price_retail]]</f>
        <v>0</v>
      </c>
      <c r="W545" s="3" t="str" cm="1">
        <f t="array" ref="W5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46" spans="1:23" x14ac:dyDescent="0.35">
      <c r="A546" s="2" t="s">
        <v>1996</v>
      </c>
      <c r="B546" s="2" t="s">
        <v>1997</v>
      </c>
      <c r="C546" s="2" t="s">
        <v>1090</v>
      </c>
      <c r="D546" s="2" t="s">
        <v>3</v>
      </c>
      <c r="E546" s="2" t="s">
        <v>4</v>
      </c>
      <c r="F546" s="2" t="s">
        <v>5</v>
      </c>
      <c r="G546" s="2" t="s">
        <v>6</v>
      </c>
      <c r="H546" s="2"/>
      <c r="I546" s="2" t="s">
        <v>3395</v>
      </c>
      <c r="J546" s="3">
        <v>20.85</v>
      </c>
      <c r="K546" s="3">
        <v>12.75</v>
      </c>
      <c r="L546" s="2" t="s">
        <v>8</v>
      </c>
      <c r="M546" s="2" t="s">
        <v>9</v>
      </c>
      <c r="N546" s="3">
        <v>366</v>
      </c>
      <c r="O546" s="2" t="s">
        <v>3392</v>
      </c>
      <c r="P546" s="2" t="s">
        <v>76</v>
      </c>
      <c r="Q546" s="3"/>
      <c r="R546" s="3"/>
      <c r="S546" s="2" t="s">
        <v>12</v>
      </c>
      <c r="T546" s="4">
        <v>44955</v>
      </c>
      <c r="U546" s="2" t="s">
        <v>1998</v>
      </c>
      <c r="V546" s="6">
        <f>(Sales[[#This Row],[Price_retail]]-Sales[[#This Row],[Price_current]])/Sales[[#This Row],[Price_retail]]</f>
        <v>0.38848920863309355</v>
      </c>
      <c r="W546" s="3" t="str" cm="1">
        <f t="array" ref="W54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47" spans="1:23" x14ac:dyDescent="0.35">
      <c r="A547" s="2" t="s">
        <v>1999</v>
      </c>
      <c r="B547" s="2" t="s">
        <v>2000</v>
      </c>
      <c r="C547" s="2" t="s">
        <v>65</v>
      </c>
      <c r="D547" s="2" t="s">
        <v>446</v>
      </c>
      <c r="E547" s="2" t="s">
        <v>4</v>
      </c>
      <c r="F547" s="2" t="s">
        <v>17</v>
      </c>
      <c r="G547" s="2" t="s">
        <v>50</v>
      </c>
      <c r="H547" s="2" t="s">
        <v>145</v>
      </c>
      <c r="I547" s="2" t="s">
        <v>3393</v>
      </c>
      <c r="J547" s="3">
        <v>8.99</v>
      </c>
      <c r="K547" s="3">
        <v>8.99</v>
      </c>
      <c r="L547" s="2" t="s">
        <v>3391</v>
      </c>
      <c r="M547" s="2" t="s">
        <v>9</v>
      </c>
      <c r="N547" s="3">
        <v>834</v>
      </c>
      <c r="O547" s="2" t="s">
        <v>140</v>
      </c>
      <c r="P547" s="2" t="s">
        <v>192</v>
      </c>
      <c r="Q547" s="3"/>
      <c r="R547" s="3"/>
      <c r="S547" s="2" t="s">
        <v>21</v>
      </c>
      <c r="T547" s="4">
        <v>44955</v>
      </c>
      <c r="U547" s="2" t="s">
        <v>2001</v>
      </c>
      <c r="V547" s="6">
        <f>(Sales[[#This Row],[Price_retail]]-Sales[[#This Row],[Price_current]])/Sales[[#This Row],[Price_retail]]</f>
        <v>0</v>
      </c>
      <c r="W547" s="3" t="str" cm="1">
        <f t="array" ref="W5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48" spans="1:23" x14ac:dyDescent="0.35">
      <c r="A548" s="2" t="s">
        <v>2002</v>
      </c>
      <c r="B548" s="2" t="s">
        <v>2003</v>
      </c>
      <c r="C548" s="2" t="s">
        <v>306</v>
      </c>
      <c r="D548" s="2" t="s">
        <v>674</v>
      </c>
      <c r="E548" s="2" t="s">
        <v>4</v>
      </c>
      <c r="F548" s="2" t="s">
        <v>5</v>
      </c>
      <c r="G548" s="2" t="s">
        <v>6</v>
      </c>
      <c r="H548" s="2" t="s">
        <v>333</v>
      </c>
      <c r="I548" s="2" t="s">
        <v>3389</v>
      </c>
      <c r="J548" s="3">
        <v>8.99</v>
      </c>
      <c r="K548" s="3">
        <v>5.65</v>
      </c>
      <c r="L548" s="2" t="s">
        <v>8</v>
      </c>
      <c r="M548" s="2" t="s">
        <v>9</v>
      </c>
      <c r="N548" s="3">
        <v>788</v>
      </c>
      <c r="O548" s="2" t="s">
        <v>267</v>
      </c>
      <c r="P548" s="2" t="s">
        <v>221</v>
      </c>
      <c r="Q548" s="3"/>
      <c r="R548" s="3"/>
      <c r="S548" s="2" t="s">
        <v>12</v>
      </c>
      <c r="T548" s="4">
        <v>44955</v>
      </c>
      <c r="U548" s="2" t="s">
        <v>2004</v>
      </c>
      <c r="V548" s="6">
        <f>(Sales[[#This Row],[Price_retail]]-Sales[[#This Row],[Price_current]])/Sales[[#This Row],[Price_retail]]</f>
        <v>0.371523915461624</v>
      </c>
      <c r="W548" s="3" t="str" cm="1">
        <f t="array" ref="W54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49" spans="1:23" x14ac:dyDescent="0.35">
      <c r="A549" s="2" t="s">
        <v>2005</v>
      </c>
      <c r="B549" s="2" t="s">
        <v>2006</v>
      </c>
      <c r="C549" s="2" t="s">
        <v>3394</v>
      </c>
      <c r="D549" s="2" t="s">
        <v>1169</v>
      </c>
      <c r="E549" s="2" t="s">
        <v>4</v>
      </c>
      <c r="F549" s="2" t="s">
        <v>5</v>
      </c>
      <c r="G549" s="2" t="s">
        <v>121</v>
      </c>
      <c r="H549" s="2" t="s">
        <v>237</v>
      </c>
      <c r="I549" s="2" t="s">
        <v>3393</v>
      </c>
      <c r="J549" s="3">
        <v>8.99</v>
      </c>
      <c r="K549" s="3">
        <v>5.3</v>
      </c>
      <c r="L549" s="2" t="s">
        <v>8</v>
      </c>
      <c r="M549" s="2" t="s">
        <v>9</v>
      </c>
      <c r="N549" s="3">
        <v>794</v>
      </c>
      <c r="O549" s="2" t="s">
        <v>36</v>
      </c>
      <c r="P549" s="2" t="s">
        <v>128</v>
      </c>
      <c r="Q549" s="3"/>
      <c r="R549" s="3"/>
      <c r="S549" s="2" t="s">
        <v>21</v>
      </c>
      <c r="T549" s="4">
        <v>44955</v>
      </c>
      <c r="U549" s="2" t="s">
        <v>2007</v>
      </c>
      <c r="V549" s="6">
        <f>(Sales[[#This Row],[Price_retail]]-Sales[[#This Row],[Price_current]])/Sales[[#This Row],[Price_retail]]</f>
        <v>0.41045606229143494</v>
      </c>
      <c r="W549" s="3" t="str" cm="1">
        <f t="array" ref="W54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50" spans="1:23" x14ac:dyDescent="0.35">
      <c r="A550" s="2" t="s">
        <v>2008</v>
      </c>
      <c r="B550" s="2" t="s">
        <v>2009</v>
      </c>
      <c r="C550" s="2" t="s">
        <v>616</v>
      </c>
      <c r="D550" s="2" t="s">
        <v>346</v>
      </c>
      <c r="E550" s="2" t="s">
        <v>4</v>
      </c>
      <c r="F550" s="2" t="s">
        <v>5</v>
      </c>
      <c r="G550" s="2" t="s">
        <v>6</v>
      </c>
      <c r="H550" s="2" t="s">
        <v>110</v>
      </c>
      <c r="I550" s="2" t="s">
        <v>3393</v>
      </c>
      <c r="J550" s="3">
        <v>11.89</v>
      </c>
      <c r="K550" s="3">
        <v>11.89</v>
      </c>
      <c r="L550" s="2" t="s">
        <v>3391</v>
      </c>
      <c r="M550" s="2" t="s">
        <v>9</v>
      </c>
      <c r="N550" s="3">
        <v>787</v>
      </c>
      <c r="O550" s="2" t="s">
        <v>29</v>
      </c>
      <c r="P550" s="2" t="s">
        <v>37</v>
      </c>
      <c r="Q550" s="3"/>
      <c r="R550" s="3"/>
      <c r="S550" s="2" t="s">
        <v>21</v>
      </c>
      <c r="T550" s="4">
        <v>44955</v>
      </c>
      <c r="U550" s="2" t="s">
        <v>2010</v>
      </c>
      <c r="V550" s="6">
        <f>(Sales[[#This Row],[Price_retail]]-Sales[[#This Row],[Price_current]])/Sales[[#This Row],[Price_retail]]</f>
        <v>0</v>
      </c>
      <c r="W550" s="3" t="str" cm="1">
        <f t="array" ref="W55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1" spans="1:23" x14ac:dyDescent="0.35">
      <c r="A551" s="2" t="s">
        <v>2011</v>
      </c>
      <c r="B551" s="2" t="s">
        <v>2012</v>
      </c>
      <c r="C551" s="2" t="s">
        <v>333</v>
      </c>
      <c r="D551" s="2" t="s">
        <v>929</v>
      </c>
      <c r="E551" s="2" t="s">
        <v>4</v>
      </c>
      <c r="F551" s="2" t="s">
        <v>5</v>
      </c>
      <c r="G551" s="2" t="s">
        <v>6</v>
      </c>
      <c r="H551" s="2" t="s">
        <v>51</v>
      </c>
      <c r="I551" s="2" t="s">
        <v>3395</v>
      </c>
      <c r="J551" s="3">
        <v>10.34</v>
      </c>
      <c r="K551" s="3">
        <v>7.2</v>
      </c>
      <c r="L551" s="2" t="s">
        <v>8</v>
      </c>
      <c r="M551" s="2" t="s">
        <v>9</v>
      </c>
      <c r="N551" s="3">
        <v>708</v>
      </c>
      <c r="O551" s="2" t="s">
        <v>43</v>
      </c>
      <c r="P551" s="2" t="s">
        <v>53</v>
      </c>
      <c r="Q551" s="3"/>
      <c r="R551" s="3"/>
      <c r="S551" s="2" t="s">
        <v>12</v>
      </c>
      <c r="T551" s="4">
        <v>44955</v>
      </c>
      <c r="U551" s="2" t="s">
        <v>2013</v>
      </c>
      <c r="V551" s="6">
        <f>(Sales[[#This Row],[Price_retail]]-Sales[[#This Row],[Price_current]])/Sales[[#This Row],[Price_retail]]</f>
        <v>0.30367504835589937</v>
      </c>
      <c r="W551" s="3" t="str" cm="1">
        <f t="array" ref="W55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52" spans="1:23" x14ac:dyDescent="0.35">
      <c r="A552" s="2" t="s">
        <v>2014</v>
      </c>
      <c r="B552" s="2" t="s">
        <v>2015</v>
      </c>
      <c r="C552" s="2" t="s">
        <v>703</v>
      </c>
      <c r="D552" s="2" t="s">
        <v>3</v>
      </c>
      <c r="E552" s="2" t="s">
        <v>4</v>
      </c>
      <c r="F552" s="2" t="s">
        <v>5</v>
      </c>
      <c r="G552" s="2" t="s">
        <v>121</v>
      </c>
      <c r="H552" s="2" t="s">
        <v>7</v>
      </c>
      <c r="I552" s="2" t="s">
        <v>3395</v>
      </c>
      <c r="J552" s="3">
        <v>24.15</v>
      </c>
      <c r="K552" s="3">
        <v>24.15</v>
      </c>
      <c r="L552" s="2" t="s">
        <v>3391</v>
      </c>
      <c r="M552" s="2" t="s">
        <v>9</v>
      </c>
      <c r="N552" s="3">
        <v>738</v>
      </c>
      <c r="O552" s="2" t="s">
        <v>29</v>
      </c>
      <c r="P552" s="2" t="s">
        <v>186</v>
      </c>
      <c r="Q552" s="3"/>
      <c r="R552" s="3"/>
      <c r="S552" s="2" t="s">
        <v>21</v>
      </c>
      <c r="T552" s="4">
        <v>44955</v>
      </c>
      <c r="U552" s="2" t="s">
        <v>2016</v>
      </c>
      <c r="V552" s="6">
        <f>(Sales[[#This Row],[Price_retail]]-Sales[[#This Row],[Price_current]])/Sales[[#This Row],[Price_retail]]</f>
        <v>0</v>
      </c>
      <c r="W552" s="3" t="str" cm="1">
        <f t="array" ref="W5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3" spans="1:23" x14ac:dyDescent="0.35">
      <c r="A553" s="2" t="s">
        <v>2017</v>
      </c>
      <c r="B553" s="2" t="s">
        <v>2018</v>
      </c>
      <c r="C553" s="2" t="s">
        <v>3410</v>
      </c>
      <c r="D553" s="2" t="s">
        <v>1574</v>
      </c>
      <c r="E553" s="2" t="s">
        <v>4</v>
      </c>
      <c r="F553" s="2" t="s">
        <v>17</v>
      </c>
      <c r="G553" s="2" t="s">
        <v>67</v>
      </c>
      <c r="H553" s="2" t="s">
        <v>237</v>
      </c>
      <c r="I553" s="2" t="s">
        <v>3393</v>
      </c>
      <c r="J553" s="3">
        <v>10.95</v>
      </c>
      <c r="K553" s="3">
        <v>10.95</v>
      </c>
      <c r="L553" s="2" t="s">
        <v>3391</v>
      </c>
      <c r="M553" s="2" t="s">
        <v>9</v>
      </c>
      <c r="N553" s="3">
        <v>39</v>
      </c>
      <c r="O553" s="2" t="s">
        <v>43</v>
      </c>
      <c r="P553" s="2" t="s">
        <v>238</v>
      </c>
      <c r="Q553" s="3"/>
      <c r="R553" s="3"/>
      <c r="S553" s="2" t="s">
        <v>21</v>
      </c>
      <c r="T553" s="4">
        <v>44955</v>
      </c>
      <c r="U553" s="2" t="s">
        <v>2019</v>
      </c>
      <c r="V553" s="6">
        <f>(Sales[[#This Row],[Price_retail]]-Sales[[#This Row],[Price_current]])/Sales[[#This Row],[Price_retail]]</f>
        <v>0</v>
      </c>
      <c r="W553" s="3" t="str" cm="1">
        <f t="array" ref="W55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4" spans="1:23" x14ac:dyDescent="0.35">
      <c r="A554" s="2" t="s">
        <v>2020</v>
      </c>
      <c r="B554" s="2" t="s">
        <v>2021</v>
      </c>
      <c r="C554" s="2" t="s">
        <v>1242</v>
      </c>
      <c r="D554" s="2" t="s">
        <v>319</v>
      </c>
      <c r="E554" s="2" t="s">
        <v>4</v>
      </c>
      <c r="F554" s="2" t="s">
        <v>5</v>
      </c>
      <c r="G554" s="2" t="s">
        <v>121</v>
      </c>
      <c r="H554" s="2" t="s">
        <v>90</v>
      </c>
      <c r="I554" s="2" t="s">
        <v>3393</v>
      </c>
      <c r="J554" s="3">
        <v>18.18</v>
      </c>
      <c r="K554" s="3">
        <v>18.18</v>
      </c>
      <c r="L554" s="2" t="s">
        <v>3391</v>
      </c>
      <c r="M554" s="2" t="s">
        <v>9</v>
      </c>
      <c r="N554" s="3">
        <v>493</v>
      </c>
      <c r="O554" s="2" t="s">
        <v>20</v>
      </c>
      <c r="P554" s="2" t="s">
        <v>128</v>
      </c>
      <c r="Q554" s="3"/>
      <c r="R554" s="3"/>
      <c r="S554" s="2" t="s">
        <v>12</v>
      </c>
      <c r="T554" s="4">
        <v>44955</v>
      </c>
      <c r="U554" s="2" t="s">
        <v>2022</v>
      </c>
      <c r="V554" s="6">
        <f>(Sales[[#This Row],[Price_retail]]-Sales[[#This Row],[Price_current]])/Sales[[#This Row],[Price_retail]]</f>
        <v>0</v>
      </c>
      <c r="W554" s="3" t="str" cm="1">
        <f t="array" ref="W5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5" spans="1:23" x14ac:dyDescent="0.35">
      <c r="A555" s="2" t="s">
        <v>2023</v>
      </c>
      <c r="B555" s="2" t="s">
        <v>2024</v>
      </c>
      <c r="C555" s="2" t="s">
        <v>1670</v>
      </c>
      <c r="D555" s="2" t="s">
        <v>442</v>
      </c>
      <c r="E555" s="2" t="s">
        <v>4</v>
      </c>
      <c r="F555" s="2" t="s">
        <v>5</v>
      </c>
      <c r="G555" s="2" t="s">
        <v>6</v>
      </c>
      <c r="H555" s="2" t="s">
        <v>59</v>
      </c>
      <c r="I555" s="2" t="s">
        <v>3390</v>
      </c>
      <c r="J555" s="3">
        <v>24.47</v>
      </c>
      <c r="K555" s="3">
        <v>24.47</v>
      </c>
      <c r="L555" s="2" t="s">
        <v>3391</v>
      </c>
      <c r="M555" s="2" t="s">
        <v>9</v>
      </c>
      <c r="N555" s="3">
        <v>839</v>
      </c>
      <c r="O555" s="2" t="s">
        <v>287</v>
      </c>
      <c r="P555" s="2" t="s">
        <v>163</v>
      </c>
      <c r="Q555" s="3"/>
      <c r="R555" s="3"/>
      <c r="S555" s="2" t="s">
        <v>21</v>
      </c>
      <c r="T555" s="4">
        <v>44955</v>
      </c>
      <c r="U555" s="2" t="s">
        <v>2025</v>
      </c>
      <c r="V555" s="6">
        <f>(Sales[[#This Row],[Price_retail]]-Sales[[#This Row],[Price_current]])/Sales[[#This Row],[Price_retail]]</f>
        <v>0</v>
      </c>
      <c r="W555" s="3" t="str" cm="1">
        <f t="array" ref="W55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6" spans="1:23" x14ac:dyDescent="0.35">
      <c r="A556" s="2" t="s">
        <v>2026</v>
      </c>
      <c r="B556" s="2" t="s">
        <v>2027</v>
      </c>
      <c r="C556" s="2" t="s">
        <v>65</v>
      </c>
      <c r="D556" s="2" t="s">
        <v>292</v>
      </c>
      <c r="E556" s="2" t="s">
        <v>4</v>
      </c>
      <c r="F556" s="2" t="s">
        <v>17</v>
      </c>
      <c r="G556" s="2" t="s">
        <v>67</v>
      </c>
      <c r="H556" s="2" t="s">
        <v>145</v>
      </c>
      <c r="I556" s="2" t="s">
        <v>3395</v>
      </c>
      <c r="J556" s="3">
        <v>10.72</v>
      </c>
      <c r="K556" s="3">
        <v>10.72</v>
      </c>
      <c r="L556" s="2" t="s">
        <v>3391</v>
      </c>
      <c r="M556" s="2" t="s">
        <v>9</v>
      </c>
      <c r="N556" s="3">
        <v>991</v>
      </c>
      <c r="O556" s="2" t="s">
        <v>69</v>
      </c>
      <c r="P556" s="2" t="s">
        <v>92</v>
      </c>
      <c r="Q556" s="3"/>
      <c r="R556" s="3"/>
      <c r="S556" s="2" t="s">
        <v>21</v>
      </c>
      <c r="T556" s="4">
        <v>44955</v>
      </c>
      <c r="U556" s="2" t="s">
        <v>2028</v>
      </c>
      <c r="V556" s="6">
        <f>(Sales[[#This Row],[Price_retail]]-Sales[[#This Row],[Price_current]])/Sales[[#This Row],[Price_retail]]</f>
        <v>0</v>
      </c>
      <c r="W556" s="3" t="str" cm="1">
        <f t="array" ref="W55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7" spans="1:23" x14ac:dyDescent="0.35">
      <c r="A557" s="2" t="s">
        <v>2029</v>
      </c>
      <c r="B557" s="2" t="s">
        <v>2030</v>
      </c>
      <c r="C557" s="2" t="s">
        <v>484</v>
      </c>
      <c r="D557" s="2" t="s">
        <v>319</v>
      </c>
      <c r="E557" s="2" t="s">
        <v>4</v>
      </c>
      <c r="F557" s="2" t="s">
        <v>5</v>
      </c>
      <c r="G557" s="2" t="s">
        <v>82</v>
      </c>
      <c r="H557" s="2" t="s">
        <v>90</v>
      </c>
      <c r="I557" s="2" t="s">
        <v>3390</v>
      </c>
      <c r="J557" s="3">
        <v>18.43</v>
      </c>
      <c r="K557" s="3">
        <v>18.43</v>
      </c>
      <c r="L557" s="2" t="s">
        <v>3391</v>
      </c>
      <c r="M557" s="2" t="s">
        <v>9</v>
      </c>
      <c r="N557" s="3">
        <v>928</v>
      </c>
      <c r="O557" s="2" t="s">
        <v>302</v>
      </c>
      <c r="P557" s="2" t="s">
        <v>186</v>
      </c>
      <c r="Q557" s="3"/>
      <c r="R557" s="3"/>
      <c r="S557" s="2" t="s">
        <v>12</v>
      </c>
      <c r="T557" s="4">
        <v>44955</v>
      </c>
      <c r="U557" s="2" t="s">
        <v>2031</v>
      </c>
      <c r="V557" s="6">
        <f>(Sales[[#This Row],[Price_retail]]-Sales[[#This Row],[Price_current]])/Sales[[#This Row],[Price_retail]]</f>
        <v>0</v>
      </c>
      <c r="W557" s="3" t="str" cm="1">
        <f t="array" ref="W55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58" spans="1:23" x14ac:dyDescent="0.35">
      <c r="A558" s="2" t="s">
        <v>2032</v>
      </c>
      <c r="B558" s="2" t="s">
        <v>2033</v>
      </c>
      <c r="C558" s="2" t="s">
        <v>65</v>
      </c>
      <c r="D558" s="2" t="s">
        <v>58</v>
      </c>
      <c r="E558" s="2" t="s">
        <v>4</v>
      </c>
      <c r="F558" s="2" t="s">
        <v>17</v>
      </c>
      <c r="G558" s="2" t="s">
        <v>18</v>
      </c>
      <c r="H558" s="2" t="s">
        <v>59</v>
      </c>
      <c r="I558" s="2" t="s">
        <v>3395</v>
      </c>
      <c r="J558" s="3">
        <v>27.14</v>
      </c>
      <c r="K558" s="3">
        <v>21.03</v>
      </c>
      <c r="L558" s="2" t="s">
        <v>8</v>
      </c>
      <c r="M558" s="2" t="s">
        <v>9</v>
      </c>
      <c r="N558" s="3">
        <v>377</v>
      </c>
      <c r="O558" s="2" t="s">
        <v>140</v>
      </c>
      <c r="P558" s="2" t="s">
        <v>3392</v>
      </c>
      <c r="Q558" s="3"/>
      <c r="R558" s="3"/>
      <c r="S558" s="2" t="s">
        <v>21</v>
      </c>
      <c r="T558" s="4">
        <v>44955</v>
      </c>
      <c r="U558" s="2" t="s">
        <v>2034</v>
      </c>
      <c r="V558" s="6">
        <f>(Sales[[#This Row],[Price_retail]]-Sales[[#This Row],[Price_current]])/Sales[[#This Row],[Price_retail]]</f>
        <v>0.22512896094325716</v>
      </c>
      <c r="W558" s="3" t="str" cm="1">
        <f t="array" ref="W55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59" spans="1:23" x14ac:dyDescent="0.35">
      <c r="A559" s="2" t="s">
        <v>2035</v>
      </c>
      <c r="B559" s="2" t="s">
        <v>2036</v>
      </c>
      <c r="C559" s="2" t="s">
        <v>242</v>
      </c>
      <c r="D559" s="2" t="s">
        <v>678</v>
      </c>
      <c r="E559" s="2" t="s">
        <v>4</v>
      </c>
      <c r="F559" s="2" t="s">
        <v>17</v>
      </c>
      <c r="G559" s="2" t="s">
        <v>18</v>
      </c>
      <c r="H559" s="2" t="s">
        <v>134</v>
      </c>
      <c r="I559" s="2" t="s">
        <v>3393</v>
      </c>
      <c r="J559" s="3">
        <v>8.99</v>
      </c>
      <c r="K559" s="3">
        <v>7.06</v>
      </c>
      <c r="L559" s="2" t="s">
        <v>8</v>
      </c>
      <c r="M559" s="2" t="s">
        <v>9</v>
      </c>
      <c r="N559" s="3">
        <v>737</v>
      </c>
      <c r="O559" s="2" t="s">
        <v>36</v>
      </c>
      <c r="P559" s="2" t="s">
        <v>44</v>
      </c>
      <c r="Q559" s="3"/>
      <c r="R559" s="3"/>
      <c r="S559" s="2" t="s">
        <v>21</v>
      </c>
      <c r="T559" s="4">
        <v>44955</v>
      </c>
      <c r="U559" s="2" t="s">
        <v>2037</v>
      </c>
      <c r="V559" s="6">
        <f>(Sales[[#This Row],[Price_retail]]-Sales[[#This Row],[Price_current]])/Sales[[#This Row],[Price_retail]]</f>
        <v>0.21468298109010017</v>
      </c>
      <c r="W559" s="3" t="str" cm="1">
        <f t="array" ref="W55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60" spans="1:23" x14ac:dyDescent="0.35">
      <c r="A560" s="2" t="s">
        <v>2038</v>
      </c>
      <c r="B560" s="2" t="s">
        <v>2039</v>
      </c>
      <c r="C560" s="2" t="s">
        <v>541</v>
      </c>
      <c r="D560" s="2" t="s">
        <v>428</v>
      </c>
      <c r="E560" s="2" t="s">
        <v>4</v>
      </c>
      <c r="F560" s="2" t="s">
        <v>5</v>
      </c>
      <c r="G560" s="2" t="s">
        <v>6</v>
      </c>
      <c r="H560" s="2" t="s">
        <v>333</v>
      </c>
      <c r="I560" s="2" t="s">
        <v>3390</v>
      </c>
      <c r="J560" s="3">
        <v>15.86</v>
      </c>
      <c r="K560" s="3">
        <v>15.86</v>
      </c>
      <c r="L560" s="2" t="s">
        <v>3391</v>
      </c>
      <c r="M560" s="2" t="s">
        <v>9</v>
      </c>
      <c r="N560" s="3">
        <v>665</v>
      </c>
      <c r="O560" s="2" t="s">
        <v>347</v>
      </c>
      <c r="P560" s="2" t="s">
        <v>128</v>
      </c>
      <c r="Q560" s="3"/>
      <c r="R560" s="3"/>
      <c r="S560" s="2" t="s">
        <v>12</v>
      </c>
      <c r="T560" s="4">
        <v>44955</v>
      </c>
      <c r="U560" s="2" t="s">
        <v>2040</v>
      </c>
      <c r="V560" s="6">
        <f>(Sales[[#This Row],[Price_retail]]-Sales[[#This Row],[Price_current]])/Sales[[#This Row],[Price_retail]]</f>
        <v>0</v>
      </c>
      <c r="W560" s="3" t="str" cm="1">
        <f t="array" ref="W56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1" spans="1:23" x14ac:dyDescent="0.35">
      <c r="A561" s="2" t="s">
        <v>2041</v>
      </c>
      <c r="B561" s="2" t="s">
        <v>2042</v>
      </c>
      <c r="C561" s="2" t="s">
        <v>1743</v>
      </c>
      <c r="D561" s="2" t="s">
        <v>327</v>
      </c>
      <c r="E561" s="2" t="s">
        <v>4</v>
      </c>
      <c r="F561" s="2" t="s">
        <v>5</v>
      </c>
      <c r="G561" s="2" t="s">
        <v>6</v>
      </c>
      <c r="H561" s="2" t="s">
        <v>110</v>
      </c>
      <c r="I561" s="2" t="s">
        <v>3390</v>
      </c>
      <c r="J561" s="3">
        <v>10.75</v>
      </c>
      <c r="K561" s="3">
        <v>5.94</v>
      </c>
      <c r="L561" s="2" t="s">
        <v>8</v>
      </c>
      <c r="M561" s="2" t="s">
        <v>9</v>
      </c>
      <c r="N561" s="3">
        <v>579</v>
      </c>
      <c r="O561" s="2" t="s">
        <v>3392</v>
      </c>
      <c r="P561" s="2" t="s">
        <v>3392</v>
      </c>
      <c r="Q561" s="3"/>
      <c r="R561" s="3"/>
      <c r="S561" s="2" t="s">
        <v>21</v>
      </c>
      <c r="T561" s="4">
        <v>44955</v>
      </c>
      <c r="U561" s="2" t="s">
        <v>2043</v>
      </c>
      <c r="V561" s="6">
        <f>(Sales[[#This Row],[Price_retail]]-Sales[[#This Row],[Price_current]])/Sales[[#This Row],[Price_retail]]</f>
        <v>0.44744186046511625</v>
      </c>
      <c r="W561" s="3" t="str" cm="1">
        <f t="array" ref="W56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62" spans="1:23" x14ac:dyDescent="0.35">
      <c r="A562" s="2" t="s">
        <v>2044</v>
      </c>
      <c r="B562" s="2" t="s">
        <v>2045</v>
      </c>
      <c r="C562" s="2" t="s">
        <v>1010</v>
      </c>
      <c r="D562" s="2" t="s">
        <v>608</v>
      </c>
      <c r="E562" s="2" t="s">
        <v>4</v>
      </c>
      <c r="F562" s="2" t="s">
        <v>17</v>
      </c>
      <c r="G562" s="2" t="s">
        <v>27</v>
      </c>
      <c r="H562" s="2" t="s">
        <v>51</v>
      </c>
      <c r="I562" s="2" t="s">
        <v>3393</v>
      </c>
      <c r="J562" s="3">
        <v>8.99</v>
      </c>
      <c r="K562" s="3">
        <v>8.99</v>
      </c>
      <c r="L562" s="2" t="s">
        <v>3391</v>
      </c>
      <c r="M562" s="2" t="s">
        <v>9</v>
      </c>
      <c r="N562" s="3">
        <v>816</v>
      </c>
      <c r="O562" s="2" t="s">
        <v>140</v>
      </c>
      <c r="P562" s="2" t="s">
        <v>92</v>
      </c>
      <c r="Q562" s="3"/>
      <c r="R562" s="3"/>
      <c r="S562" s="2" t="s">
        <v>12</v>
      </c>
      <c r="T562" s="4">
        <v>44955</v>
      </c>
      <c r="U562" s="2" t="s">
        <v>2046</v>
      </c>
      <c r="V562" s="6">
        <f>(Sales[[#This Row],[Price_retail]]-Sales[[#This Row],[Price_current]])/Sales[[#This Row],[Price_retail]]</f>
        <v>0</v>
      </c>
      <c r="W562" s="3" t="str" cm="1">
        <f t="array" ref="W56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3" spans="1:23" x14ac:dyDescent="0.35">
      <c r="A563" s="2" t="s">
        <v>2047</v>
      </c>
      <c r="B563" s="2" t="s">
        <v>2048</v>
      </c>
      <c r="C563" s="2" t="s">
        <v>585</v>
      </c>
      <c r="D563" s="2" t="s">
        <v>1165</v>
      </c>
      <c r="E563" s="2" t="s">
        <v>4</v>
      </c>
      <c r="F563" s="2" t="s">
        <v>17</v>
      </c>
      <c r="G563" s="2" t="s">
        <v>27</v>
      </c>
      <c r="H563" s="2" t="s">
        <v>185</v>
      </c>
      <c r="I563" s="2" t="s">
        <v>3393</v>
      </c>
      <c r="J563" s="3">
        <v>8.99</v>
      </c>
      <c r="K563" s="3">
        <v>8.99</v>
      </c>
      <c r="L563" s="2" t="s">
        <v>3391</v>
      </c>
      <c r="M563" s="2" t="s">
        <v>9</v>
      </c>
      <c r="N563" s="3">
        <v>878</v>
      </c>
      <c r="O563" s="2" t="s">
        <v>98</v>
      </c>
      <c r="P563" s="2" t="s">
        <v>221</v>
      </c>
      <c r="Q563" s="3"/>
      <c r="R563" s="3"/>
      <c r="S563" s="2" t="s">
        <v>12</v>
      </c>
      <c r="T563" s="4">
        <v>44955</v>
      </c>
      <c r="U563" s="2" t="s">
        <v>2049</v>
      </c>
      <c r="V563" s="6">
        <f>(Sales[[#This Row],[Price_retail]]-Sales[[#This Row],[Price_current]])/Sales[[#This Row],[Price_retail]]</f>
        <v>0</v>
      </c>
      <c r="W563" s="3" t="str" cm="1">
        <f t="array" ref="W5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4" spans="1:23" x14ac:dyDescent="0.35">
      <c r="A564" s="2" t="s">
        <v>2050</v>
      </c>
      <c r="B564" s="2" t="s">
        <v>2051</v>
      </c>
      <c r="C564" s="2" t="s">
        <v>3420</v>
      </c>
      <c r="D564" s="2" t="s">
        <v>1823</v>
      </c>
      <c r="E564" s="2" t="s">
        <v>4</v>
      </c>
      <c r="F564" s="2" t="s">
        <v>17</v>
      </c>
      <c r="G564" s="2" t="s">
        <v>27</v>
      </c>
      <c r="H564" s="2" t="s">
        <v>168</v>
      </c>
      <c r="I564" s="2" t="s">
        <v>3395</v>
      </c>
      <c r="J564" s="3">
        <v>8.99</v>
      </c>
      <c r="K564" s="3">
        <v>8.99</v>
      </c>
      <c r="L564" s="2" t="s">
        <v>3391</v>
      </c>
      <c r="M564" s="2" t="s">
        <v>9</v>
      </c>
      <c r="N564" s="3">
        <v>842</v>
      </c>
      <c r="O564" s="2" t="s">
        <v>75</v>
      </c>
      <c r="P564" s="2" t="s">
        <v>3392</v>
      </c>
      <c r="Q564" s="3"/>
      <c r="R564" s="3"/>
      <c r="S564" s="2" t="s">
        <v>21</v>
      </c>
      <c r="T564" s="4">
        <v>44955</v>
      </c>
      <c r="U564" s="2" t="s">
        <v>2052</v>
      </c>
      <c r="V564" s="6">
        <f>(Sales[[#This Row],[Price_retail]]-Sales[[#This Row],[Price_current]])/Sales[[#This Row],[Price_retail]]</f>
        <v>0</v>
      </c>
      <c r="W564" s="3" t="str" cm="1">
        <f t="array" ref="W5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5" spans="1:23" x14ac:dyDescent="0.35">
      <c r="A565" s="2" t="s">
        <v>2053</v>
      </c>
      <c r="B565" s="2" t="s">
        <v>2054</v>
      </c>
      <c r="C565" s="2" t="s">
        <v>721</v>
      </c>
      <c r="D565" s="2" t="s">
        <v>138</v>
      </c>
      <c r="E565" s="2" t="s">
        <v>4</v>
      </c>
      <c r="F565" s="2" t="s">
        <v>5</v>
      </c>
      <c r="G565" s="2" t="s">
        <v>82</v>
      </c>
      <c r="H565" s="2" t="s">
        <v>139</v>
      </c>
      <c r="I565" s="2" t="s">
        <v>3393</v>
      </c>
      <c r="J565" s="3">
        <v>16.170000000000002</v>
      </c>
      <c r="K565" s="3">
        <v>16.170000000000002</v>
      </c>
      <c r="L565" s="2" t="s">
        <v>3391</v>
      </c>
      <c r="M565" s="2" t="s">
        <v>9</v>
      </c>
      <c r="N565" s="3">
        <v>409</v>
      </c>
      <c r="O565" s="2" t="s">
        <v>3392</v>
      </c>
      <c r="P565" s="2" t="s">
        <v>76</v>
      </c>
      <c r="Q565" s="3"/>
      <c r="R565" s="3"/>
      <c r="S565" s="2" t="s">
        <v>21</v>
      </c>
      <c r="T565" s="4">
        <v>44955</v>
      </c>
      <c r="U565" s="2" t="s">
        <v>2055</v>
      </c>
      <c r="V565" s="6">
        <f>(Sales[[#This Row],[Price_retail]]-Sales[[#This Row],[Price_current]])/Sales[[#This Row],[Price_retail]]</f>
        <v>0</v>
      </c>
      <c r="W565" s="3" t="str" cm="1">
        <f t="array" ref="W5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6" spans="1:23" x14ac:dyDescent="0.35">
      <c r="A566" s="2" t="s">
        <v>2056</v>
      </c>
      <c r="B566" s="2" t="s">
        <v>2057</v>
      </c>
      <c r="C566" s="2" t="s">
        <v>999</v>
      </c>
      <c r="D566" s="2" t="s">
        <v>660</v>
      </c>
      <c r="E566" s="2" t="s">
        <v>4</v>
      </c>
      <c r="F566" s="2" t="s">
        <v>5</v>
      </c>
      <c r="G566" s="2" t="s">
        <v>82</v>
      </c>
      <c r="H566" s="2" t="s">
        <v>237</v>
      </c>
      <c r="I566" s="2" t="s">
        <v>3393</v>
      </c>
      <c r="J566" s="3">
        <v>8.99</v>
      </c>
      <c r="K566" s="3">
        <v>8.99</v>
      </c>
      <c r="L566" s="2" t="s">
        <v>3391</v>
      </c>
      <c r="M566" s="2" t="s">
        <v>9</v>
      </c>
      <c r="N566" s="3">
        <v>127</v>
      </c>
      <c r="O566" s="2" t="s">
        <v>29</v>
      </c>
      <c r="P566" s="2" t="s">
        <v>37</v>
      </c>
      <c r="Q566" s="3"/>
      <c r="R566" s="3"/>
      <c r="S566" s="2" t="s">
        <v>21</v>
      </c>
      <c r="T566" s="4">
        <v>44955</v>
      </c>
      <c r="U566" s="2" t="s">
        <v>2058</v>
      </c>
      <c r="V566" s="6">
        <f>(Sales[[#This Row],[Price_retail]]-Sales[[#This Row],[Price_current]])/Sales[[#This Row],[Price_retail]]</f>
        <v>0</v>
      </c>
      <c r="W566" s="3" t="str" cm="1">
        <f t="array" ref="W5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7" spans="1:23" x14ac:dyDescent="0.35">
      <c r="A567" s="2" t="s">
        <v>2059</v>
      </c>
      <c r="B567" s="2" t="s">
        <v>2060</v>
      </c>
      <c r="C567" s="2" t="s">
        <v>585</v>
      </c>
      <c r="D567" s="2" t="s">
        <v>526</v>
      </c>
      <c r="E567" s="2" t="s">
        <v>4</v>
      </c>
      <c r="F567" s="2" t="s">
        <v>5</v>
      </c>
      <c r="G567" s="2" t="s">
        <v>82</v>
      </c>
      <c r="H567" s="2" t="s">
        <v>59</v>
      </c>
      <c r="I567" s="2" t="s">
        <v>3393</v>
      </c>
      <c r="J567" s="3">
        <v>11.55</v>
      </c>
      <c r="K567" s="3">
        <v>11.55</v>
      </c>
      <c r="L567" s="2" t="s">
        <v>3391</v>
      </c>
      <c r="M567" s="2" t="s">
        <v>9</v>
      </c>
      <c r="N567" s="3">
        <v>341</v>
      </c>
      <c r="O567" s="2" t="s">
        <v>140</v>
      </c>
      <c r="P567" s="2" t="s">
        <v>37</v>
      </c>
      <c r="Q567" s="3"/>
      <c r="R567" s="3"/>
      <c r="S567" s="2" t="s">
        <v>12</v>
      </c>
      <c r="T567" s="4">
        <v>44955</v>
      </c>
      <c r="U567" s="2" t="s">
        <v>2061</v>
      </c>
      <c r="V567" s="6">
        <f>(Sales[[#This Row],[Price_retail]]-Sales[[#This Row],[Price_current]])/Sales[[#This Row],[Price_retail]]</f>
        <v>0</v>
      </c>
      <c r="W567" s="3" t="str" cm="1">
        <f t="array" ref="W5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68" spans="1:23" x14ac:dyDescent="0.35">
      <c r="A568" s="2" t="s">
        <v>2062</v>
      </c>
      <c r="B568" s="2" t="s">
        <v>2063</v>
      </c>
      <c r="C568" s="2" t="s">
        <v>1747</v>
      </c>
      <c r="D568" s="2" t="s">
        <v>2064</v>
      </c>
      <c r="E568" s="2" t="s">
        <v>4</v>
      </c>
      <c r="F568" s="2" t="s">
        <v>5</v>
      </c>
      <c r="G568" s="2" t="s">
        <v>6</v>
      </c>
      <c r="H568" s="2" t="s">
        <v>139</v>
      </c>
      <c r="I568" s="2" t="s">
        <v>3390</v>
      </c>
      <c r="J568" s="3">
        <v>24.47</v>
      </c>
      <c r="K568" s="3">
        <v>15.01</v>
      </c>
      <c r="L568" s="2" t="s">
        <v>8</v>
      </c>
      <c r="M568" s="2" t="s">
        <v>9</v>
      </c>
      <c r="N568" s="3">
        <v>507</v>
      </c>
      <c r="O568" s="2" t="s">
        <v>43</v>
      </c>
      <c r="P568" s="2" t="s">
        <v>37</v>
      </c>
      <c r="Q568" s="3"/>
      <c r="R568" s="3"/>
      <c r="S568" s="2" t="s">
        <v>21</v>
      </c>
      <c r="T568" s="4">
        <v>44955</v>
      </c>
      <c r="U568" s="2" t="s">
        <v>2065</v>
      </c>
      <c r="V568" s="6">
        <f>(Sales[[#This Row],[Price_retail]]-Sales[[#This Row],[Price_current]])/Sales[[#This Row],[Price_retail]]</f>
        <v>0.38659583163056804</v>
      </c>
      <c r="W568" s="3" t="str" cm="1">
        <f t="array" ref="W56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69" spans="1:23" x14ac:dyDescent="0.35">
      <c r="A569" s="2" t="s">
        <v>2066</v>
      </c>
      <c r="B569" s="2" t="s">
        <v>2067</v>
      </c>
      <c r="C569" s="2" t="s">
        <v>484</v>
      </c>
      <c r="D569" s="2" t="s">
        <v>42</v>
      </c>
      <c r="E569" s="2" t="s">
        <v>4</v>
      </c>
      <c r="F569" s="2" t="s">
        <v>5</v>
      </c>
      <c r="G569" s="2" t="s">
        <v>121</v>
      </c>
      <c r="H569" s="2" t="s">
        <v>19</v>
      </c>
      <c r="I569" s="2" t="s">
        <v>3390</v>
      </c>
      <c r="J569" s="3">
        <v>20.02</v>
      </c>
      <c r="K569" s="3">
        <v>17.87</v>
      </c>
      <c r="L569" s="2" t="s">
        <v>8</v>
      </c>
      <c r="M569" s="2" t="s">
        <v>9</v>
      </c>
      <c r="N569" s="3">
        <v>736</v>
      </c>
      <c r="O569" s="2" t="s">
        <v>36</v>
      </c>
      <c r="P569" s="2" t="s">
        <v>192</v>
      </c>
      <c r="Q569" s="3"/>
      <c r="R569" s="3"/>
      <c r="S569" s="2" t="s">
        <v>21</v>
      </c>
      <c r="T569" s="4">
        <v>44955</v>
      </c>
      <c r="U569" s="2" t="s">
        <v>2068</v>
      </c>
      <c r="V569" s="6">
        <f>(Sales[[#This Row],[Price_retail]]-Sales[[#This Row],[Price_current]])/Sales[[#This Row],[Price_retail]]</f>
        <v>0.10739260739260732</v>
      </c>
      <c r="W569" s="3" t="str" cm="1">
        <f t="array" ref="W569">_xlfn.IFS(Sales[[#This Row],[Discount]]=0%,"No Discount",Sales[[#This Row],[Discount]]&lt;=20%,"Light",Sales[[#This Row],[Discount]]&lt;=50%,"Moderate",Sales[[#This Row],[Discount]]&lt;=80%,"High",
TRUE,"Very High")</f>
        <v>Light</v>
      </c>
    </row>
    <row r="570" spans="1:23" x14ac:dyDescent="0.35">
      <c r="A570" s="2" t="s">
        <v>2069</v>
      </c>
      <c r="B570" s="2" t="s">
        <v>2070</v>
      </c>
      <c r="C570" s="2" t="s">
        <v>703</v>
      </c>
      <c r="D570" s="2" t="s">
        <v>1324</v>
      </c>
      <c r="E570" s="2" t="s">
        <v>4</v>
      </c>
      <c r="F570" s="2" t="s">
        <v>17</v>
      </c>
      <c r="G570" s="2" t="s">
        <v>18</v>
      </c>
      <c r="H570" s="2" t="s">
        <v>19</v>
      </c>
      <c r="I570" s="2" t="s">
        <v>3393</v>
      </c>
      <c r="J570" s="3">
        <v>11.68</v>
      </c>
      <c r="K570" s="3">
        <v>11.68</v>
      </c>
      <c r="L570" s="2" t="s">
        <v>3391</v>
      </c>
      <c r="M570" s="2" t="s">
        <v>9</v>
      </c>
      <c r="N570" s="3">
        <v>54</v>
      </c>
      <c r="O570" s="2" t="s">
        <v>69</v>
      </c>
      <c r="P570" s="2" t="s">
        <v>11</v>
      </c>
      <c r="Q570" s="3"/>
      <c r="R570" s="3"/>
      <c r="S570" s="2" t="s">
        <v>21</v>
      </c>
      <c r="T570" s="4">
        <v>44955</v>
      </c>
      <c r="U570" s="2" t="s">
        <v>2071</v>
      </c>
      <c r="V570" s="6">
        <f>(Sales[[#This Row],[Price_retail]]-Sales[[#This Row],[Price_current]])/Sales[[#This Row],[Price_retail]]</f>
        <v>0</v>
      </c>
      <c r="W570" s="3" t="str" cm="1">
        <f t="array" ref="W5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71" spans="1:23" x14ac:dyDescent="0.35">
      <c r="A571" s="2" t="s">
        <v>2072</v>
      </c>
      <c r="B571" s="2" t="s">
        <v>2073</v>
      </c>
      <c r="C571" s="2" t="s">
        <v>80</v>
      </c>
      <c r="D571" s="2" t="s">
        <v>432</v>
      </c>
      <c r="E571" s="2" t="s">
        <v>4</v>
      </c>
      <c r="F571" s="2" t="s">
        <v>5</v>
      </c>
      <c r="G571" s="2" t="s">
        <v>6</v>
      </c>
      <c r="H571" s="2"/>
      <c r="I571" s="2" t="s">
        <v>3395</v>
      </c>
      <c r="J571" s="3">
        <v>39.619999999999997</v>
      </c>
      <c r="K571" s="3">
        <v>39.619999999999997</v>
      </c>
      <c r="L571" s="2" t="s">
        <v>3391</v>
      </c>
      <c r="M571" s="2" t="s">
        <v>9</v>
      </c>
      <c r="N571" s="3">
        <v>370</v>
      </c>
      <c r="O571" s="2" t="s">
        <v>10</v>
      </c>
      <c r="P571" s="2" t="s">
        <v>92</v>
      </c>
      <c r="Q571" s="3"/>
      <c r="R571" s="3"/>
      <c r="S571" s="2" t="s">
        <v>21</v>
      </c>
      <c r="T571" s="4">
        <v>44955</v>
      </c>
      <c r="U571" s="2" t="s">
        <v>2074</v>
      </c>
      <c r="V571" s="6">
        <f>(Sales[[#This Row],[Price_retail]]-Sales[[#This Row],[Price_current]])/Sales[[#This Row],[Price_retail]]</f>
        <v>0</v>
      </c>
      <c r="W571" s="3" t="str" cm="1">
        <f t="array" ref="W57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72" spans="1:23" x14ac:dyDescent="0.35">
      <c r="A572" s="2" t="s">
        <v>2075</v>
      </c>
      <c r="B572" s="2" t="s">
        <v>2076</v>
      </c>
      <c r="C572" s="2" t="s">
        <v>2409</v>
      </c>
      <c r="D572" s="2" t="s">
        <v>3424</v>
      </c>
      <c r="E572" s="2" t="s">
        <v>4</v>
      </c>
      <c r="F572" s="2" t="s">
        <v>5</v>
      </c>
      <c r="G572" s="2" t="s">
        <v>6</v>
      </c>
      <c r="H572" s="2" t="s">
        <v>68</v>
      </c>
      <c r="I572" s="2" t="s">
        <v>3390</v>
      </c>
      <c r="J572" s="3">
        <v>44.31</v>
      </c>
      <c r="K572" s="3">
        <v>23.86</v>
      </c>
      <c r="L572" s="2" t="s">
        <v>8</v>
      </c>
      <c r="M572" s="2" t="s">
        <v>9</v>
      </c>
      <c r="N572" s="3">
        <v>630</v>
      </c>
      <c r="O572" s="2" t="s">
        <v>261</v>
      </c>
      <c r="P572" s="2" t="s">
        <v>44</v>
      </c>
      <c r="Q572" s="3"/>
      <c r="R572" s="3"/>
      <c r="S572" s="2" t="s">
        <v>21</v>
      </c>
      <c r="T572" s="4">
        <v>44955</v>
      </c>
      <c r="U572" s="2" t="s">
        <v>2077</v>
      </c>
      <c r="V572" s="6">
        <f>(Sales[[#This Row],[Price_retail]]-Sales[[#This Row],[Price_current]])/Sales[[#This Row],[Price_retail]]</f>
        <v>0.46152110133152791</v>
      </c>
      <c r="W572" s="3" t="str" cm="1">
        <f t="array" ref="W57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73" spans="1:23" x14ac:dyDescent="0.35">
      <c r="A573" s="2" t="s">
        <v>2078</v>
      </c>
      <c r="B573" s="2" t="s">
        <v>2079</v>
      </c>
      <c r="C573" s="2" t="s">
        <v>25</v>
      </c>
      <c r="D573" s="2" t="s">
        <v>346</v>
      </c>
      <c r="E573" s="2" t="s">
        <v>4</v>
      </c>
      <c r="F573" s="2" t="s">
        <v>5</v>
      </c>
      <c r="G573" s="2" t="s">
        <v>121</v>
      </c>
      <c r="H573" s="2" t="s">
        <v>110</v>
      </c>
      <c r="I573" s="2" t="s">
        <v>3390</v>
      </c>
      <c r="J573" s="3">
        <v>15.87</v>
      </c>
      <c r="K573" s="3">
        <v>15.87</v>
      </c>
      <c r="L573" s="2" t="s">
        <v>3391</v>
      </c>
      <c r="M573" s="2" t="s">
        <v>9</v>
      </c>
      <c r="N573" s="3">
        <v>176</v>
      </c>
      <c r="O573" s="2" t="s">
        <v>10</v>
      </c>
      <c r="P573" s="2" t="s">
        <v>288</v>
      </c>
      <c r="Q573" s="3"/>
      <c r="R573" s="3"/>
      <c r="S573" s="2" t="s">
        <v>12</v>
      </c>
      <c r="T573" s="4">
        <v>44955</v>
      </c>
      <c r="U573" s="2" t="s">
        <v>2080</v>
      </c>
      <c r="V573" s="6">
        <f>(Sales[[#This Row],[Price_retail]]-Sales[[#This Row],[Price_current]])/Sales[[#This Row],[Price_retail]]</f>
        <v>0</v>
      </c>
      <c r="W573" s="3" t="str" cm="1">
        <f t="array" ref="W5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74" spans="1:23" x14ac:dyDescent="0.35">
      <c r="A574" s="2" t="s">
        <v>2081</v>
      </c>
      <c r="B574" s="2" t="s">
        <v>2082</v>
      </c>
      <c r="C574" s="2" t="s">
        <v>484</v>
      </c>
      <c r="D574" s="2" t="s">
        <v>3425</v>
      </c>
      <c r="E574" s="2" t="s">
        <v>4</v>
      </c>
      <c r="F574" s="2" t="s">
        <v>5</v>
      </c>
      <c r="G574" s="2" t="s">
        <v>121</v>
      </c>
      <c r="H574" s="2" t="s">
        <v>145</v>
      </c>
      <c r="I574" s="2" t="s">
        <v>3390</v>
      </c>
      <c r="J574" s="3">
        <v>8.99</v>
      </c>
      <c r="K574" s="3">
        <v>8.99</v>
      </c>
      <c r="L574" s="2" t="s">
        <v>3391</v>
      </c>
      <c r="M574" s="2" t="s">
        <v>9</v>
      </c>
      <c r="N574" s="3">
        <v>757</v>
      </c>
      <c r="O574" s="2" t="s">
        <v>3392</v>
      </c>
      <c r="P574" s="2" t="s">
        <v>128</v>
      </c>
      <c r="Q574" s="3"/>
      <c r="R574" s="3"/>
      <c r="S574" s="2" t="s">
        <v>21</v>
      </c>
      <c r="T574" s="4">
        <v>44955</v>
      </c>
      <c r="U574" s="2" t="s">
        <v>2083</v>
      </c>
      <c r="V574" s="6">
        <f>(Sales[[#This Row],[Price_retail]]-Sales[[#This Row],[Price_current]])/Sales[[#This Row],[Price_retail]]</f>
        <v>0</v>
      </c>
      <c r="W574" s="3" t="str" cm="1">
        <f t="array" ref="W57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75" spans="1:23" x14ac:dyDescent="0.35">
      <c r="A575" s="2" t="s">
        <v>2084</v>
      </c>
      <c r="B575" s="2" t="s">
        <v>2085</v>
      </c>
      <c r="C575" s="2" t="s">
        <v>242</v>
      </c>
      <c r="D575" s="2" t="s">
        <v>301</v>
      </c>
      <c r="E575" s="2" t="s">
        <v>4</v>
      </c>
      <c r="F575" s="2" t="s">
        <v>17</v>
      </c>
      <c r="G575" s="2" t="s">
        <v>67</v>
      </c>
      <c r="H575" s="2" t="s">
        <v>145</v>
      </c>
      <c r="I575" s="2" t="s">
        <v>3393</v>
      </c>
      <c r="J575" s="3">
        <v>25.47</v>
      </c>
      <c r="K575" s="3">
        <v>11.32</v>
      </c>
      <c r="L575" s="2" t="s">
        <v>8</v>
      </c>
      <c r="M575" s="2" t="s">
        <v>9</v>
      </c>
      <c r="N575" s="3">
        <v>46</v>
      </c>
      <c r="O575" s="2" t="s">
        <v>75</v>
      </c>
      <c r="P575" s="2" t="s">
        <v>254</v>
      </c>
      <c r="Q575" s="3"/>
      <c r="R575" s="3"/>
      <c r="S575" s="2" t="s">
        <v>21</v>
      </c>
      <c r="T575" s="4">
        <v>44955</v>
      </c>
      <c r="U575" s="2" t="s">
        <v>2086</v>
      </c>
      <c r="V575" s="6">
        <f>(Sales[[#This Row],[Price_retail]]-Sales[[#This Row],[Price_current]])/Sales[[#This Row],[Price_retail]]</f>
        <v>0.55555555555555547</v>
      </c>
      <c r="W575" s="3" t="str" cm="1">
        <f t="array" ref="W575">_xlfn.IFS(Sales[[#This Row],[Discount]]=0%,"No Discount",Sales[[#This Row],[Discount]]&lt;=20%,"Light",Sales[[#This Row],[Discount]]&lt;=50%,"Moderate",Sales[[#This Row],[Discount]]&lt;=80%,"High",
TRUE,"Very High")</f>
        <v>High</v>
      </c>
    </row>
    <row r="576" spans="1:23" x14ac:dyDescent="0.35">
      <c r="A576" s="2" t="s">
        <v>2087</v>
      </c>
      <c r="B576" s="2" t="s">
        <v>2088</v>
      </c>
      <c r="C576" s="2" t="s">
        <v>2915</v>
      </c>
      <c r="D576" s="2" t="s">
        <v>428</v>
      </c>
      <c r="E576" s="2" t="s">
        <v>4</v>
      </c>
      <c r="F576" s="2" t="s">
        <v>5</v>
      </c>
      <c r="G576" s="2" t="s">
        <v>82</v>
      </c>
      <c r="H576" s="2" t="s">
        <v>333</v>
      </c>
      <c r="I576" s="2" t="s">
        <v>3390</v>
      </c>
      <c r="J576" s="3">
        <v>8.99</v>
      </c>
      <c r="K576" s="3">
        <v>6.8</v>
      </c>
      <c r="L576" s="2" t="s">
        <v>8</v>
      </c>
      <c r="M576" s="2" t="s">
        <v>9</v>
      </c>
      <c r="N576" s="3">
        <v>237</v>
      </c>
      <c r="O576" s="2" t="s">
        <v>3392</v>
      </c>
      <c r="P576" s="2" t="s">
        <v>177</v>
      </c>
      <c r="Q576" s="3"/>
      <c r="R576" s="3"/>
      <c r="S576" s="2" t="s">
        <v>21</v>
      </c>
      <c r="T576" s="4">
        <v>44955</v>
      </c>
      <c r="U576" s="2" t="s">
        <v>2089</v>
      </c>
      <c r="V576" s="6">
        <f>(Sales[[#This Row],[Price_retail]]-Sales[[#This Row],[Price_current]])/Sales[[#This Row],[Price_retail]]</f>
        <v>0.24360400444938823</v>
      </c>
      <c r="W576" s="3" t="str" cm="1">
        <f t="array" ref="W57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77" spans="1:23" x14ac:dyDescent="0.35">
      <c r="A577" s="2" t="s">
        <v>2090</v>
      </c>
      <c r="B577" s="2" t="s">
        <v>2091</v>
      </c>
      <c r="C577" s="2" t="s">
        <v>461</v>
      </c>
      <c r="D577" s="2" t="s">
        <v>332</v>
      </c>
      <c r="E577" s="2" t="s">
        <v>4</v>
      </c>
      <c r="F577" s="2" t="s">
        <v>5</v>
      </c>
      <c r="G577" s="2" t="s">
        <v>6</v>
      </c>
      <c r="H577" s="2" t="s">
        <v>333</v>
      </c>
      <c r="I577" s="2" t="s">
        <v>3393</v>
      </c>
      <c r="J577" s="3">
        <v>35.229999999999997</v>
      </c>
      <c r="K577" s="3">
        <v>35.229999999999997</v>
      </c>
      <c r="L577" s="2" t="s">
        <v>3391</v>
      </c>
      <c r="M577" s="2" t="s">
        <v>9</v>
      </c>
      <c r="N577" s="3">
        <v>610</v>
      </c>
      <c r="O577" s="2" t="s">
        <v>3392</v>
      </c>
      <c r="P577" s="2" t="s">
        <v>44</v>
      </c>
      <c r="Q577" s="3"/>
      <c r="R577" s="3"/>
      <c r="S577" s="2" t="s">
        <v>21</v>
      </c>
      <c r="T577" s="4">
        <v>44955</v>
      </c>
      <c r="U577" s="2" t="s">
        <v>2092</v>
      </c>
      <c r="V577" s="6">
        <f>(Sales[[#This Row],[Price_retail]]-Sales[[#This Row],[Price_current]])/Sales[[#This Row],[Price_retail]]</f>
        <v>0</v>
      </c>
      <c r="W577" s="3" t="str" cm="1">
        <f t="array" ref="W57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78" spans="1:23" x14ac:dyDescent="0.35">
      <c r="A578" s="2" t="s">
        <v>2093</v>
      </c>
      <c r="B578" s="2" t="s">
        <v>2094</v>
      </c>
      <c r="C578" s="2" t="s">
        <v>323</v>
      </c>
      <c r="D578" s="2" t="s">
        <v>209</v>
      </c>
      <c r="E578" s="2" t="s">
        <v>4</v>
      </c>
      <c r="F578" s="2" t="s">
        <v>5</v>
      </c>
      <c r="G578" s="2" t="s">
        <v>82</v>
      </c>
      <c r="H578" s="2"/>
      <c r="I578" s="2" t="s">
        <v>3390</v>
      </c>
      <c r="J578" s="3">
        <v>28.39</v>
      </c>
      <c r="K578" s="3">
        <v>17.88</v>
      </c>
      <c r="L578" s="2" t="s">
        <v>8</v>
      </c>
      <c r="M578" s="2" t="s">
        <v>9</v>
      </c>
      <c r="N578" s="3">
        <v>831</v>
      </c>
      <c r="O578" s="2" t="s">
        <v>36</v>
      </c>
      <c r="P578" s="2" t="s">
        <v>3392</v>
      </c>
      <c r="Q578" s="3"/>
      <c r="R578" s="3"/>
      <c r="S578" s="2" t="s">
        <v>12</v>
      </c>
      <c r="T578" s="4">
        <v>44955</v>
      </c>
      <c r="U578" s="2" t="s">
        <v>2095</v>
      </c>
      <c r="V578" s="6">
        <f>(Sales[[#This Row],[Price_retail]]-Sales[[#This Row],[Price_current]])/Sales[[#This Row],[Price_retail]]</f>
        <v>0.37020077492074677</v>
      </c>
      <c r="W578" s="3" t="str" cm="1">
        <f t="array" ref="W57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79" spans="1:23" x14ac:dyDescent="0.35">
      <c r="A579" s="2" t="s">
        <v>2096</v>
      </c>
      <c r="B579" s="2" t="s">
        <v>2097</v>
      </c>
      <c r="C579" s="2" t="s">
        <v>1242</v>
      </c>
      <c r="D579" s="2" t="s">
        <v>1238</v>
      </c>
      <c r="E579" s="2" t="s">
        <v>4</v>
      </c>
      <c r="F579" s="2" t="s">
        <v>5</v>
      </c>
      <c r="G579" s="2" t="s">
        <v>82</v>
      </c>
      <c r="H579" s="2" t="s">
        <v>168</v>
      </c>
      <c r="I579" s="2" t="s">
        <v>3389</v>
      </c>
      <c r="J579" s="3">
        <v>41.51</v>
      </c>
      <c r="K579" s="3">
        <v>30.17</v>
      </c>
      <c r="L579" s="2" t="s">
        <v>8</v>
      </c>
      <c r="M579" s="2" t="s">
        <v>9</v>
      </c>
      <c r="N579" s="3">
        <v>83</v>
      </c>
      <c r="O579" s="2" t="s">
        <v>29</v>
      </c>
      <c r="P579" s="2" t="s">
        <v>177</v>
      </c>
      <c r="Q579" s="3"/>
      <c r="R579" s="3"/>
      <c r="S579" s="2" t="s">
        <v>21</v>
      </c>
      <c r="T579" s="4">
        <v>44955</v>
      </c>
      <c r="U579" s="2" t="s">
        <v>2098</v>
      </c>
      <c r="V579" s="6">
        <f>(Sales[[#This Row],[Price_retail]]-Sales[[#This Row],[Price_current]])/Sales[[#This Row],[Price_retail]]</f>
        <v>0.27318718381112977</v>
      </c>
      <c r="W579" s="3" t="str" cm="1">
        <f t="array" ref="W57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0" spans="1:23" x14ac:dyDescent="0.35">
      <c r="A580" s="2" t="s">
        <v>2099</v>
      </c>
      <c r="B580" s="2" t="s">
        <v>2100</v>
      </c>
      <c r="C580" s="2" t="s">
        <v>3434</v>
      </c>
      <c r="D580" s="2" t="s">
        <v>190</v>
      </c>
      <c r="E580" s="2" t="s">
        <v>4</v>
      </c>
      <c r="F580" s="2" t="s">
        <v>5</v>
      </c>
      <c r="G580" s="2" t="s">
        <v>82</v>
      </c>
      <c r="H580" s="2" t="s">
        <v>134</v>
      </c>
      <c r="I580" s="2" t="s">
        <v>3393</v>
      </c>
      <c r="J580" s="3">
        <v>18.05</v>
      </c>
      <c r="K580" s="3">
        <v>10.73</v>
      </c>
      <c r="L580" s="2" t="s">
        <v>8</v>
      </c>
      <c r="M580" s="2" t="s">
        <v>9</v>
      </c>
      <c r="N580" s="3">
        <v>870</v>
      </c>
      <c r="O580" s="2" t="s">
        <v>3392</v>
      </c>
      <c r="P580" s="2" t="s">
        <v>3392</v>
      </c>
      <c r="Q580" s="3"/>
      <c r="R580" s="3"/>
      <c r="S580" s="2" t="s">
        <v>21</v>
      </c>
      <c r="T580" s="4">
        <v>44955</v>
      </c>
      <c r="U580" s="2" t="s">
        <v>2101</v>
      </c>
      <c r="V580" s="6">
        <f>(Sales[[#This Row],[Price_retail]]-Sales[[#This Row],[Price_current]])/Sales[[#This Row],[Price_retail]]</f>
        <v>0.40554016620498617</v>
      </c>
      <c r="W580" s="3" t="str" cm="1">
        <f t="array" ref="W58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1" spans="1:23" x14ac:dyDescent="0.35">
      <c r="A581" s="2" t="s">
        <v>2102</v>
      </c>
      <c r="B581" s="2" t="s">
        <v>2103</v>
      </c>
      <c r="C581" s="2" t="s">
        <v>484</v>
      </c>
      <c r="D581" s="2" t="s">
        <v>577</v>
      </c>
      <c r="E581" s="2" t="s">
        <v>4</v>
      </c>
      <c r="F581" s="2" t="s">
        <v>5</v>
      </c>
      <c r="G581" s="2" t="s">
        <v>6</v>
      </c>
      <c r="H581" s="2" t="s">
        <v>168</v>
      </c>
      <c r="I581" s="2" t="s">
        <v>3390</v>
      </c>
      <c r="J581" s="3">
        <v>12.82</v>
      </c>
      <c r="K581" s="3">
        <v>10.38</v>
      </c>
      <c r="L581" s="2" t="s">
        <v>8</v>
      </c>
      <c r="M581" s="2" t="s">
        <v>9</v>
      </c>
      <c r="N581" s="3">
        <v>137</v>
      </c>
      <c r="O581" s="2" t="s">
        <v>267</v>
      </c>
      <c r="P581" s="2" t="s">
        <v>3392</v>
      </c>
      <c r="Q581" s="3"/>
      <c r="R581" s="3"/>
      <c r="S581" s="2" t="s">
        <v>21</v>
      </c>
      <c r="T581" s="4">
        <v>44955</v>
      </c>
      <c r="U581" s="2" t="s">
        <v>2104</v>
      </c>
      <c r="V581" s="6">
        <f>(Sales[[#This Row],[Price_retail]]-Sales[[#This Row],[Price_current]])/Sales[[#This Row],[Price_retail]]</f>
        <v>0.19032761310452415</v>
      </c>
      <c r="W581" s="3" t="str" cm="1">
        <f t="array" ref="W581">_xlfn.IFS(Sales[[#This Row],[Discount]]=0%,"No Discount",Sales[[#This Row],[Discount]]&lt;=20%,"Light",Sales[[#This Row],[Discount]]&lt;=50%,"Moderate",Sales[[#This Row],[Discount]]&lt;=80%,"High",
TRUE,"Very High")</f>
        <v>Light</v>
      </c>
    </row>
    <row r="582" spans="1:23" x14ac:dyDescent="0.35">
      <c r="A582" s="2" t="s">
        <v>2105</v>
      </c>
      <c r="B582" s="2" t="s">
        <v>2106</v>
      </c>
      <c r="C582" s="2" t="s">
        <v>1747</v>
      </c>
      <c r="D582" s="2" t="s">
        <v>1161</v>
      </c>
      <c r="E582" s="2" t="s">
        <v>4</v>
      </c>
      <c r="F582" s="2" t="s">
        <v>17</v>
      </c>
      <c r="G582" s="2" t="s">
        <v>67</v>
      </c>
      <c r="H582" s="2" t="s">
        <v>28</v>
      </c>
      <c r="I582" s="2" t="s">
        <v>3393</v>
      </c>
      <c r="J582" s="3">
        <v>12.21</v>
      </c>
      <c r="K582" s="3">
        <v>8.2899999999999991</v>
      </c>
      <c r="L582" s="2" t="s">
        <v>8</v>
      </c>
      <c r="M582" s="2" t="s">
        <v>9</v>
      </c>
      <c r="N582" s="3">
        <v>7</v>
      </c>
      <c r="O582" s="2" t="s">
        <v>261</v>
      </c>
      <c r="P582" s="2" t="s">
        <v>44</v>
      </c>
      <c r="Q582" s="3"/>
      <c r="R582" s="3"/>
      <c r="S582" s="2" t="s">
        <v>21</v>
      </c>
      <c r="T582" s="4">
        <v>44955</v>
      </c>
      <c r="U582" s="2" t="s">
        <v>2107</v>
      </c>
      <c r="V582" s="6">
        <f>(Sales[[#This Row],[Price_retail]]-Sales[[#This Row],[Price_current]])/Sales[[#This Row],[Price_retail]]</f>
        <v>0.32104832104832115</v>
      </c>
      <c r="W582" s="3" t="str" cm="1">
        <f t="array" ref="W58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3" spans="1:23" x14ac:dyDescent="0.35">
      <c r="A583" s="2" t="s">
        <v>2108</v>
      </c>
      <c r="B583" s="2" t="s">
        <v>2109</v>
      </c>
      <c r="C583" s="2" t="s">
        <v>57</v>
      </c>
      <c r="D583" s="2" t="s">
        <v>34</v>
      </c>
      <c r="E583" s="2" t="s">
        <v>4</v>
      </c>
      <c r="F583" s="2" t="s">
        <v>17</v>
      </c>
      <c r="G583" s="2" t="s">
        <v>67</v>
      </c>
      <c r="H583" s="2" t="s">
        <v>35</v>
      </c>
      <c r="I583" s="2" t="s">
        <v>3393</v>
      </c>
      <c r="J583" s="3">
        <v>11.58</v>
      </c>
      <c r="K583" s="3">
        <v>6.39</v>
      </c>
      <c r="L583" s="2" t="s">
        <v>8</v>
      </c>
      <c r="M583" s="2" t="s">
        <v>9</v>
      </c>
      <c r="N583" s="3">
        <v>68</v>
      </c>
      <c r="O583" s="2" t="s">
        <v>287</v>
      </c>
      <c r="P583" s="2" t="s">
        <v>3392</v>
      </c>
      <c r="Q583" s="3"/>
      <c r="R583" s="3"/>
      <c r="S583" s="2" t="s">
        <v>12</v>
      </c>
      <c r="T583" s="4">
        <v>44955</v>
      </c>
      <c r="U583" s="2" t="s">
        <v>2110</v>
      </c>
      <c r="V583" s="6">
        <f>(Sales[[#This Row],[Price_retail]]-Sales[[#This Row],[Price_current]])/Sales[[#This Row],[Price_retail]]</f>
        <v>0.44818652849740936</v>
      </c>
      <c r="W583" s="3" t="str" cm="1">
        <f t="array" ref="W58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4" spans="1:23" x14ac:dyDescent="0.35">
      <c r="A584" s="2" t="s">
        <v>2111</v>
      </c>
      <c r="B584" s="2" t="s">
        <v>2112</v>
      </c>
      <c r="C584" s="2" t="s">
        <v>25</v>
      </c>
      <c r="D584" s="2" t="s">
        <v>511</v>
      </c>
      <c r="E584" s="2" t="s">
        <v>4</v>
      </c>
      <c r="F584" s="2" t="s">
        <v>5</v>
      </c>
      <c r="G584" s="2" t="s">
        <v>6</v>
      </c>
      <c r="H584" s="2" t="s">
        <v>7</v>
      </c>
      <c r="I584" s="2" t="s">
        <v>3393</v>
      </c>
      <c r="J584" s="3">
        <v>26.83</v>
      </c>
      <c r="K584" s="3">
        <v>26.83</v>
      </c>
      <c r="L584" s="2" t="s">
        <v>3391</v>
      </c>
      <c r="M584" s="2" t="s">
        <v>9</v>
      </c>
      <c r="N584" s="3">
        <v>301</v>
      </c>
      <c r="O584" s="2" t="s">
        <v>20</v>
      </c>
      <c r="P584" s="2" t="s">
        <v>3392</v>
      </c>
      <c r="Q584" s="3"/>
      <c r="R584" s="3"/>
      <c r="S584" s="2" t="s">
        <v>12</v>
      </c>
      <c r="T584" s="4">
        <v>44955</v>
      </c>
      <c r="U584" s="2" t="s">
        <v>2113</v>
      </c>
      <c r="V584" s="6">
        <f>(Sales[[#This Row],[Price_retail]]-Sales[[#This Row],[Price_current]])/Sales[[#This Row],[Price_retail]]</f>
        <v>0</v>
      </c>
      <c r="W584" s="3" t="str" cm="1">
        <f t="array" ref="W5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85" spans="1:23" x14ac:dyDescent="0.35">
      <c r="A585" s="2" t="s">
        <v>2114</v>
      </c>
      <c r="B585" s="2" t="s">
        <v>2115</v>
      </c>
      <c r="C585" s="2" t="s">
        <v>703</v>
      </c>
      <c r="D585" s="2" t="s">
        <v>209</v>
      </c>
      <c r="E585" s="2" t="s">
        <v>4</v>
      </c>
      <c r="F585" s="2" t="s">
        <v>5</v>
      </c>
      <c r="G585" s="2" t="s">
        <v>121</v>
      </c>
      <c r="H585" s="2" t="s">
        <v>35</v>
      </c>
      <c r="I585" s="2" t="s">
        <v>3390</v>
      </c>
      <c r="J585" s="3">
        <v>23.14</v>
      </c>
      <c r="K585" s="3">
        <v>12.07</v>
      </c>
      <c r="L585" s="2" t="s">
        <v>8</v>
      </c>
      <c r="M585" s="2" t="s">
        <v>9</v>
      </c>
      <c r="N585" s="3">
        <v>449</v>
      </c>
      <c r="O585" s="2" t="s">
        <v>261</v>
      </c>
      <c r="P585" s="2" t="s">
        <v>419</v>
      </c>
      <c r="Q585" s="3"/>
      <c r="R585" s="3"/>
      <c r="S585" s="2" t="s">
        <v>21</v>
      </c>
      <c r="T585" s="4">
        <v>44955</v>
      </c>
      <c r="U585" s="2" t="s">
        <v>2116</v>
      </c>
      <c r="V585" s="6">
        <f>(Sales[[#This Row],[Price_retail]]-Sales[[#This Row],[Price_current]])/Sales[[#This Row],[Price_retail]]</f>
        <v>0.47839239412273121</v>
      </c>
      <c r="W585" s="3" t="str" cm="1">
        <f t="array" ref="W58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6" spans="1:23" x14ac:dyDescent="0.35">
      <c r="A586" s="2" t="s">
        <v>2117</v>
      </c>
      <c r="B586" s="2" t="s">
        <v>2118</v>
      </c>
      <c r="C586" s="2" t="s">
        <v>616</v>
      </c>
      <c r="D586" s="2" t="s">
        <v>521</v>
      </c>
      <c r="E586" s="2" t="s">
        <v>4</v>
      </c>
      <c r="F586" s="2" t="s">
        <v>5</v>
      </c>
      <c r="G586" s="2" t="s">
        <v>121</v>
      </c>
      <c r="H586" s="2" t="s">
        <v>19</v>
      </c>
      <c r="I586" s="2" t="s">
        <v>3390</v>
      </c>
      <c r="J586" s="3">
        <v>16.71</v>
      </c>
      <c r="K586" s="3">
        <v>10.34</v>
      </c>
      <c r="L586" s="2" t="s">
        <v>8</v>
      </c>
      <c r="M586" s="2" t="s">
        <v>9</v>
      </c>
      <c r="N586" s="3">
        <v>284</v>
      </c>
      <c r="O586" s="2" t="s">
        <v>104</v>
      </c>
      <c r="P586" s="2" t="s">
        <v>92</v>
      </c>
      <c r="Q586" s="3"/>
      <c r="R586" s="3"/>
      <c r="S586" s="2" t="s">
        <v>21</v>
      </c>
      <c r="T586" s="4">
        <v>44955</v>
      </c>
      <c r="U586" s="2" t="s">
        <v>2119</v>
      </c>
      <c r="V586" s="6">
        <f>(Sales[[#This Row],[Price_retail]]-Sales[[#This Row],[Price_current]])/Sales[[#This Row],[Price_retail]]</f>
        <v>0.38120885697187318</v>
      </c>
      <c r="W586" s="3" t="str" cm="1">
        <f t="array" ref="W58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7" spans="1:23" x14ac:dyDescent="0.35">
      <c r="A587" s="2" t="s">
        <v>2120</v>
      </c>
      <c r="B587" s="2" t="s">
        <v>2121</v>
      </c>
      <c r="C587" s="2" t="s">
        <v>213</v>
      </c>
      <c r="D587" s="2" t="s">
        <v>432</v>
      </c>
      <c r="E587" s="2" t="s">
        <v>4</v>
      </c>
      <c r="F587" s="2" t="s">
        <v>5</v>
      </c>
      <c r="G587" s="2" t="s">
        <v>82</v>
      </c>
      <c r="H587" s="2" t="s">
        <v>35</v>
      </c>
      <c r="I587" s="2" t="s">
        <v>3393</v>
      </c>
      <c r="J587" s="3">
        <v>10.51</v>
      </c>
      <c r="K587" s="3">
        <v>7.47</v>
      </c>
      <c r="L587" s="2" t="s">
        <v>8</v>
      </c>
      <c r="M587" s="2" t="s">
        <v>9</v>
      </c>
      <c r="N587" s="3">
        <v>25</v>
      </c>
      <c r="O587" s="2" t="s">
        <v>3392</v>
      </c>
      <c r="P587" s="2" t="s">
        <v>215</v>
      </c>
      <c r="Q587" s="3"/>
      <c r="R587" s="3"/>
      <c r="S587" s="2" t="s">
        <v>21</v>
      </c>
      <c r="T587" s="4">
        <v>44955</v>
      </c>
      <c r="U587" s="2" t="s">
        <v>2122</v>
      </c>
      <c r="V587" s="6">
        <f>(Sales[[#This Row],[Price_retail]]-Sales[[#This Row],[Price_current]])/Sales[[#This Row],[Price_retail]]</f>
        <v>0.28924833491912466</v>
      </c>
      <c r="W587" s="3" t="str" cm="1">
        <f t="array" ref="W5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88" spans="1:23" x14ac:dyDescent="0.35">
      <c r="A588" s="2" t="s">
        <v>2123</v>
      </c>
      <c r="B588" s="2" t="s">
        <v>2124</v>
      </c>
      <c r="C588" s="2" t="s">
        <v>3394</v>
      </c>
      <c r="D588" s="2" t="s">
        <v>804</v>
      </c>
      <c r="E588" s="2" t="s">
        <v>4</v>
      </c>
      <c r="F588" s="2" t="s">
        <v>5</v>
      </c>
      <c r="G588" s="2" t="s">
        <v>121</v>
      </c>
      <c r="H588" s="2" t="s">
        <v>19</v>
      </c>
      <c r="I588" s="2" t="s">
        <v>3393</v>
      </c>
      <c r="J588" s="3">
        <v>66.42</v>
      </c>
      <c r="K588" s="3">
        <v>66.42</v>
      </c>
      <c r="L588" s="2" t="s">
        <v>3391</v>
      </c>
      <c r="M588" s="2" t="s">
        <v>9</v>
      </c>
      <c r="N588" s="3">
        <v>614</v>
      </c>
      <c r="O588" s="2" t="s">
        <v>359</v>
      </c>
      <c r="P588" s="2" t="s">
        <v>37</v>
      </c>
      <c r="Q588" s="3"/>
      <c r="R588" s="3"/>
      <c r="S588" s="2" t="s">
        <v>21</v>
      </c>
      <c r="T588" s="4">
        <v>44955</v>
      </c>
      <c r="U588" s="2" t="s">
        <v>2125</v>
      </c>
      <c r="V588" s="6">
        <f>(Sales[[#This Row],[Price_retail]]-Sales[[#This Row],[Price_current]])/Sales[[#This Row],[Price_retail]]</f>
        <v>0</v>
      </c>
      <c r="W588" s="3" t="str" cm="1">
        <f t="array" ref="W58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89" spans="1:23" x14ac:dyDescent="0.35">
      <c r="A589" s="2" t="s">
        <v>2126</v>
      </c>
      <c r="B589" s="2" t="s">
        <v>2127</v>
      </c>
      <c r="C589" s="2" t="s">
        <v>132</v>
      </c>
      <c r="D589" s="2" t="s">
        <v>1773</v>
      </c>
      <c r="E589" s="2" t="s">
        <v>4</v>
      </c>
      <c r="F589" s="2" t="s">
        <v>17</v>
      </c>
      <c r="G589" s="2" t="s">
        <v>18</v>
      </c>
      <c r="H589" s="2" t="s">
        <v>333</v>
      </c>
      <c r="I589" s="2" t="s">
        <v>3393</v>
      </c>
      <c r="J589" s="3">
        <v>25.84</v>
      </c>
      <c r="K589" s="3">
        <v>25.84</v>
      </c>
      <c r="L589" s="2" t="s">
        <v>248</v>
      </c>
      <c r="M589" s="2" t="s">
        <v>9</v>
      </c>
      <c r="N589" s="3">
        <v>985</v>
      </c>
      <c r="O589" s="2" t="s">
        <v>10</v>
      </c>
      <c r="P589" s="2" t="s">
        <v>368</v>
      </c>
      <c r="Q589" s="3"/>
      <c r="R589" s="3"/>
      <c r="S589" s="2" t="s">
        <v>21</v>
      </c>
      <c r="T589" s="4">
        <v>44955</v>
      </c>
      <c r="U589" s="2" t="s">
        <v>2128</v>
      </c>
      <c r="V589" s="6">
        <f>(Sales[[#This Row],[Price_retail]]-Sales[[#This Row],[Price_current]])/Sales[[#This Row],[Price_retail]]</f>
        <v>0</v>
      </c>
      <c r="W589" s="3" t="str" cm="1">
        <f t="array" ref="W58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90" spans="1:23" x14ac:dyDescent="0.35">
      <c r="A590" s="2" t="s">
        <v>2129</v>
      </c>
      <c r="B590" s="2" t="s">
        <v>2130</v>
      </c>
      <c r="C590" s="2" t="s">
        <v>1822</v>
      </c>
      <c r="D590" s="2" t="s">
        <v>625</v>
      </c>
      <c r="E590" s="2" t="s">
        <v>4</v>
      </c>
      <c r="F590" s="2" t="s">
        <v>17</v>
      </c>
      <c r="G590" s="2" t="s">
        <v>50</v>
      </c>
      <c r="H590" s="2" t="s">
        <v>333</v>
      </c>
      <c r="I590" s="2" t="s">
        <v>3393</v>
      </c>
      <c r="J590" s="3">
        <v>8.99</v>
      </c>
      <c r="K590" s="3">
        <v>7.74</v>
      </c>
      <c r="L590" s="2" t="s">
        <v>8</v>
      </c>
      <c r="M590" s="2" t="s">
        <v>9</v>
      </c>
      <c r="N590" s="3">
        <v>607</v>
      </c>
      <c r="O590" s="2" t="s">
        <v>36</v>
      </c>
      <c r="P590" s="2" t="s">
        <v>92</v>
      </c>
      <c r="Q590" s="3"/>
      <c r="R590" s="3"/>
      <c r="S590" s="2" t="s">
        <v>21</v>
      </c>
      <c r="T590" s="4">
        <v>44955</v>
      </c>
      <c r="U590" s="2" t="s">
        <v>2131</v>
      </c>
      <c r="V590" s="6">
        <f>(Sales[[#This Row],[Price_retail]]-Sales[[#This Row],[Price_current]])/Sales[[#This Row],[Price_retail]]</f>
        <v>0.13904338153503892</v>
      </c>
      <c r="W590" s="3" t="str" cm="1">
        <f t="array" ref="W590">_xlfn.IFS(Sales[[#This Row],[Discount]]=0%,"No Discount",Sales[[#This Row],[Discount]]&lt;=20%,"Light",Sales[[#This Row],[Discount]]&lt;=50%,"Moderate",Sales[[#This Row],[Discount]]&lt;=80%,"High",
TRUE,"Very High")</f>
        <v>Light</v>
      </c>
    </row>
    <row r="591" spans="1:23" x14ac:dyDescent="0.35">
      <c r="A591" s="2" t="s">
        <v>2132</v>
      </c>
      <c r="B591" s="2" t="s">
        <v>2133</v>
      </c>
      <c r="C591" s="2" t="s">
        <v>399</v>
      </c>
      <c r="D591" s="2" t="s">
        <v>319</v>
      </c>
      <c r="E591" s="2" t="s">
        <v>4</v>
      </c>
      <c r="F591" s="2" t="s">
        <v>5</v>
      </c>
      <c r="G591" s="2" t="s">
        <v>82</v>
      </c>
      <c r="H591" s="2" t="s">
        <v>90</v>
      </c>
      <c r="I591" s="2" t="s">
        <v>3393</v>
      </c>
      <c r="J591" s="3">
        <v>11.78</v>
      </c>
      <c r="K591" s="3">
        <v>11.78</v>
      </c>
      <c r="L591" s="2" t="s">
        <v>3391</v>
      </c>
      <c r="M591" s="2" t="s">
        <v>9</v>
      </c>
      <c r="N591" s="3">
        <v>781</v>
      </c>
      <c r="O591" s="2" t="s">
        <v>359</v>
      </c>
      <c r="P591" s="2" t="s">
        <v>368</v>
      </c>
      <c r="Q591" s="3"/>
      <c r="R591" s="3"/>
      <c r="S591" s="2" t="s">
        <v>21</v>
      </c>
      <c r="T591" s="4">
        <v>44955</v>
      </c>
      <c r="U591" s="2" t="s">
        <v>2134</v>
      </c>
      <c r="V591" s="6">
        <f>(Sales[[#This Row],[Price_retail]]-Sales[[#This Row],[Price_current]])/Sales[[#This Row],[Price_retail]]</f>
        <v>0</v>
      </c>
      <c r="W591" s="3" t="str" cm="1">
        <f t="array" ref="W59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92" spans="1:23" x14ac:dyDescent="0.35">
      <c r="A592" s="2" t="s">
        <v>2135</v>
      </c>
      <c r="B592" s="2" t="s">
        <v>2136</v>
      </c>
      <c r="C592" s="2" t="s">
        <v>3414</v>
      </c>
      <c r="D592" s="2" t="s">
        <v>338</v>
      </c>
      <c r="E592" s="2" t="s">
        <v>4</v>
      </c>
      <c r="F592" s="2" t="s">
        <v>17</v>
      </c>
      <c r="G592" s="2" t="s">
        <v>27</v>
      </c>
      <c r="H592" s="2" t="s">
        <v>90</v>
      </c>
      <c r="I592" s="2" t="s">
        <v>3393</v>
      </c>
      <c r="J592" s="3">
        <v>26.11</v>
      </c>
      <c r="K592" s="3">
        <v>26.11</v>
      </c>
      <c r="L592" s="2" t="s">
        <v>3391</v>
      </c>
      <c r="M592" s="2" t="s">
        <v>9</v>
      </c>
      <c r="N592" s="3">
        <v>79</v>
      </c>
      <c r="O592" s="2" t="s">
        <v>347</v>
      </c>
      <c r="P592" s="2" t="s">
        <v>11</v>
      </c>
      <c r="Q592" s="3"/>
      <c r="R592" s="3"/>
      <c r="S592" s="2" t="s">
        <v>21</v>
      </c>
      <c r="T592" s="4">
        <v>44955</v>
      </c>
      <c r="U592" s="2" t="s">
        <v>2137</v>
      </c>
      <c r="V592" s="6">
        <f>(Sales[[#This Row],[Price_retail]]-Sales[[#This Row],[Price_current]])/Sales[[#This Row],[Price_retail]]</f>
        <v>0</v>
      </c>
      <c r="W592" s="3" t="str" cm="1">
        <f t="array" ref="W5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93" spans="1:23" x14ac:dyDescent="0.35">
      <c r="A593" s="2" t="s">
        <v>2138</v>
      </c>
      <c r="B593" s="2" t="s">
        <v>2139</v>
      </c>
      <c r="C593" s="2" t="s">
        <v>271</v>
      </c>
      <c r="D593" s="2" t="s">
        <v>694</v>
      </c>
      <c r="E593" s="2" t="s">
        <v>4</v>
      </c>
      <c r="F593" s="2" t="s">
        <v>5</v>
      </c>
      <c r="G593" s="2" t="s">
        <v>121</v>
      </c>
      <c r="H593" s="2" t="s">
        <v>139</v>
      </c>
      <c r="I593" s="2" t="s">
        <v>3393</v>
      </c>
      <c r="J593" s="3">
        <v>10.08</v>
      </c>
      <c r="K593" s="3">
        <v>10.08</v>
      </c>
      <c r="L593" s="2" t="s">
        <v>3391</v>
      </c>
      <c r="M593" s="2" t="s">
        <v>9</v>
      </c>
      <c r="N593" s="3">
        <v>931</v>
      </c>
      <c r="O593" s="2" t="s">
        <v>98</v>
      </c>
      <c r="P593" s="2" t="s">
        <v>419</v>
      </c>
      <c r="Q593" s="3"/>
      <c r="R593" s="3"/>
      <c r="S593" s="2" t="s">
        <v>21</v>
      </c>
      <c r="T593" s="4">
        <v>44955</v>
      </c>
      <c r="U593" s="2" t="s">
        <v>2140</v>
      </c>
      <c r="V593" s="6">
        <f>(Sales[[#This Row],[Price_retail]]-Sales[[#This Row],[Price_current]])/Sales[[#This Row],[Price_retail]]</f>
        <v>0</v>
      </c>
      <c r="W593" s="3" t="str" cm="1">
        <f t="array" ref="W5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94" spans="1:23" x14ac:dyDescent="0.35">
      <c r="A594" s="2" t="s">
        <v>2141</v>
      </c>
      <c r="B594" s="2" t="s">
        <v>2142</v>
      </c>
      <c r="C594" s="2" t="s">
        <v>242</v>
      </c>
      <c r="D594" s="2" t="s">
        <v>16</v>
      </c>
      <c r="E594" s="2" t="s">
        <v>4</v>
      </c>
      <c r="F594" s="2" t="s">
        <v>17</v>
      </c>
      <c r="G594" s="2" t="s">
        <v>67</v>
      </c>
      <c r="H594" s="2" t="s">
        <v>19</v>
      </c>
      <c r="I594" s="2" t="s">
        <v>3395</v>
      </c>
      <c r="J594" s="3">
        <v>18.98</v>
      </c>
      <c r="K594" s="3">
        <v>18.98</v>
      </c>
      <c r="L594" s="2" t="s">
        <v>3391</v>
      </c>
      <c r="M594" s="2" t="s">
        <v>9</v>
      </c>
      <c r="N594" s="3">
        <v>860</v>
      </c>
      <c r="O594" s="2" t="s">
        <v>52</v>
      </c>
      <c r="P594" s="2" t="s">
        <v>629</v>
      </c>
      <c r="Q594" s="3"/>
      <c r="R594" s="3"/>
      <c r="S594" s="2" t="s">
        <v>12</v>
      </c>
      <c r="T594" s="4">
        <v>44955</v>
      </c>
      <c r="U594" s="2" t="s">
        <v>2143</v>
      </c>
      <c r="V594" s="6">
        <f>(Sales[[#This Row],[Price_retail]]-Sales[[#This Row],[Price_current]])/Sales[[#This Row],[Price_retail]]</f>
        <v>0</v>
      </c>
      <c r="W594" s="3" t="str" cm="1">
        <f t="array" ref="W59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95" spans="1:23" x14ac:dyDescent="0.35">
      <c r="A595" s="2" t="s">
        <v>2144</v>
      </c>
      <c r="B595" s="2" t="s">
        <v>2145</v>
      </c>
      <c r="C595" s="2" t="s">
        <v>1115</v>
      </c>
      <c r="D595" s="2" t="s">
        <v>1780</v>
      </c>
      <c r="E595" s="2" t="s">
        <v>4</v>
      </c>
      <c r="F595" s="2" t="s">
        <v>17</v>
      </c>
      <c r="G595" s="2" t="s">
        <v>50</v>
      </c>
      <c r="H595" s="2" t="s">
        <v>7</v>
      </c>
      <c r="I595" s="2" t="s">
        <v>3390</v>
      </c>
      <c r="J595" s="3">
        <v>26.39</v>
      </c>
      <c r="K595" s="3">
        <v>20.079999999999998</v>
      </c>
      <c r="L595" s="2" t="s">
        <v>8</v>
      </c>
      <c r="M595" s="2" t="s">
        <v>9</v>
      </c>
      <c r="N595" s="3">
        <v>698</v>
      </c>
      <c r="O595" s="2" t="s">
        <v>43</v>
      </c>
      <c r="P595" s="2" t="s">
        <v>3392</v>
      </c>
      <c r="Q595" s="3"/>
      <c r="R595" s="3"/>
      <c r="S595" s="2" t="s">
        <v>21</v>
      </c>
      <c r="T595" s="4">
        <v>44955</v>
      </c>
      <c r="U595" s="2" t="s">
        <v>2146</v>
      </c>
      <c r="V595" s="6">
        <f>(Sales[[#This Row],[Price_retail]]-Sales[[#This Row],[Price_current]])/Sales[[#This Row],[Price_retail]]</f>
        <v>0.23910572186434265</v>
      </c>
      <c r="W595" s="3" t="str" cm="1">
        <f t="array" ref="W59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96" spans="1:23" x14ac:dyDescent="0.35">
      <c r="A596" s="2" t="s">
        <v>2147</v>
      </c>
      <c r="B596" s="2" t="s">
        <v>2148</v>
      </c>
      <c r="C596" s="2" t="s">
        <v>65</v>
      </c>
      <c r="D596" s="2" t="s">
        <v>711</v>
      </c>
      <c r="E596" s="2" t="s">
        <v>4</v>
      </c>
      <c r="F596" s="2" t="s">
        <v>17</v>
      </c>
      <c r="G596" s="2" t="s">
        <v>27</v>
      </c>
      <c r="H596" s="2" t="s">
        <v>83</v>
      </c>
      <c r="I596" s="2" t="s">
        <v>3395</v>
      </c>
      <c r="J596" s="3">
        <v>8.99</v>
      </c>
      <c r="K596" s="3">
        <v>6.53</v>
      </c>
      <c r="L596" s="2" t="s">
        <v>8</v>
      </c>
      <c r="M596" s="2" t="s">
        <v>9</v>
      </c>
      <c r="N596" s="3">
        <v>744</v>
      </c>
      <c r="O596" s="2" t="s">
        <v>347</v>
      </c>
      <c r="P596" s="2" t="s">
        <v>3392</v>
      </c>
      <c r="Q596" s="3"/>
      <c r="R596" s="3"/>
      <c r="S596" s="2" t="s">
        <v>21</v>
      </c>
      <c r="T596" s="4">
        <v>44955</v>
      </c>
      <c r="U596" s="2" t="s">
        <v>2149</v>
      </c>
      <c r="V596" s="6">
        <f>(Sales[[#This Row],[Price_retail]]-Sales[[#This Row],[Price_current]])/Sales[[#This Row],[Price_retail]]</f>
        <v>0.27363737486095663</v>
      </c>
      <c r="W596" s="3" t="str" cm="1">
        <f t="array" ref="W59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97" spans="1:23" x14ac:dyDescent="0.35">
      <c r="A597" s="2" t="s">
        <v>2150</v>
      </c>
      <c r="B597" s="2" t="s">
        <v>2151</v>
      </c>
      <c r="C597" s="2" t="s">
        <v>65</v>
      </c>
      <c r="D597" s="2" t="s">
        <v>372</v>
      </c>
      <c r="E597" s="2" t="s">
        <v>4</v>
      </c>
      <c r="F597" s="2" t="s">
        <v>5</v>
      </c>
      <c r="G597" s="2" t="s">
        <v>82</v>
      </c>
      <c r="H597" s="2" t="s">
        <v>134</v>
      </c>
      <c r="I597" s="2" t="s">
        <v>3395</v>
      </c>
      <c r="J597" s="3">
        <v>28.87</v>
      </c>
      <c r="K597" s="3">
        <v>28.87</v>
      </c>
      <c r="L597" s="2" t="s">
        <v>3391</v>
      </c>
      <c r="M597" s="2" t="s">
        <v>9</v>
      </c>
      <c r="N597" s="3">
        <v>670</v>
      </c>
      <c r="O597" s="2" t="s">
        <v>3392</v>
      </c>
      <c r="P597" s="2" t="s">
        <v>186</v>
      </c>
      <c r="Q597" s="3"/>
      <c r="R597" s="3"/>
      <c r="S597" s="2" t="s">
        <v>21</v>
      </c>
      <c r="T597" s="4">
        <v>44955</v>
      </c>
      <c r="U597" s="2" t="s">
        <v>2152</v>
      </c>
      <c r="V597" s="6">
        <f>(Sales[[#This Row],[Price_retail]]-Sales[[#This Row],[Price_current]])/Sales[[#This Row],[Price_retail]]</f>
        <v>0</v>
      </c>
      <c r="W597" s="3" t="str" cm="1">
        <f t="array" ref="W59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598" spans="1:23" x14ac:dyDescent="0.35">
      <c r="A598" s="2" t="s">
        <v>2153</v>
      </c>
      <c r="B598" s="2" t="s">
        <v>2154</v>
      </c>
      <c r="C598" s="2" t="s">
        <v>1743</v>
      </c>
      <c r="D598" s="2" t="s">
        <v>58</v>
      </c>
      <c r="E598" s="2" t="s">
        <v>4</v>
      </c>
      <c r="F598" s="2" t="s">
        <v>17</v>
      </c>
      <c r="G598" s="2" t="s">
        <v>67</v>
      </c>
      <c r="H598" s="2" t="s">
        <v>59</v>
      </c>
      <c r="I598" s="2" t="s">
        <v>3393</v>
      </c>
      <c r="J598" s="3">
        <v>15.06</v>
      </c>
      <c r="K598" s="3">
        <v>11.35</v>
      </c>
      <c r="L598" s="2" t="s">
        <v>8</v>
      </c>
      <c r="M598" s="2" t="s">
        <v>9</v>
      </c>
      <c r="N598" s="3">
        <v>413</v>
      </c>
      <c r="O598" s="2" t="s">
        <v>60</v>
      </c>
      <c r="P598" s="2" t="s">
        <v>44</v>
      </c>
      <c r="Q598" s="3"/>
      <c r="R598" s="3"/>
      <c r="S598" s="2" t="s">
        <v>21</v>
      </c>
      <c r="T598" s="4">
        <v>44955</v>
      </c>
      <c r="U598" s="2" t="s">
        <v>2155</v>
      </c>
      <c r="V598" s="6">
        <f>(Sales[[#This Row],[Price_retail]]-Sales[[#This Row],[Price_current]])/Sales[[#This Row],[Price_retail]]</f>
        <v>0.24634794156706513</v>
      </c>
      <c r="W598" s="3" t="str" cm="1">
        <f t="array" ref="W59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599" spans="1:23" x14ac:dyDescent="0.35">
      <c r="A599" s="2" t="s">
        <v>2156</v>
      </c>
      <c r="B599" s="2" t="s">
        <v>2157</v>
      </c>
      <c r="C599" s="2" t="s">
        <v>1747</v>
      </c>
      <c r="D599" s="2" t="s">
        <v>392</v>
      </c>
      <c r="E599" s="2" t="s">
        <v>4</v>
      </c>
      <c r="F599" s="2" t="s">
        <v>17</v>
      </c>
      <c r="G599" s="2" t="s">
        <v>50</v>
      </c>
      <c r="H599" s="2" t="s">
        <v>19</v>
      </c>
      <c r="I599" s="2" t="s">
        <v>3390</v>
      </c>
      <c r="J599" s="3">
        <v>12.47</v>
      </c>
      <c r="K599" s="3">
        <v>12.47</v>
      </c>
      <c r="L599" s="2" t="s">
        <v>3391</v>
      </c>
      <c r="M599" s="2" t="s">
        <v>9</v>
      </c>
      <c r="N599" s="3">
        <v>258</v>
      </c>
      <c r="O599" s="2" t="s">
        <v>3392</v>
      </c>
      <c r="P599" s="2" t="s">
        <v>37</v>
      </c>
      <c r="Q599" s="3"/>
      <c r="R599" s="3"/>
      <c r="S599" s="2" t="s">
        <v>21</v>
      </c>
      <c r="T599" s="4">
        <v>44955</v>
      </c>
      <c r="U599" s="2" t="s">
        <v>2158</v>
      </c>
      <c r="V599" s="6">
        <f>(Sales[[#This Row],[Price_retail]]-Sales[[#This Row],[Price_current]])/Sales[[#This Row],[Price_retail]]</f>
        <v>0</v>
      </c>
      <c r="W599" s="3" t="str" cm="1">
        <f t="array" ref="W59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0" spans="1:23" x14ac:dyDescent="0.35">
      <c r="A600" s="2" t="s">
        <v>2159</v>
      </c>
      <c r="B600" s="2" t="s">
        <v>2160</v>
      </c>
      <c r="C600" s="2" t="s">
        <v>265</v>
      </c>
      <c r="D600" s="2" t="s">
        <v>408</v>
      </c>
      <c r="E600" s="2" t="s">
        <v>4</v>
      </c>
      <c r="F600" s="2" t="s">
        <v>5</v>
      </c>
      <c r="G600" s="2" t="s">
        <v>6</v>
      </c>
      <c r="H600" s="2" t="s">
        <v>28</v>
      </c>
      <c r="I600" s="2" t="s">
        <v>3395</v>
      </c>
      <c r="J600" s="3">
        <v>18.47</v>
      </c>
      <c r="K600" s="3">
        <v>12.24</v>
      </c>
      <c r="L600" s="2" t="s">
        <v>8</v>
      </c>
      <c r="M600" s="2" t="s">
        <v>9</v>
      </c>
      <c r="N600" s="3">
        <v>508</v>
      </c>
      <c r="O600" s="2" t="s">
        <v>3392</v>
      </c>
      <c r="P600" s="2" t="s">
        <v>186</v>
      </c>
      <c r="Q600" s="3"/>
      <c r="R600" s="3"/>
      <c r="S600" s="2" t="s">
        <v>21</v>
      </c>
      <c r="T600" s="4">
        <v>44955</v>
      </c>
      <c r="U600" s="2" t="s">
        <v>2161</v>
      </c>
      <c r="V600" s="6">
        <f>(Sales[[#This Row],[Price_retail]]-Sales[[#This Row],[Price_current]])/Sales[[#This Row],[Price_retail]]</f>
        <v>0.3373037357877639</v>
      </c>
      <c r="W600" s="3" t="str" cm="1">
        <f t="array" ref="W60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01" spans="1:23" x14ac:dyDescent="0.35">
      <c r="A601" s="2" t="s">
        <v>2162</v>
      </c>
      <c r="B601" s="2" t="s">
        <v>2163</v>
      </c>
      <c r="C601" s="2" t="s">
        <v>616</v>
      </c>
      <c r="D601" s="2" t="s">
        <v>1780</v>
      </c>
      <c r="E601" s="2" t="s">
        <v>4</v>
      </c>
      <c r="F601" s="2" t="s">
        <v>17</v>
      </c>
      <c r="G601" s="2" t="s">
        <v>67</v>
      </c>
      <c r="H601" s="2" t="s">
        <v>7</v>
      </c>
      <c r="I601" s="2" t="s">
        <v>3393</v>
      </c>
      <c r="J601" s="3">
        <v>22.46</v>
      </c>
      <c r="K601" s="3">
        <v>15.97</v>
      </c>
      <c r="L601" s="2" t="s">
        <v>8</v>
      </c>
      <c r="M601" s="2" t="s">
        <v>9</v>
      </c>
      <c r="N601" s="3">
        <v>679</v>
      </c>
      <c r="O601" s="2" t="s">
        <v>43</v>
      </c>
      <c r="P601" s="2" t="s">
        <v>92</v>
      </c>
      <c r="Q601" s="3"/>
      <c r="R601" s="3"/>
      <c r="S601" s="2" t="s">
        <v>21</v>
      </c>
      <c r="T601" s="4">
        <v>44955</v>
      </c>
      <c r="U601" s="2" t="s">
        <v>2164</v>
      </c>
      <c r="V601" s="6">
        <f>(Sales[[#This Row],[Price_retail]]-Sales[[#This Row],[Price_current]])/Sales[[#This Row],[Price_retail]]</f>
        <v>0.28895814781834372</v>
      </c>
      <c r="W601" s="3" t="str" cm="1">
        <f t="array" ref="W60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02" spans="1:23" x14ac:dyDescent="0.35">
      <c r="A602" s="2" t="s">
        <v>2165</v>
      </c>
      <c r="B602" s="2" t="s">
        <v>2166</v>
      </c>
      <c r="C602" s="2" t="s">
        <v>2915</v>
      </c>
      <c r="D602" s="2" t="s">
        <v>573</v>
      </c>
      <c r="E602" s="2" t="s">
        <v>4</v>
      </c>
      <c r="F602" s="2" t="s">
        <v>5</v>
      </c>
      <c r="G602" s="2" t="s">
        <v>82</v>
      </c>
      <c r="H602" s="2" t="s">
        <v>68</v>
      </c>
      <c r="I602" s="2" t="s">
        <v>3395</v>
      </c>
      <c r="J602" s="3">
        <v>16.91</v>
      </c>
      <c r="K602" s="3">
        <v>16.91</v>
      </c>
      <c r="L602" s="2" t="s">
        <v>3391</v>
      </c>
      <c r="M602" s="2" t="s">
        <v>9</v>
      </c>
      <c r="N602" s="3">
        <v>742</v>
      </c>
      <c r="O602" s="2" t="s">
        <v>3392</v>
      </c>
      <c r="P602" s="2" t="s">
        <v>3392</v>
      </c>
      <c r="Q602" s="3"/>
      <c r="R602" s="3"/>
      <c r="S602" s="2" t="s">
        <v>12</v>
      </c>
      <c r="T602" s="4">
        <v>44955</v>
      </c>
      <c r="U602" s="2" t="s">
        <v>2167</v>
      </c>
      <c r="V602" s="6">
        <f>(Sales[[#This Row],[Price_retail]]-Sales[[#This Row],[Price_current]])/Sales[[#This Row],[Price_retail]]</f>
        <v>0</v>
      </c>
      <c r="W602" s="3" t="str" cm="1">
        <f t="array" ref="W60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3" spans="1:23" x14ac:dyDescent="0.35">
      <c r="A603" s="2" t="s">
        <v>2168</v>
      </c>
      <c r="B603" s="2" t="s">
        <v>2169</v>
      </c>
      <c r="C603" s="2" t="s">
        <v>41</v>
      </c>
      <c r="D603" s="2" t="s">
        <v>1324</v>
      </c>
      <c r="E603" s="2" t="s">
        <v>4</v>
      </c>
      <c r="F603" s="2" t="s">
        <v>17</v>
      </c>
      <c r="G603" s="2" t="s">
        <v>50</v>
      </c>
      <c r="H603" s="2" t="s">
        <v>19</v>
      </c>
      <c r="I603" s="2" t="s">
        <v>3390</v>
      </c>
      <c r="J603" s="3">
        <v>12.74</v>
      </c>
      <c r="K603" s="3">
        <v>12.74</v>
      </c>
      <c r="L603" s="2" t="s">
        <v>248</v>
      </c>
      <c r="M603" s="2" t="s">
        <v>9</v>
      </c>
      <c r="N603" s="3">
        <v>800</v>
      </c>
      <c r="O603" s="2" t="s">
        <v>60</v>
      </c>
      <c r="P603" s="2" t="s">
        <v>186</v>
      </c>
      <c r="Q603" s="3"/>
      <c r="R603" s="3"/>
      <c r="S603" s="2" t="s">
        <v>21</v>
      </c>
      <c r="T603" s="4">
        <v>44955</v>
      </c>
      <c r="U603" s="2" t="s">
        <v>2170</v>
      </c>
      <c r="V603" s="6">
        <f>(Sales[[#This Row],[Price_retail]]-Sales[[#This Row],[Price_current]])/Sales[[#This Row],[Price_retail]]</f>
        <v>0</v>
      </c>
      <c r="W603" s="3" t="str" cm="1">
        <f t="array" ref="W60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4" spans="1:23" x14ac:dyDescent="0.35">
      <c r="A604" s="2" t="s">
        <v>2171</v>
      </c>
      <c r="B604" s="2" t="s">
        <v>2172</v>
      </c>
      <c r="C604" s="2" t="s">
        <v>1743</v>
      </c>
      <c r="D604" s="2" t="s">
        <v>804</v>
      </c>
      <c r="E604" s="2" t="s">
        <v>4</v>
      </c>
      <c r="F604" s="2" t="s">
        <v>5</v>
      </c>
      <c r="G604" s="2" t="s">
        <v>82</v>
      </c>
      <c r="H604" s="2" t="s">
        <v>19</v>
      </c>
      <c r="I604" s="2" t="s">
        <v>3390</v>
      </c>
      <c r="J604" s="3">
        <v>23.29</v>
      </c>
      <c r="K604" s="3">
        <v>23.29</v>
      </c>
      <c r="L604" s="2" t="s">
        <v>3391</v>
      </c>
      <c r="M604" s="2" t="s">
        <v>9</v>
      </c>
      <c r="N604" s="3">
        <v>848</v>
      </c>
      <c r="O604" s="2" t="s">
        <v>287</v>
      </c>
      <c r="P604" s="2" t="s">
        <v>221</v>
      </c>
      <c r="Q604" s="3"/>
      <c r="R604" s="3"/>
      <c r="S604" s="2" t="s">
        <v>21</v>
      </c>
      <c r="T604" s="4">
        <v>44955</v>
      </c>
      <c r="U604" s="2" t="s">
        <v>2173</v>
      </c>
      <c r="V604" s="6">
        <f>(Sales[[#This Row],[Price_retail]]-Sales[[#This Row],[Price_current]])/Sales[[#This Row],[Price_retail]]</f>
        <v>0</v>
      </c>
      <c r="W604" s="3" t="str" cm="1">
        <f t="array" ref="W60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5" spans="1:23" x14ac:dyDescent="0.35">
      <c r="A605" s="2" t="s">
        <v>2174</v>
      </c>
      <c r="B605" s="2" t="s">
        <v>2175</v>
      </c>
      <c r="C605" s="2" t="s">
        <v>423</v>
      </c>
      <c r="D605" s="2" t="s">
        <v>392</v>
      </c>
      <c r="E605" s="2" t="s">
        <v>4</v>
      </c>
      <c r="F605" s="2" t="s">
        <v>17</v>
      </c>
      <c r="G605" s="2" t="s">
        <v>67</v>
      </c>
      <c r="H605" s="2" t="s">
        <v>19</v>
      </c>
      <c r="I605" s="2" t="s">
        <v>3393</v>
      </c>
      <c r="J605" s="3">
        <v>16.07</v>
      </c>
      <c r="K605" s="3">
        <v>8.4499999999999993</v>
      </c>
      <c r="L605" s="2" t="s">
        <v>8</v>
      </c>
      <c r="M605" s="2" t="s">
        <v>9</v>
      </c>
      <c r="N605" s="3">
        <v>789</v>
      </c>
      <c r="O605" s="2" t="s">
        <v>43</v>
      </c>
      <c r="P605" s="2" t="s">
        <v>221</v>
      </c>
      <c r="Q605" s="3"/>
      <c r="R605" s="3"/>
      <c r="S605" s="2" t="s">
        <v>21</v>
      </c>
      <c r="T605" s="4">
        <v>44955</v>
      </c>
      <c r="U605" s="2" t="s">
        <v>2176</v>
      </c>
      <c r="V605" s="6">
        <f>(Sales[[#This Row],[Price_retail]]-Sales[[#This Row],[Price_current]])/Sales[[#This Row],[Price_retail]]</f>
        <v>0.47417548226509026</v>
      </c>
      <c r="W605" s="3" t="str" cm="1">
        <f t="array" ref="W60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06" spans="1:23" x14ac:dyDescent="0.35">
      <c r="A606" s="2" t="s">
        <v>2177</v>
      </c>
      <c r="B606" s="2" t="s">
        <v>2178</v>
      </c>
      <c r="C606" s="2" t="s">
        <v>2179</v>
      </c>
      <c r="D606" s="2" t="s">
        <v>81</v>
      </c>
      <c r="E606" s="2" t="s">
        <v>4</v>
      </c>
      <c r="F606" s="2" t="s">
        <v>5</v>
      </c>
      <c r="G606" s="2" t="s">
        <v>121</v>
      </c>
      <c r="H606" s="2" t="s">
        <v>83</v>
      </c>
      <c r="I606" s="2" t="s">
        <v>3395</v>
      </c>
      <c r="J606" s="3">
        <v>13.78</v>
      </c>
      <c r="K606" s="3">
        <v>13.78</v>
      </c>
      <c r="L606" s="2" t="s">
        <v>3391</v>
      </c>
      <c r="M606" s="2" t="s">
        <v>9</v>
      </c>
      <c r="N606" s="3">
        <v>352</v>
      </c>
      <c r="O606" s="2" t="s">
        <v>36</v>
      </c>
      <c r="P606" s="2" t="s">
        <v>177</v>
      </c>
      <c r="Q606" s="3"/>
      <c r="R606" s="3"/>
      <c r="S606" s="2" t="s">
        <v>21</v>
      </c>
      <c r="T606" s="4">
        <v>44955</v>
      </c>
      <c r="U606" s="2" t="s">
        <v>2180</v>
      </c>
      <c r="V606" s="6">
        <f>(Sales[[#This Row],[Price_retail]]-Sales[[#This Row],[Price_current]])/Sales[[#This Row],[Price_retail]]</f>
        <v>0</v>
      </c>
      <c r="W606" s="3" t="str" cm="1">
        <f t="array" ref="W6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7" spans="1:23" x14ac:dyDescent="0.35">
      <c r="A607" s="2" t="s">
        <v>2181</v>
      </c>
      <c r="B607" s="2" t="s">
        <v>2182</v>
      </c>
      <c r="C607" s="2" t="s">
        <v>3426</v>
      </c>
      <c r="D607" s="2" t="s">
        <v>604</v>
      </c>
      <c r="E607" s="2" t="s">
        <v>4</v>
      </c>
      <c r="F607" s="2" t="s">
        <v>5</v>
      </c>
      <c r="G607" s="2" t="s">
        <v>82</v>
      </c>
      <c r="H607" s="2" t="s">
        <v>418</v>
      </c>
      <c r="I607" s="2" t="s">
        <v>3393</v>
      </c>
      <c r="J607" s="3">
        <v>8.99</v>
      </c>
      <c r="K607" s="3">
        <v>8.99</v>
      </c>
      <c r="L607" s="2" t="s">
        <v>3391</v>
      </c>
      <c r="M607" s="2" t="s">
        <v>9</v>
      </c>
      <c r="N607" s="3">
        <v>481</v>
      </c>
      <c r="O607" s="2" t="s">
        <v>52</v>
      </c>
      <c r="P607" s="2" t="s">
        <v>186</v>
      </c>
      <c r="Q607" s="3"/>
      <c r="R607" s="3"/>
      <c r="S607" s="2" t="s">
        <v>12</v>
      </c>
      <c r="T607" s="4">
        <v>44955</v>
      </c>
      <c r="U607" s="2" t="s">
        <v>2183</v>
      </c>
      <c r="V607" s="6">
        <f>(Sales[[#This Row],[Price_retail]]-Sales[[#This Row],[Price_current]])/Sales[[#This Row],[Price_retail]]</f>
        <v>0</v>
      </c>
      <c r="W607" s="3" t="str" cm="1">
        <f t="array" ref="W60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08" spans="1:23" x14ac:dyDescent="0.35">
      <c r="A608" s="2" t="s">
        <v>2184</v>
      </c>
      <c r="B608" s="2" t="s">
        <v>2185</v>
      </c>
      <c r="C608" s="2" t="s">
        <v>3396</v>
      </c>
      <c r="D608" s="2" t="s">
        <v>1050</v>
      </c>
      <c r="E608" s="2" t="s">
        <v>4</v>
      </c>
      <c r="F608" s="2" t="s">
        <v>5</v>
      </c>
      <c r="G608" s="2" t="s">
        <v>121</v>
      </c>
      <c r="H608" s="2" t="s">
        <v>68</v>
      </c>
      <c r="I608" s="2" t="s">
        <v>3393</v>
      </c>
      <c r="J608" s="3">
        <v>8.99</v>
      </c>
      <c r="K608" s="3">
        <v>6.46</v>
      </c>
      <c r="L608" s="2" t="s">
        <v>8</v>
      </c>
      <c r="M608" s="2" t="s">
        <v>9</v>
      </c>
      <c r="N608" s="3">
        <v>970</v>
      </c>
      <c r="O608" s="2" t="s">
        <v>52</v>
      </c>
      <c r="P608" s="2" t="s">
        <v>192</v>
      </c>
      <c r="Q608" s="3"/>
      <c r="R608" s="3"/>
      <c r="S608" s="2" t="s">
        <v>12</v>
      </c>
      <c r="T608" s="4">
        <v>44955</v>
      </c>
      <c r="U608" s="2" t="s">
        <v>2186</v>
      </c>
      <c r="V608" s="6">
        <f>(Sales[[#This Row],[Price_retail]]-Sales[[#This Row],[Price_current]])/Sales[[#This Row],[Price_retail]]</f>
        <v>0.28142380422691882</v>
      </c>
      <c r="W608" s="3" t="str" cm="1">
        <f t="array" ref="W60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09" spans="1:23" x14ac:dyDescent="0.35">
      <c r="A609" s="2" t="s">
        <v>2187</v>
      </c>
      <c r="B609" s="2" t="s">
        <v>2188</v>
      </c>
      <c r="C609" s="2" t="s">
        <v>1481</v>
      </c>
      <c r="D609" s="2" t="s">
        <v>296</v>
      </c>
      <c r="E609" s="2" t="s">
        <v>4</v>
      </c>
      <c r="F609" s="2" t="s">
        <v>5</v>
      </c>
      <c r="G609" s="2" t="s">
        <v>6</v>
      </c>
      <c r="H609" s="2" t="s">
        <v>145</v>
      </c>
      <c r="I609" s="2" t="s">
        <v>3393</v>
      </c>
      <c r="J609" s="3">
        <v>8.99</v>
      </c>
      <c r="K609" s="3">
        <v>7.52</v>
      </c>
      <c r="L609" s="2" t="s">
        <v>8</v>
      </c>
      <c r="M609" s="2" t="s">
        <v>9</v>
      </c>
      <c r="N609" s="3">
        <v>687</v>
      </c>
      <c r="O609" s="2" t="s">
        <v>287</v>
      </c>
      <c r="P609" s="2" t="s">
        <v>37</v>
      </c>
      <c r="Q609" s="3"/>
      <c r="R609" s="3"/>
      <c r="S609" s="2" t="s">
        <v>21</v>
      </c>
      <c r="T609" s="4">
        <v>44955</v>
      </c>
      <c r="U609" s="2" t="s">
        <v>2189</v>
      </c>
      <c r="V609" s="6">
        <f>(Sales[[#This Row],[Price_retail]]-Sales[[#This Row],[Price_current]])/Sales[[#This Row],[Price_retail]]</f>
        <v>0.16351501668520585</v>
      </c>
      <c r="W609" s="3" t="str" cm="1">
        <f t="array" ref="W609">_xlfn.IFS(Sales[[#This Row],[Discount]]=0%,"No Discount",Sales[[#This Row],[Discount]]&lt;=20%,"Light",Sales[[#This Row],[Discount]]&lt;=50%,"Moderate",Sales[[#This Row],[Discount]]&lt;=80%,"High",
TRUE,"Very High")</f>
        <v>Light</v>
      </c>
    </row>
    <row r="610" spans="1:23" x14ac:dyDescent="0.35">
      <c r="A610" s="2" t="s">
        <v>2190</v>
      </c>
      <c r="B610" s="2" t="s">
        <v>2191</v>
      </c>
      <c r="C610" s="2" t="s">
        <v>1743</v>
      </c>
      <c r="D610" s="2" t="s">
        <v>392</v>
      </c>
      <c r="E610" s="2" t="s">
        <v>4</v>
      </c>
      <c r="F610" s="2" t="s">
        <v>17</v>
      </c>
      <c r="G610" s="2" t="s">
        <v>50</v>
      </c>
      <c r="H610" s="2" t="s">
        <v>19</v>
      </c>
      <c r="I610" s="2" t="s">
        <v>3390</v>
      </c>
      <c r="J610" s="3">
        <v>18.23</v>
      </c>
      <c r="K610" s="3">
        <v>18.23</v>
      </c>
      <c r="L610" s="2" t="s">
        <v>3391</v>
      </c>
      <c r="M610" s="2" t="s">
        <v>9</v>
      </c>
      <c r="N610" s="3">
        <v>134</v>
      </c>
      <c r="O610" s="2" t="s">
        <v>191</v>
      </c>
      <c r="P610" s="2" t="s">
        <v>92</v>
      </c>
      <c r="Q610" s="3"/>
      <c r="R610" s="3"/>
      <c r="S610" s="2" t="s">
        <v>21</v>
      </c>
      <c r="T610" s="4">
        <v>44955</v>
      </c>
      <c r="U610" s="2" t="s">
        <v>2192</v>
      </c>
      <c r="V610" s="6">
        <f>(Sales[[#This Row],[Price_retail]]-Sales[[#This Row],[Price_current]])/Sales[[#This Row],[Price_retail]]</f>
        <v>0</v>
      </c>
      <c r="W610" s="3" t="str" cm="1">
        <f t="array" ref="W6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1" spans="1:23" x14ac:dyDescent="0.35">
      <c r="A611" s="2" t="s">
        <v>2193</v>
      </c>
      <c r="B611" s="2" t="s">
        <v>2194</v>
      </c>
      <c r="C611" s="2" t="s">
        <v>323</v>
      </c>
      <c r="D611" s="2" t="s">
        <v>3</v>
      </c>
      <c r="E611" s="2" t="s">
        <v>4</v>
      </c>
      <c r="F611" s="2" t="s">
        <v>5</v>
      </c>
      <c r="G611" s="2" t="s">
        <v>121</v>
      </c>
      <c r="H611" s="2" t="s">
        <v>7</v>
      </c>
      <c r="I611" s="2" t="s">
        <v>3390</v>
      </c>
      <c r="J611" s="3">
        <v>28.89</v>
      </c>
      <c r="K611" s="3">
        <v>28.89</v>
      </c>
      <c r="L611" s="2" t="s">
        <v>3391</v>
      </c>
      <c r="M611" s="2" t="s">
        <v>9</v>
      </c>
      <c r="N611" s="3">
        <v>309</v>
      </c>
      <c r="O611" s="2" t="s">
        <v>347</v>
      </c>
      <c r="P611" s="2" t="s">
        <v>186</v>
      </c>
      <c r="Q611" s="3"/>
      <c r="R611" s="3"/>
      <c r="S611" s="2" t="s">
        <v>12</v>
      </c>
      <c r="T611" s="4">
        <v>44955</v>
      </c>
      <c r="U611" s="2" t="s">
        <v>2195</v>
      </c>
      <c r="V611" s="6">
        <f>(Sales[[#This Row],[Price_retail]]-Sales[[#This Row],[Price_current]])/Sales[[#This Row],[Price_retail]]</f>
        <v>0</v>
      </c>
      <c r="W611" s="3" t="str" cm="1">
        <f t="array" ref="W61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2" spans="1:23" x14ac:dyDescent="0.35">
      <c r="A612" s="2" t="s">
        <v>2196</v>
      </c>
      <c r="B612" s="2" t="s">
        <v>2197</v>
      </c>
      <c r="C612" s="2" t="s">
        <v>616</v>
      </c>
      <c r="D612" s="2" t="s">
        <v>376</v>
      </c>
      <c r="E612" s="2" t="s">
        <v>4</v>
      </c>
      <c r="F612" s="2" t="s">
        <v>17</v>
      </c>
      <c r="G612" s="2" t="s">
        <v>27</v>
      </c>
      <c r="H612" s="2" t="s">
        <v>168</v>
      </c>
      <c r="I612" s="2" t="s">
        <v>3393</v>
      </c>
      <c r="J612" s="3">
        <v>8.99</v>
      </c>
      <c r="K612" s="3">
        <v>6.78</v>
      </c>
      <c r="L612" s="2" t="s">
        <v>8</v>
      </c>
      <c r="M612" s="2" t="s">
        <v>9</v>
      </c>
      <c r="N612" s="3">
        <v>414</v>
      </c>
      <c r="O612" s="2" t="s">
        <v>43</v>
      </c>
      <c r="P612" s="2" t="s">
        <v>3392</v>
      </c>
      <c r="Q612" s="3"/>
      <c r="R612" s="3"/>
      <c r="S612" s="2" t="s">
        <v>12</v>
      </c>
      <c r="T612" s="4">
        <v>44955</v>
      </c>
      <c r="U612" s="2" t="s">
        <v>2198</v>
      </c>
      <c r="V612" s="6">
        <f>(Sales[[#This Row],[Price_retail]]-Sales[[#This Row],[Price_current]])/Sales[[#This Row],[Price_retail]]</f>
        <v>0.24582869855394882</v>
      </c>
      <c r="W612" s="3" t="str" cm="1">
        <f t="array" ref="W61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13" spans="1:23" x14ac:dyDescent="0.35">
      <c r="A613" s="2" t="s">
        <v>2199</v>
      </c>
      <c r="B613" s="2" t="s">
        <v>2200</v>
      </c>
      <c r="C613" s="2" t="s">
        <v>3398</v>
      </c>
      <c r="D613" s="2" t="s">
        <v>205</v>
      </c>
      <c r="E613" s="2" t="s">
        <v>4</v>
      </c>
      <c r="F613" s="2" t="s">
        <v>17</v>
      </c>
      <c r="G613" s="2" t="s">
        <v>67</v>
      </c>
      <c r="H613" s="2" t="s">
        <v>145</v>
      </c>
      <c r="I613" s="2" t="s">
        <v>3390</v>
      </c>
      <c r="J613" s="3">
        <v>22.31</v>
      </c>
      <c r="K613" s="3">
        <v>22.31</v>
      </c>
      <c r="L613" s="2" t="s">
        <v>3391</v>
      </c>
      <c r="M613" s="2" t="s">
        <v>9</v>
      </c>
      <c r="N613" s="3">
        <v>875</v>
      </c>
      <c r="O613" s="2" t="s">
        <v>98</v>
      </c>
      <c r="P613" s="2" t="s">
        <v>84</v>
      </c>
      <c r="Q613" s="3"/>
      <c r="R613" s="3"/>
      <c r="S613" s="2" t="s">
        <v>21</v>
      </c>
      <c r="T613" s="4">
        <v>44955</v>
      </c>
      <c r="U613" s="2" t="s">
        <v>2201</v>
      </c>
      <c r="V613" s="6">
        <f>(Sales[[#This Row],[Price_retail]]-Sales[[#This Row],[Price_current]])/Sales[[#This Row],[Price_retail]]</f>
        <v>0</v>
      </c>
      <c r="W613" s="3" t="str" cm="1">
        <f t="array" ref="W61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4" spans="1:23" x14ac:dyDescent="0.35">
      <c r="A614" s="2" t="s">
        <v>2202</v>
      </c>
      <c r="B614" s="2" t="s">
        <v>2203</v>
      </c>
      <c r="C614" s="2" t="s">
        <v>1355</v>
      </c>
      <c r="D614" s="2" t="s">
        <v>3</v>
      </c>
      <c r="E614" s="2" t="s">
        <v>4</v>
      </c>
      <c r="F614" s="2" t="s">
        <v>5</v>
      </c>
      <c r="G614" s="2" t="s">
        <v>121</v>
      </c>
      <c r="H614" s="2" t="s">
        <v>7</v>
      </c>
      <c r="I614" s="2" t="s">
        <v>3389</v>
      </c>
      <c r="J614" s="3">
        <v>33.31</v>
      </c>
      <c r="K614" s="3">
        <v>33.31</v>
      </c>
      <c r="L614" s="2" t="s">
        <v>248</v>
      </c>
      <c r="M614" s="2" t="s">
        <v>9</v>
      </c>
      <c r="N614" s="3">
        <v>719</v>
      </c>
      <c r="O614" s="2" t="s">
        <v>3392</v>
      </c>
      <c r="P614" s="2" t="s">
        <v>128</v>
      </c>
      <c r="Q614" s="3"/>
      <c r="R614" s="3"/>
      <c r="S614" s="2" t="s">
        <v>12</v>
      </c>
      <c r="T614" s="4">
        <v>44955</v>
      </c>
      <c r="U614" s="2" t="s">
        <v>2204</v>
      </c>
      <c r="V614" s="6">
        <f>(Sales[[#This Row],[Price_retail]]-Sales[[#This Row],[Price_current]])/Sales[[#This Row],[Price_retail]]</f>
        <v>0</v>
      </c>
      <c r="W614" s="3" t="str" cm="1">
        <f t="array" ref="W6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5" spans="1:23" x14ac:dyDescent="0.35">
      <c r="A615" s="2" t="s">
        <v>2205</v>
      </c>
      <c r="B615" s="2" t="s">
        <v>2206</v>
      </c>
      <c r="C615" s="2" t="s">
        <v>616</v>
      </c>
      <c r="D615" s="2" t="s">
        <v>181</v>
      </c>
      <c r="E615" s="2" t="s">
        <v>4</v>
      </c>
      <c r="F615" s="2" t="s">
        <v>5</v>
      </c>
      <c r="G615" s="2" t="s">
        <v>6</v>
      </c>
      <c r="H615" s="2" t="s">
        <v>68</v>
      </c>
      <c r="I615" s="2" t="s">
        <v>3389</v>
      </c>
      <c r="J615" s="3">
        <v>11.26</v>
      </c>
      <c r="K615" s="3">
        <v>11.26</v>
      </c>
      <c r="L615" s="2" t="s">
        <v>3391</v>
      </c>
      <c r="M615" s="2" t="s">
        <v>9</v>
      </c>
      <c r="N615" s="3">
        <v>596</v>
      </c>
      <c r="O615" s="2" t="s">
        <v>91</v>
      </c>
      <c r="P615" s="2" t="s">
        <v>44</v>
      </c>
      <c r="Q615" s="3"/>
      <c r="R615" s="3"/>
      <c r="S615" s="2" t="s">
        <v>21</v>
      </c>
      <c r="T615" s="4">
        <v>44955</v>
      </c>
      <c r="U615" s="2" t="s">
        <v>2207</v>
      </c>
      <c r="V615" s="6">
        <f>(Sales[[#This Row],[Price_retail]]-Sales[[#This Row],[Price_current]])/Sales[[#This Row],[Price_retail]]</f>
        <v>0</v>
      </c>
      <c r="W615" s="3" t="str" cm="1">
        <f t="array" ref="W61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6" spans="1:23" x14ac:dyDescent="0.35">
      <c r="A616" s="2" t="s">
        <v>2208</v>
      </c>
      <c r="B616" s="2" t="s">
        <v>2209</v>
      </c>
      <c r="C616" s="2" t="s">
        <v>2210</v>
      </c>
      <c r="D616" s="2" t="s">
        <v>704</v>
      </c>
      <c r="E616" s="2" t="s">
        <v>4</v>
      </c>
      <c r="F616" s="2" t="s">
        <v>17</v>
      </c>
      <c r="G616" s="2" t="s">
        <v>50</v>
      </c>
      <c r="H616" s="2" t="s">
        <v>51</v>
      </c>
      <c r="I616" s="2" t="s">
        <v>3390</v>
      </c>
      <c r="J616" s="3">
        <v>8.99</v>
      </c>
      <c r="K616" s="3">
        <v>8.99</v>
      </c>
      <c r="L616" s="2" t="s">
        <v>3391</v>
      </c>
      <c r="M616" s="2" t="s">
        <v>9</v>
      </c>
      <c r="N616" s="3">
        <v>807</v>
      </c>
      <c r="O616" s="2" t="s">
        <v>140</v>
      </c>
      <c r="P616" s="2" t="s">
        <v>2211</v>
      </c>
      <c r="Q616" s="3"/>
      <c r="R616" s="3"/>
      <c r="S616" s="2" t="s">
        <v>21</v>
      </c>
      <c r="T616" s="4">
        <v>44955</v>
      </c>
      <c r="U616" s="2" t="s">
        <v>2212</v>
      </c>
      <c r="V616" s="6">
        <f>(Sales[[#This Row],[Price_retail]]-Sales[[#This Row],[Price_current]])/Sales[[#This Row],[Price_retail]]</f>
        <v>0</v>
      </c>
      <c r="W616" s="3" t="str" cm="1">
        <f t="array" ref="W61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7" spans="1:23" x14ac:dyDescent="0.35">
      <c r="A617" s="2" t="s">
        <v>2213</v>
      </c>
      <c r="B617" s="2" t="s">
        <v>2214</v>
      </c>
      <c r="C617" s="2" t="s">
        <v>318</v>
      </c>
      <c r="D617" s="2" t="s">
        <v>167</v>
      </c>
      <c r="E617" s="2" t="s">
        <v>4</v>
      </c>
      <c r="F617" s="2" t="s">
        <v>17</v>
      </c>
      <c r="G617" s="2" t="s">
        <v>27</v>
      </c>
      <c r="H617" s="2" t="s">
        <v>168</v>
      </c>
      <c r="I617" s="2" t="s">
        <v>3395</v>
      </c>
      <c r="J617" s="3">
        <v>10.59</v>
      </c>
      <c r="K617" s="3">
        <v>10.59</v>
      </c>
      <c r="L617" s="2" t="s">
        <v>3391</v>
      </c>
      <c r="M617" s="2" t="s">
        <v>9</v>
      </c>
      <c r="N617" s="3">
        <v>108</v>
      </c>
      <c r="O617" s="2" t="s">
        <v>69</v>
      </c>
      <c r="P617" s="2" t="s">
        <v>44</v>
      </c>
      <c r="Q617" s="3"/>
      <c r="R617" s="3"/>
      <c r="S617" s="2" t="s">
        <v>21</v>
      </c>
      <c r="T617" s="4">
        <v>44955</v>
      </c>
      <c r="U617" s="2" t="s">
        <v>2215</v>
      </c>
      <c r="V617" s="6">
        <f>(Sales[[#This Row],[Price_retail]]-Sales[[#This Row],[Price_current]])/Sales[[#This Row],[Price_retail]]</f>
        <v>0</v>
      </c>
      <c r="W617" s="3" t="str" cm="1">
        <f t="array" ref="W61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8" spans="1:23" x14ac:dyDescent="0.35">
      <c r="A618" s="2" t="s">
        <v>2216</v>
      </c>
      <c r="B618" s="2" t="s">
        <v>2217</v>
      </c>
      <c r="C618" s="2" t="s">
        <v>65</v>
      </c>
      <c r="D618" s="2" t="s">
        <v>612</v>
      </c>
      <c r="E618" s="2" t="s">
        <v>4</v>
      </c>
      <c r="F618" s="2" t="s">
        <v>17</v>
      </c>
      <c r="G618" s="2" t="s">
        <v>27</v>
      </c>
      <c r="H618" s="2" t="s">
        <v>59</v>
      </c>
      <c r="I618" s="2" t="s">
        <v>3395</v>
      </c>
      <c r="J618" s="3">
        <v>25.03</v>
      </c>
      <c r="K618" s="3">
        <v>25.03</v>
      </c>
      <c r="L618" s="2" t="s">
        <v>3391</v>
      </c>
      <c r="M618" s="2" t="s">
        <v>9</v>
      </c>
      <c r="N618" s="3">
        <v>148</v>
      </c>
      <c r="O618" s="2" t="s">
        <v>3392</v>
      </c>
      <c r="P618" s="2" t="s">
        <v>92</v>
      </c>
      <c r="Q618" s="3"/>
      <c r="R618" s="3"/>
      <c r="S618" s="2" t="s">
        <v>12</v>
      </c>
      <c r="T618" s="4">
        <v>44955</v>
      </c>
      <c r="U618" s="2" t="s">
        <v>2218</v>
      </c>
      <c r="V618" s="6">
        <f>(Sales[[#This Row],[Price_retail]]-Sales[[#This Row],[Price_current]])/Sales[[#This Row],[Price_retail]]</f>
        <v>0</v>
      </c>
      <c r="W618" s="3" t="str" cm="1">
        <f t="array" ref="W6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19" spans="1:23" x14ac:dyDescent="0.35">
      <c r="A619" s="2" t="s">
        <v>2219</v>
      </c>
      <c r="B619" s="2" t="s">
        <v>2220</v>
      </c>
      <c r="C619" s="2" t="s">
        <v>1670</v>
      </c>
      <c r="D619" s="2" t="s">
        <v>413</v>
      </c>
      <c r="E619" s="2" t="s">
        <v>4</v>
      </c>
      <c r="F619" s="2" t="s">
        <v>17</v>
      </c>
      <c r="G619" s="2" t="s">
        <v>27</v>
      </c>
      <c r="H619" s="2" t="s">
        <v>19</v>
      </c>
      <c r="I619" s="2" t="s">
        <v>3393</v>
      </c>
      <c r="J619" s="3">
        <v>21.15</v>
      </c>
      <c r="K619" s="3">
        <v>21.15</v>
      </c>
      <c r="L619" s="2" t="s">
        <v>3391</v>
      </c>
      <c r="M619" s="2" t="s">
        <v>9</v>
      </c>
      <c r="N619" s="3">
        <v>888</v>
      </c>
      <c r="O619" s="2" t="s">
        <v>60</v>
      </c>
      <c r="P619" s="2" t="s">
        <v>128</v>
      </c>
      <c r="Q619" s="3"/>
      <c r="R619" s="3"/>
      <c r="S619" s="2"/>
      <c r="T619" s="4">
        <v>44955</v>
      </c>
      <c r="U619" s="2" t="s">
        <v>2221</v>
      </c>
      <c r="V619" s="6">
        <f>(Sales[[#This Row],[Price_retail]]-Sales[[#This Row],[Price_current]])/Sales[[#This Row],[Price_retail]]</f>
        <v>0</v>
      </c>
      <c r="W619" s="3" t="str" cm="1">
        <f t="array" ref="W61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20" spans="1:23" x14ac:dyDescent="0.35">
      <c r="A620" s="2" t="s">
        <v>2222</v>
      </c>
      <c r="B620" s="2" t="s">
        <v>2223</v>
      </c>
      <c r="C620" s="2" t="s">
        <v>323</v>
      </c>
      <c r="D620" s="2" t="s">
        <v>338</v>
      </c>
      <c r="E620" s="2" t="s">
        <v>4</v>
      </c>
      <c r="F620" s="2" t="s">
        <v>17</v>
      </c>
      <c r="G620" s="2" t="s">
        <v>18</v>
      </c>
      <c r="H620" s="2" t="s">
        <v>90</v>
      </c>
      <c r="I620" s="2" t="s">
        <v>3393</v>
      </c>
      <c r="J620" s="3">
        <v>9.42</v>
      </c>
      <c r="K620" s="3">
        <v>9.42</v>
      </c>
      <c r="L620" s="2" t="s">
        <v>3391</v>
      </c>
      <c r="M620" s="2" t="s">
        <v>9</v>
      </c>
      <c r="N620" s="3">
        <v>20</v>
      </c>
      <c r="O620" s="2" t="s">
        <v>3392</v>
      </c>
      <c r="P620" s="2" t="s">
        <v>288</v>
      </c>
      <c r="Q620" s="3"/>
      <c r="R620" s="3"/>
      <c r="S620" s="2" t="s">
        <v>21</v>
      </c>
      <c r="T620" s="4">
        <v>44955</v>
      </c>
      <c r="U620" s="2" t="s">
        <v>2224</v>
      </c>
      <c r="V620" s="6">
        <f>(Sales[[#This Row],[Price_retail]]-Sales[[#This Row],[Price_current]])/Sales[[#This Row],[Price_retail]]</f>
        <v>0</v>
      </c>
      <c r="W620" s="3" t="str" cm="1">
        <f t="array" ref="W62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21" spans="1:23" x14ac:dyDescent="0.35">
      <c r="A621" s="2" t="s">
        <v>2225</v>
      </c>
      <c r="B621" s="2" t="s">
        <v>2226</v>
      </c>
      <c r="C621" s="2" t="s">
        <v>25</v>
      </c>
      <c r="D621" s="2" t="s">
        <v>372</v>
      </c>
      <c r="E621" s="2" t="s">
        <v>4</v>
      </c>
      <c r="F621" s="2" t="s">
        <v>5</v>
      </c>
      <c r="G621" s="2" t="s">
        <v>82</v>
      </c>
      <c r="H621" s="2" t="s">
        <v>134</v>
      </c>
      <c r="I621" s="2" t="s">
        <v>3390</v>
      </c>
      <c r="J621" s="3">
        <v>36.11</v>
      </c>
      <c r="K621" s="3">
        <v>36.11</v>
      </c>
      <c r="L621" s="2" t="s">
        <v>3391</v>
      </c>
      <c r="M621" s="2" t="s">
        <v>9</v>
      </c>
      <c r="N621" s="3">
        <v>230</v>
      </c>
      <c r="O621" s="2" t="s">
        <v>69</v>
      </c>
      <c r="P621" s="2" t="s">
        <v>53</v>
      </c>
      <c r="Q621" s="3"/>
      <c r="R621" s="3"/>
      <c r="S621" s="2" t="s">
        <v>21</v>
      </c>
      <c r="T621" s="4">
        <v>44955</v>
      </c>
      <c r="U621" s="2" t="s">
        <v>2227</v>
      </c>
      <c r="V621" s="6">
        <f>(Sales[[#This Row],[Price_retail]]-Sales[[#This Row],[Price_current]])/Sales[[#This Row],[Price_retail]]</f>
        <v>0</v>
      </c>
      <c r="W621" s="3" t="str" cm="1">
        <f t="array" ref="W6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22" spans="1:23" x14ac:dyDescent="0.35">
      <c r="A622" s="2" t="s">
        <v>2228</v>
      </c>
      <c r="B622" s="2" t="s">
        <v>2229</v>
      </c>
      <c r="C622" s="2" t="s">
        <v>423</v>
      </c>
      <c r="D622" s="2" t="s">
        <v>190</v>
      </c>
      <c r="E622" s="2" t="s">
        <v>4</v>
      </c>
      <c r="F622" s="2" t="s">
        <v>5</v>
      </c>
      <c r="G622" s="2" t="s">
        <v>82</v>
      </c>
      <c r="H622" s="2" t="s">
        <v>134</v>
      </c>
      <c r="I622" s="2" t="s">
        <v>3393</v>
      </c>
      <c r="J622" s="3">
        <v>32.840000000000003</v>
      </c>
      <c r="K622" s="3">
        <v>19.7</v>
      </c>
      <c r="L622" s="2" t="s">
        <v>8</v>
      </c>
      <c r="M622" s="2" t="s">
        <v>9</v>
      </c>
      <c r="N622" s="3">
        <v>495</v>
      </c>
      <c r="O622" s="2" t="s">
        <v>359</v>
      </c>
      <c r="P622" s="2" t="s">
        <v>30</v>
      </c>
      <c r="Q622" s="3"/>
      <c r="R622" s="3"/>
      <c r="S622" s="2" t="s">
        <v>21</v>
      </c>
      <c r="T622" s="4">
        <v>44955</v>
      </c>
      <c r="U622" s="2" t="s">
        <v>2230</v>
      </c>
      <c r="V622" s="6">
        <f>(Sales[[#This Row],[Price_retail]]-Sales[[#This Row],[Price_current]])/Sales[[#This Row],[Price_retail]]</f>
        <v>0.40012180267965902</v>
      </c>
      <c r="W622" s="3" t="str" cm="1">
        <f t="array" ref="W62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23" spans="1:23" x14ac:dyDescent="0.35">
      <c r="A623" s="2" t="s">
        <v>2231</v>
      </c>
      <c r="B623" s="2" t="s">
        <v>2232</v>
      </c>
      <c r="C623" s="2" t="s">
        <v>995</v>
      </c>
      <c r="D623" s="2" t="s">
        <v>1495</v>
      </c>
      <c r="E623" s="2" t="s">
        <v>4</v>
      </c>
      <c r="F623" s="2" t="s">
        <v>5</v>
      </c>
      <c r="G623" s="2" t="s">
        <v>6</v>
      </c>
      <c r="H623" s="2"/>
      <c r="I623" s="2" t="s">
        <v>3390</v>
      </c>
      <c r="J623" s="3">
        <v>10.45</v>
      </c>
      <c r="K623" s="3">
        <v>10.45</v>
      </c>
      <c r="L623" s="2" t="s">
        <v>3391</v>
      </c>
      <c r="M623" s="2" t="s">
        <v>9</v>
      </c>
      <c r="N623" s="3">
        <v>219</v>
      </c>
      <c r="O623" s="2" t="s">
        <v>347</v>
      </c>
      <c r="P623" s="2" t="s">
        <v>3392</v>
      </c>
      <c r="Q623" s="3"/>
      <c r="R623" s="3"/>
      <c r="S623" s="2" t="s">
        <v>21</v>
      </c>
      <c r="T623" s="4">
        <v>44955</v>
      </c>
      <c r="U623" s="2" t="s">
        <v>2233</v>
      </c>
      <c r="V623" s="6">
        <f>(Sales[[#This Row],[Price_retail]]-Sales[[#This Row],[Price_current]])/Sales[[#This Row],[Price_retail]]</f>
        <v>0</v>
      </c>
      <c r="W623" s="3" t="str" cm="1">
        <f t="array" ref="W62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24" spans="1:23" x14ac:dyDescent="0.35">
      <c r="A624" s="2" t="s">
        <v>2234</v>
      </c>
      <c r="B624" s="2" t="s">
        <v>2235</v>
      </c>
      <c r="C624" s="2" t="s">
        <v>746</v>
      </c>
      <c r="D624" s="2" t="s">
        <v>612</v>
      </c>
      <c r="E624" s="2" t="s">
        <v>4</v>
      </c>
      <c r="F624" s="2" t="s">
        <v>17</v>
      </c>
      <c r="G624" s="2" t="s">
        <v>18</v>
      </c>
      <c r="H624" s="2" t="s">
        <v>59</v>
      </c>
      <c r="I624" s="2" t="s">
        <v>3393</v>
      </c>
      <c r="J624" s="3">
        <v>10.39</v>
      </c>
      <c r="K624" s="3">
        <v>10.39</v>
      </c>
      <c r="L624" s="2" t="s">
        <v>3391</v>
      </c>
      <c r="M624" s="2" t="s">
        <v>9</v>
      </c>
      <c r="N624" s="3">
        <v>295</v>
      </c>
      <c r="O624" s="2" t="s">
        <v>20</v>
      </c>
      <c r="P624" s="2" t="s">
        <v>44</v>
      </c>
      <c r="Q624" s="3"/>
      <c r="R624" s="3"/>
      <c r="S624" s="2" t="s">
        <v>21</v>
      </c>
      <c r="T624" s="4">
        <v>44955</v>
      </c>
      <c r="U624" s="2" t="s">
        <v>2236</v>
      </c>
      <c r="V624" s="6">
        <f>(Sales[[#This Row],[Price_retail]]-Sales[[#This Row],[Price_current]])/Sales[[#This Row],[Price_retail]]</f>
        <v>0</v>
      </c>
      <c r="W624" s="3" t="str" cm="1">
        <f t="array" ref="W6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25" spans="1:23" x14ac:dyDescent="0.35">
      <c r="A625" s="2" t="s">
        <v>2237</v>
      </c>
      <c r="B625" s="2" t="s">
        <v>2238</v>
      </c>
      <c r="C625" s="2" t="s">
        <v>65</v>
      </c>
      <c r="D625" s="2" t="s">
        <v>909</v>
      </c>
      <c r="E625" s="2" t="s">
        <v>4</v>
      </c>
      <c r="F625" s="2" t="s">
        <v>17</v>
      </c>
      <c r="G625" s="2" t="s">
        <v>67</v>
      </c>
      <c r="H625" s="2" t="s">
        <v>110</v>
      </c>
      <c r="I625" s="2" t="s">
        <v>3390</v>
      </c>
      <c r="J625" s="3">
        <v>11.29</v>
      </c>
      <c r="K625" s="3">
        <v>6.65</v>
      </c>
      <c r="L625" s="2" t="s">
        <v>8</v>
      </c>
      <c r="M625" s="2" t="s">
        <v>9</v>
      </c>
      <c r="N625" s="3">
        <v>439</v>
      </c>
      <c r="O625" s="2" t="s">
        <v>10</v>
      </c>
      <c r="P625" s="2" t="s">
        <v>192</v>
      </c>
      <c r="Q625" s="3"/>
      <c r="R625" s="3"/>
      <c r="S625" s="2" t="s">
        <v>21</v>
      </c>
      <c r="T625" s="4">
        <v>44955</v>
      </c>
      <c r="U625" s="2" t="s">
        <v>2239</v>
      </c>
      <c r="V625" s="6">
        <f>(Sales[[#This Row],[Price_retail]]-Sales[[#This Row],[Price_current]])/Sales[[#This Row],[Price_retail]]</f>
        <v>0.41098317094774128</v>
      </c>
      <c r="W625" s="3" t="str" cm="1">
        <f t="array" ref="W62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26" spans="1:23" x14ac:dyDescent="0.35">
      <c r="A626" s="2" t="s">
        <v>2240</v>
      </c>
      <c r="B626" s="2" t="s">
        <v>2241</v>
      </c>
      <c r="C626" s="2" t="s">
        <v>126</v>
      </c>
      <c r="D626" s="2" t="s">
        <v>3427</v>
      </c>
      <c r="E626" s="2" t="s">
        <v>4</v>
      </c>
      <c r="F626" s="2" t="s">
        <v>17</v>
      </c>
      <c r="G626" s="2" t="s">
        <v>18</v>
      </c>
      <c r="H626" s="2" t="s">
        <v>139</v>
      </c>
      <c r="I626" s="2" t="s">
        <v>3395</v>
      </c>
      <c r="J626" s="3">
        <v>11.83</v>
      </c>
      <c r="K626" s="3">
        <v>7.35</v>
      </c>
      <c r="L626" s="2" t="s">
        <v>8</v>
      </c>
      <c r="M626" s="2" t="s">
        <v>9</v>
      </c>
      <c r="N626" s="3">
        <v>902</v>
      </c>
      <c r="O626" s="2" t="s">
        <v>302</v>
      </c>
      <c r="P626" s="2" t="s">
        <v>238</v>
      </c>
      <c r="Q626" s="3"/>
      <c r="R626" s="3"/>
      <c r="S626" s="2" t="s">
        <v>21</v>
      </c>
      <c r="T626" s="4">
        <v>44955</v>
      </c>
      <c r="U626" s="2" t="s">
        <v>2242</v>
      </c>
      <c r="V626" s="6">
        <f>(Sales[[#This Row],[Price_retail]]-Sales[[#This Row],[Price_current]])/Sales[[#This Row],[Price_retail]]</f>
        <v>0.37869822485207105</v>
      </c>
      <c r="W626" s="3" t="str" cm="1">
        <f t="array" ref="W62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27" spans="1:23" x14ac:dyDescent="0.35">
      <c r="A627" s="2" t="s">
        <v>2243</v>
      </c>
      <c r="B627" s="2" t="s">
        <v>2244</v>
      </c>
      <c r="C627" s="2" t="s">
        <v>57</v>
      </c>
      <c r="D627" s="2" t="s">
        <v>158</v>
      </c>
      <c r="E627" s="2" t="s">
        <v>4</v>
      </c>
      <c r="F627" s="2" t="s">
        <v>5</v>
      </c>
      <c r="G627" s="2" t="s">
        <v>6</v>
      </c>
      <c r="H627" s="2" t="s">
        <v>145</v>
      </c>
      <c r="I627" s="2" t="s">
        <v>3389</v>
      </c>
      <c r="J627" s="3">
        <v>26.39</v>
      </c>
      <c r="K627" s="3">
        <v>13.56</v>
      </c>
      <c r="L627" s="2" t="s">
        <v>8</v>
      </c>
      <c r="M627" s="2" t="s">
        <v>9</v>
      </c>
      <c r="N627" s="3">
        <v>705</v>
      </c>
      <c r="O627" s="2" t="s">
        <v>302</v>
      </c>
      <c r="P627" s="2" t="s">
        <v>122</v>
      </c>
      <c r="Q627" s="3"/>
      <c r="R627" s="3"/>
      <c r="S627" s="2" t="s">
        <v>21</v>
      </c>
      <c r="T627" s="4">
        <v>44955</v>
      </c>
      <c r="U627" s="2" t="s">
        <v>2245</v>
      </c>
      <c r="V627" s="6">
        <f>(Sales[[#This Row],[Price_retail]]-Sales[[#This Row],[Price_current]])/Sales[[#This Row],[Price_retail]]</f>
        <v>0.48616900341038272</v>
      </c>
      <c r="W627" s="3" t="str" cm="1">
        <f t="array" ref="W62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28" spans="1:23" x14ac:dyDescent="0.35">
      <c r="A628" s="2" t="s">
        <v>2246</v>
      </c>
      <c r="B628" s="2" t="s">
        <v>2247</v>
      </c>
      <c r="C628" s="2" t="s">
        <v>333</v>
      </c>
      <c r="D628" s="2" t="s">
        <v>138</v>
      </c>
      <c r="E628" s="2" t="s">
        <v>4</v>
      </c>
      <c r="F628" s="2" t="s">
        <v>5</v>
      </c>
      <c r="G628" s="2" t="s">
        <v>82</v>
      </c>
      <c r="H628" s="2" t="s">
        <v>139</v>
      </c>
      <c r="I628" s="2" t="s">
        <v>3390</v>
      </c>
      <c r="J628" s="3">
        <v>19.77</v>
      </c>
      <c r="K628" s="3">
        <v>13.69</v>
      </c>
      <c r="L628" s="2" t="s">
        <v>8</v>
      </c>
      <c r="M628" s="2" t="s">
        <v>9</v>
      </c>
      <c r="N628" s="3">
        <v>166</v>
      </c>
      <c r="O628" s="2" t="s">
        <v>267</v>
      </c>
      <c r="P628" s="2" t="s">
        <v>44</v>
      </c>
      <c r="Q628" s="3"/>
      <c r="R628" s="3"/>
      <c r="S628" s="2" t="s">
        <v>21</v>
      </c>
      <c r="T628" s="4">
        <v>44955</v>
      </c>
      <c r="U628" s="2" t="s">
        <v>2248</v>
      </c>
      <c r="V628" s="6">
        <f>(Sales[[#This Row],[Price_retail]]-Sales[[#This Row],[Price_current]])/Sales[[#This Row],[Price_retail]]</f>
        <v>0.30753667172483562</v>
      </c>
      <c r="W628" s="3" t="str" cm="1">
        <f t="array" ref="W62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29" spans="1:23" x14ac:dyDescent="0.35">
      <c r="A629" s="2" t="s">
        <v>2249</v>
      </c>
      <c r="B629" s="2" t="s">
        <v>2250</v>
      </c>
      <c r="C629" s="2" t="s">
        <v>242</v>
      </c>
      <c r="D629" s="2" t="s">
        <v>590</v>
      </c>
      <c r="E629" s="2" t="s">
        <v>4</v>
      </c>
      <c r="F629" s="2" t="s">
        <v>5</v>
      </c>
      <c r="G629" s="2" t="s">
        <v>121</v>
      </c>
      <c r="H629" s="2" t="s">
        <v>90</v>
      </c>
      <c r="I629" s="2" t="s">
        <v>3393</v>
      </c>
      <c r="J629" s="3">
        <v>25.34</v>
      </c>
      <c r="K629" s="3">
        <v>10.74</v>
      </c>
      <c r="L629" s="2" t="s">
        <v>8</v>
      </c>
      <c r="M629" s="2" t="s">
        <v>9</v>
      </c>
      <c r="N629" s="3">
        <v>586</v>
      </c>
      <c r="O629" s="2" t="s">
        <v>43</v>
      </c>
      <c r="P629" s="2" t="s">
        <v>1629</v>
      </c>
      <c r="Q629" s="3"/>
      <c r="R629" s="3"/>
      <c r="S629" s="2" t="s">
        <v>21</v>
      </c>
      <c r="T629" s="4">
        <v>44955</v>
      </c>
      <c r="U629" s="2" t="s">
        <v>2251</v>
      </c>
      <c r="V629" s="6">
        <f>(Sales[[#This Row],[Price_retail]]-Sales[[#This Row],[Price_current]])/Sales[[#This Row],[Price_retail]]</f>
        <v>0.57616416732438835</v>
      </c>
      <c r="W629" s="3" t="str" cm="1">
        <f t="array" ref="W629">_xlfn.IFS(Sales[[#This Row],[Discount]]=0%,"No Discount",Sales[[#This Row],[Discount]]&lt;=20%,"Light",Sales[[#This Row],[Discount]]&lt;=50%,"Moderate",Sales[[#This Row],[Discount]]&lt;=80%,"High",
TRUE,"Very High")</f>
        <v>High</v>
      </c>
    </row>
    <row r="630" spans="1:23" x14ac:dyDescent="0.35">
      <c r="A630" s="2" t="s">
        <v>2252</v>
      </c>
      <c r="B630" s="2" t="s">
        <v>2253</v>
      </c>
      <c r="C630" s="2" t="s">
        <v>65</v>
      </c>
      <c r="D630" s="2" t="s">
        <v>1598</v>
      </c>
      <c r="E630" s="2" t="s">
        <v>4</v>
      </c>
      <c r="F630" s="2" t="s">
        <v>5</v>
      </c>
      <c r="G630" s="2" t="s">
        <v>121</v>
      </c>
      <c r="H630" s="2" t="s">
        <v>418</v>
      </c>
      <c r="I630" s="2" t="s">
        <v>3393</v>
      </c>
      <c r="J630" s="3">
        <v>22.66</v>
      </c>
      <c r="K630" s="3">
        <v>12.96</v>
      </c>
      <c r="L630" s="2" t="s">
        <v>8</v>
      </c>
      <c r="M630" s="2" t="s">
        <v>9</v>
      </c>
      <c r="N630" s="3">
        <v>977</v>
      </c>
      <c r="O630" s="2" t="s">
        <v>75</v>
      </c>
      <c r="P630" s="2" t="s">
        <v>53</v>
      </c>
      <c r="Q630" s="3"/>
      <c r="R630" s="3"/>
      <c r="S630" s="2" t="s">
        <v>21</v>
      </c>
      <c r="T630" s="4">
        <v>44955</v>
      </c>
      <c r="U630" s="2" t="s">
        <v>2254</v>
      </c>
      <c r="V630" s="6">
        <f>(Sales[[#This Row],[Price_retail]]-Sales[[#This Row],[Price_current]])/Sales[[#This Row],[Price_retail]]</f>
        <v>0.42806707855251541</v>
      </c>
      <c r="W630" s="3" t="str" cm="1">
        <f t="array" ref="W63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31" spans="1:23" x14ac:dyDescent="0.35">
      <c r="A631" s="2" t="s">
        <v>2255</v>
      </c>
      <c r="B631" s="2" t="s">
        <v>2256</v>
      </c>
      <c r="C631" s="2" t="s">
        <v>242</v>
      </c>
      <c r="D631" s="2" t="s">
        <v>857</v>
      </c>
      <c r="E631" s="2" t="s">
        <v>4</v>
      </c>
      <c r="F631" s="2" t="s">
        <v>5</v>
      </c>
      <c r="G631" s="2" t="s">
        <v>6</v>
      </c>
      <c r="H631" s="2"/>
      <c r="I631" s="2" t="s">
        <v>3393</v>
      </c>
      <c r="J631" s="3">
        <v>40.159999999999997</v>
      </c>
      <c r="K631" s="3">
        <v>40.159999999999997</v>
      </c>
      <c r="L631" s="2" t="s">
        <v>3391</v>
      </c>
      <c r="M631" s="2" t="s">
        <v>9</v>
      </c>
      <c r="N631" s="3">
        <v>208</v>
      </c>
      <c r="O631" s="2" t="s">
        <v>98</v>
      </c>
      <c r="P631" s="2" t="s">
        <v>3392</v>
      </c>
      <c r="Q631" s="3"/>
      <c r="R631" s="3"/>
      <c r="S631" s="2" t="s">
        <v>21</v>
      </c>
      <c r="T631" s="4">
        <v>44955</v>
      </c>
      <c r="U631" s="2" t="s">
        <v>2257</v>
      </c>
      <c r="V631" s="6">
        <f>(Sales[[#This Row],[Price_retail]]-Sales[[#This Row],[Price_current]])/Sales[[#This Row],[Price_retail]]</f>
        <v>0</v>
      </c>
      <c r="W631" s="3" t="str" cm="1">
        <f t="array" ref="W6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2" spans="1:23" x14ac:dyDescent="0.35">
      <c r="A632" s="2" t="s">
        <v>2258</v>
      </c>
      <c r="B632" s="2" t="s">
        <v>2259</v>
      </c>
      <c r="C632" s="2" t="s">
        <v>750</v>
      </c>
      <c r="D632" s="2" t="s">
        <v>511</v>
      </c>
      <c r="E632" s="2" t="s">
        <v>4</v>
      </c>
      <c r="F632" s="2" t="s">
        <v>5</v>
      </c>
      <c r="G632" s="2" t="s">
        <v>6</v>
      </c>
      <c r="H632" s="2" t="s">
        <v>7</v>
      </c>
      <c r="I632" s="2" t="s">
        <v>3395</v>
      </c>
      <c r="J632" s="3">
        <v>8.99</v>
      </c>
      <c r="K632" s="3">
        <v>8.99</v>
      </c>
      <c r="L632" s="2" t="s">
        <v>3391</v>
      </c>
      <c r="M632" s="2" t="s">
        <v>9</v>
      </c>
      <c r="N632" s="3">
        <v>345</v>
      </c>
      <c r="O632" s="2" t="s">
        <v>43</v>
      </c>
      <c r="P632" s="2" t="s">
        <v>37</v>
      </c>
      <c r="Q632" s="3"/>
      <c r="R632" s="3"/>
      <c r="S632" s="2" t="s">
        <v>21</v>
      </c>
      <c r="T632" s="4">
        <v>44955</v>
      </c>
      <c r="U632" s="2" t="s">
        <v>2260</v>
      </c>
      <c r="V632" s="6">
        <f>(Sales[[#This Row],[Price_retail]]-Sales[[#This Row],[Price_current]])/Sales[[#This Row],[Price_retail]]</f>
        <v>0</v>
      </c>
      <c r="W632" s="3" t="str" cm="1">
        <f t="array" ref="W6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3" spans="1:23" x14ac:dyDescent="0.35">
      <c r="A633" s="2" t="s">
        <v>2261</v>
      </c>
      <c r="B633" s="2" t="s">
        <v>2262</v>
      </c>
      <c r="C633" s="2" t="s">
        <v>703</v>
      </c>
      <c r="D633" s="2" t="s">
        <v>1000</v>
      </c>
      <c r="E633" s="2" t="s">
        <v>4</v>
      </c>
      <c r="F633" s="2" t="s">
        <v>17</v>
      </c>
      <c r="G633" s="2" t="s">
        <v>18</v>
      </c>
      <c r="H633" s="2" t="s">
        <v>68</v>
      </c>
      <c r="I633" s="2" t="s">
        <v>3390</v>
      </c>
      <c r="J633" s="3">
        <v>19.28</v>
      </c>
      <c r="K633" s="3">
        <v>19.28</v>
      </c>
      <c r="L633" s="2" t="s">
        <v>3391</v>
      </c>
      <c r="M633" s="2" t="s">
        <v>9</v>
      </c>
      <c r="N633" s="3">
        <v>98</v>
      </c>
      <c r="O633" s="2" t="s">
        <v>75</v>
      </c>
      <c r="P633" s="2" t="s">
        <v>221</v>
      </c>
      <c r="Q633" s="3"/>
      <c r="R633" s="3"/>
      <c r="S633" s="2" t="s">
        <v>21</v>
      </c>
      <c r="T633" s="4">
        <v>44955</v>
      </c>
      <c r="U633" s="2" t="s">
        <v>2263</v>
      </c>
      <c r="V633" s="6">
        <f>(Sales[[#This Row],[Price_retail]]-Sales[[#This Row],[Price_current]])/Sales[[#This Row],[Price_retail]]</f>
        <v>0</v>
      </c>
      <c r="W633" s="3" t="str" cm="1">
        <f t="array" ref="W6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4" spans="1:23" x14ac:dyDescent="0.35">
      <c r="A634" s="2" t="s">
        <v>2264</v>
      </c>
      <c r="B634" s="2" t="s">
        <v>2265</v>
      </c>
      <c r="C634" s="2" t="s">
        <v>995</v>
      </c>
      <c r="D634" s="2" t="s">
        <v>354</v>
      </c>
      <c r="E634" s="2" t="s">
        <v>4</v>
      </c>
      <c r="F634" s="2" t="s">
        <v>17</v>
      </c>
      <c r="G634" s="2" t="s">
        <v>18</v>
      </c>
      <c r="H634" s="2" t="s">
        <v>90</v>
      </c>
      <c r="I634" s="2" t="s">
        <v>3390</v>
      </c>
      <c r="J634" s="3">
        <v>8.99</v>
      </c>
      <c r="K634" s="3">
        <v>8.5399999999999991</v>
      </c>
      <c r="L634" s="2" t="s">
        <v>8</v>
      </c>
      <c r="M634" s="2" t="s">
        <v>9</v>
      </c>
      <c r="N634" s="3">
        <v>387</v>
      </c>
      <c r="O634" s="2" t="s">
        <v>75</v>
      </c>
      <c r="P634" s="2" t="s">
        <v>221</v>
      </c>
      <c r="Q634" s="3"/>
      <c r="R634" s="3"/>
      <c r="S634" s="2" t="s">
        <v>21</v>
      </c>
      <c r="T634" s="4">
        <v>44955</v>
      </c>
      <c r="U634" s="2" t="s">
        <v>2266</v>
      </c>
      <c r="V634" s="6">
        <f>(Sales[[#This Row],[Price_retail]]-Sales[[#This Row],[Price_current]])/Sales[[#This Row],[Price_retail]]</f>
        <v>5.0055617352614136E-2</v>
      </c>
      <c r="W634" s="3" t="str" cm="1">
        <f t="array" ref="W634">_xlfn.IFS(Sales[[#This Row],[Discount]]=0%,"No Discount",Sales[[#This Row],[Discount]]&lt;=20%,"Light",Sales[[#This Row],[Discount]]&lt;=50%,"Moderate",Sales[[#This Row],[Discount]]&lt;=80%,"High",
TRUE,"Very High")</f>
        <v>Light</v>
      </c>
    </row>
    <row r="635" spans="1:23" x14ac:dyDescent="0.35">
      <c r="A635" s="2" t="s">
        <v>2267</v>
      </c>
      <c r="B635" s="2" t="s">
        <v>2268</v>
      </c>
      <c r="C635" s="2" t="s">
        <v>963</v>
      </c>
      <c r="D635" s="2" t="s">
        <v>1748</v>
      </c>
      <c r="E635" s="2" t="s">
        <v>4</v>
      </c>
      <c r="F635" s="2" t="s">
        <v>17</v>
      </c>
      <c r="G635" s="2" t="s">
        <v>67</v>
      </c>
      <c r="H635" s="2" t="s">
        <v>110</v>
      </c>
      <c r="I635" s="2" t="s">
        <v>3393</v>
      </c>
      <c r="J635" s="3">
        <v>8.99</v>
      </c>
      <c r="K635" s="3">
        <v>8.99</v>
      </c>
      <c r="L635" s="2" t="s">
        <v>3391</v>
      </c>
      <c r="M635" s="2" t="s">
        <v>9</v>
      </c>
      <c r="N635" s="3">
        <v>583</v>
      </c>
      <c r="O635" s="2" t="s">
        <v>10</v>
      </c>
      <c r="P635" s="2" t="s">
        <v>192</v>
      </c>
      <c r="Q635" s="3"/>
      <c r="R635" s="3"/>
      <c r="S635" s="2" t="s">
        <v>12</v>
      </c>
      <c r="T635" s="4">
        <v>44955</v>
      </c>
      <c r="U635" s="2" t="s">
        <v>2269</v>
      </c>
      <c r="V635" s="6">
        <f>(Sales[[#This Row],[Price_retail]]-Sales[[#This Row],[Price_current]])/Sales[[#This Row],[Price_retail]]</f>
        <v>0</v>
      </c>
      <c r="W635" s="3" t="str" cm="1">
        <f t="array" ref="W6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6" spans="1:23" x14ac:dyDescent="0.35">
      <c r="A636" s="2" t="s">
        <v>2270</v>
      </c>
      <c r="B636" s="2" t="s">
        <v>2271</v>
      </c>
      <c r="C636" s="2" t="s">
        <v>242</v>
      </c>
      <c r="D636" s="2" t="s">
        <v>2272</v>
      </c>
      <c r="E636" s="2" t="s">
        <v>4</v>
      </c>
      <c r="F636" s="2" t="s">
        <v>5</v>
      </c>
      <c r="G636" s="2" t="s">
        <v>6</v>
      </c>
      <c r="H636" s="2" t="s">
        <v>68</v>
      </c>
      <c r="I636" s="2" t="s">
        <v>3395</v>
      </c>
      <c r="J636" s="3">
        <v>15.01</v>
      </c>
      <c r="K636" s="3">
        <v>6.81</v>
      </c>
      <c r="L636" s="2" t="s">
        <v>8</v>
      </c>
      <c r="M636" s="2" t="s">
        <v>9</v>
      </c>
      <c r="N636" s="3">
        <v>204</v>
      </c>
      <c r="O636" s="2" t="s">
        <v>359</v>
      </c>
      <c r="P636" s="2" t="s">
        <v>37</v>
      </c>
      <c r="Q636" s="3"/>
      <c r="R636" s="3"/>
      <c r="S636" s="2" t="s">
        <v>21</v>
      </c>
      <c r="T636" s="4">
        <v>44955</v>
      </c>
      <c r="U636" s="2" t="s">
        <v>2273</v>
      </c>
      <c r="V636" s="6">
        <f>(Sales[[#This Row],[Price_retail]]-Sales[[#This Row],[Price_current]])/Sales[[#This Row],[Price_retail]]</f>
        <v>0.5463024650233177</v>
      </c>
      <c r="W636" s="3" t="str" cm="1">
        <f t="array" ref="W636">_xlfn.IFS(Sales[[#This Row],[Discount]]=0%,"No Discount",Sales[[#This Row],[Discount]]&lt;=20%,"Light",Sales[[#This Row],[Discount]]&lt;=50%,"Moderate",Sales[[#This Row],[Discount]]&lt;=80%,"High",
TRUE,"Very High")</f>
        <v>High</v>
      </c>
    </row>
    <row r="637" spans="1:23" x14ac:dyDescent="0.35">
      <c r="A637" s="2" t="s">
        <v>2274</v>
      </c>
      <c r="B637" s="2" t="s">
        <v>2275</v>
      </c>
      <c r="C637" s="2" t="s">
        <v>242</v>
      </c>
      <c r="D637" s="2" t="s">
        <v>292</v>
      </c>
      <c r="E637" s="2" t="s">
        <v>4</v>
      </c>
      <c r="F637" s="2" t="s">
        <v>17</v>
      </c>
      <c r="G637" s="2" t="s">
        <v>18</v>
      </c>
      <c r="H637" s="2" t="s">
        <v>145</v>
      </c>
      <c r="I637" s="2" t="s">
        <v>3395</v>
      </c>
      <c r="J637" s="3">
        <v>19.690000000000001</v>
      </c>
      <c r="K637" s="3">
        <v>19.690000000000001</v>
      </c>
      <c r="L637" s="2" t="s">
        <v>3391</v>
      </c>
      <c r="M637" s="2" t="s">
        <v>9</v>
      </c>
      <c r="N637" s="3">
        <v>425</v>
      </c>
      <c r="O637" s="2" t="s">
        <v>52</v>
      </c>
      <c r="P637" s="2" t="s">
        <v>169</v>
      </c>
      <c r="Q637" s="3"/>
      <c r="R637" s="3"/>
      <c r="S637" s="2" t="s">
        <v>12</v>
      </c>
      <c r="T637" s="4">
        <v>44955</v>
      </c>
      <c r="U637" s="2" t="s">
        <v>2276</v>
      </c>
      <c r="V637" s="6">
        <f>(Sales[[#This Row],[Price_retail]]-Sales[[#This Row],[Price_current]])/Sales[[#This Row],[Price_retail]]</f>
        <v>0</v>
      </c>
      <c r="W637" s="3" t="str" cm="1">
        <f t="array" ref="W63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8" spans="1:23" x14ac:dyDescent="0.35">
      <c r="A638" s="2" t="s">
        <v>2277</v>
      </c>
      <c r="B638" s="2" t="s">
        <v>2278</v>
      </c>
      <c r="C638" s="2" t="s">
        <v>561</v>
      </c>
      <c r="D638" s="2" t="s">
        <v>894</v>
      </c>
      <c r="E638" s="2" t="s">
        <v>4</v>
      </c>
      <c r="F638" s="2" t="s">
        <v>5</v>
      </c>
      <c r="G638" s="2" t="s">
        <v>121</v>
      </c>
      <c r="H638" s="2" t="s">
        <v>145</v>
      </c>
      <c r="I638" s="2" t="s">
        <v>3395</v>
      </c>
      <c r="J638" s="3">
        <v>24.49</v>
      </c>
      <c r="K638" s="3">
        <v>24.49</v>
      </c>
      <c r="L638" s="2" t="s">
        <v>3391</v>
      </c>
      <c r="M638" s="2" t="s">
        <v>9</v>
      </c>
      <c r="N638" s="3">
        <v>468</v>
      </c>
      <c r="O638" s="2" t="s">
        <v>69</v>
      </c>
      <c r="P638" s="2" t="s">
        <v>70</v>
      </c>
      <c r="Q638" s="3"/>
      <c r="R638" s="3"/>
      <c r="S638" s="2" t="s">
        <v>21</v>
      </c>
      <c r="T638" s="4">
        <v>44955</v>
      </c>
      <c r="U638" s="2" t="s">
        <v>2279</v>
      </c>
      <c r="V638" s="6">
        <f>(Sales[[#This Row],[Price_retail]]-Sales[[#This Row],[Price_current]])/Sales[[#This Row],[Price_retail]]</f>
        <v>0</v>
      </c>
      <c r="W638" s="3" t="str" cm="1">
        <f t="array" ref="W6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39" spans="1:23" x14ac:dyDescent="0.35">
      <c r="A639" s="2" t="s">
        <v>2280</v>
      </c>
      <c r="B639" s="2" t="s">
        <v>2281</v>
      </c>
      <c r="C639" s="2" t="s">
        <v>65</v>
      </c>
      <c r="D639" s="2" t="s">
        <v>346</v>
      </c>
      <c r="E639" s="2" t="s">
        <v>4</v>
      </c>
      <c r="F639" s="2" t="s">
        <v>5</v>
      </c>
      <c r="G639" s="2" t="s">
        <v>6</v>
      </c>
      <c r="H639" s="2" t="s">
        <v>110</v>
      </c>
      <c r="I639" s="2" t="s">
        <v>3393</v>
      </c>
      <c r="J639" s="3">
        <v>11.45</v>
      </c>
      <c r="K639" s="3">
        <v>11.45</v>
      </c>
      <c r="L639" s="2" t="s">
        <v>3391</v>
      </c>
      <c r="M639" s="2" t="s">
        <v>9</v>
      </c>
      <c r="N639" s="3">
        <v>743</v>
      </c>
      <c r="O639" s="2" t="s">
        <v>29</v>
      </c>
      <c r="P639" s="2" t="s">
        <v>128</v>
      </c>
      <c r="Q639" s="3"/>
      <c r="R639" s="3"/>
      <c r="S639" s="2" t="s">
        <v>12</v>
      </c>
      <c r="T639" s="4">
        <v>44955</v>
      </c>
      <c r="U639" s="2" t="s">
        <v>2282</v>
      </c>
      <c r="V639" s="6">
        <f>(Sales[[#This Row],[Price_retail]]-Sales[[#This Row],[Price_current]])/Sales[[#This Row],[Price_retail]]</f>
        <v>0</v>
      </c>
      <c r="W639" s="3" t="str" cm="1">
        <f t="array" ref="W63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0" spans="1:23" x14ac:dyDescent="0.35">
      <c r="A640" s="2" t="s">
        <v>2283</v>
      </c>
      <c r="B640" s="2" t="s">
        <v>2284</v>
      </c>
      <c r="C640" s="2" t="s">
        <v>41</v>
      </c>
      <c r="D640" s="2" t="s">
        <v>494</v>
      </c>
      <c r="E640" s="2" t="s">
        <v>4</v>
      </c>
      <c r="F640" s="2" t="s">
        <v>17</v>
      </c>
      <c r="G640" s="2" t="s">
        <v>67</v>
      </c>
      <c r="H640" s="2" t="s">
        <v>83</v>
      </c>
      <c r="I640" s="2" t="s">
        <v>3393</v>
      </c>
      <c r="J640" s="3">
        <v>12.63</v>
      </c>
      <c r="K640" s="3">
        <v>12.63</v>
      </c>
      <c r="L640" s="2" t="s">
        <v>3391</v>
      </c>
      <c r="M640" s="2" t="s">
        <v>9</v>
      </c>
      <c r="N640" s="3">
        <v>941</v>
      </c>
      <c r="O640" s="2" t="s">
        <v>20</v>
      </c>
      <c r="P640" s="2" t="s">
        <v>53</v>
      </c>
      <c r="Q640" s="3"/>
      <c r="R640" s="3"/>
      <c r="S640" s="2" t="s">
        <v>21</v>
      </c>
      <c r="T640" s="4">
        <v>44955</v>
      </c>
      <c r="U640" s="2" t="s">
        <v>2285</v>
      </c>
      <c r="V640" s="6">
        <f>(Sales[[#This Row],[Price_retail]]-Sales[[#This Row],[Price_current]])/Sales[[#This Row],[Price_retail]]</f>
        <v>0</v>
      </c>
      <c r="W640" s="3" t="str" cm="1">
        <f t="array" ref="W64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1" spans="1:23" x14ac:dyDescent="0.35">
      <c r="A641" s="2" t="s">
        <v>2286</v>
      </c>
      <c r="B641" s="2" t="s">
        <v>2287</v>
      </c>
      <c r="C641" s="2" t="s">
        <v>3394</v>
      </c>
      <c r="D641" s="2" t="s">
        <v>533</v>
      </c>
      <c r="E641" s="2" t="s">
        <v>4</v>
      </c>
      <c r="F641" s="2" t="s">
        <v>17</v>
      </c>
      <c r="G641" s="2" t="s">
        <v>18</v>
      </c>
      <c r="H641" s="2" t="s">
        <v>59</v>
      </c>
      <c r="I641" s="2" t="s">
        <v>3395</v>
      </c>
      <c r="J641" s="3">
        <v>33.22</v>
      </c>
      <c r="K641" s="3">
        <v>33.22</v>
      </c>
      <c r="L641" s="2" t="s">
        <v>3391</v>
      </c>
      <c r="M641" s="2" t="s">
        <v>9</v>
      </c>
      <c r="N641" s="3">
        <v>677</v>
      </c>
      <c r="O641" s="2" t="s">
        <v>267</v>
      </c>
      <c r="P641" s="2" t="s">
        <v>37</v>
      </c>
      <c r="Q641" s="3"/>
      <c r="R641" s="3"/>
      <c r="S641" s="2" t="s">
        <v>21</v>
      </c>
      <c r="T641" s="4">
        <v>44955</v>
      </c>
      <c r="U641" s="2" t="s">
        <v>2288</v>
      </c>
      <c r="V641" s="6">
        <f>(Sales[[#This Row],[Price_retail]]-Sales[[#This Row],[Price_current]])/Sales[[#This Row],[Price_retail]]</f>
        <v>0</v>
      </c>
      <c r="W641" s="3" t="str" cm="1">
        <f t="array" ref="W6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2" spans="1:23" x14ac:dyDescent="0.35">
      <c r="A642" s="2" t="s">
        <v>2289</v>
      </c>
      <c r="B642" s="2" t="s">
        <v>2290</v>
      </c>
      <c r="C642" s="2" t="s">
        <v>3394</v>
      </c>
      <c r="D642" s="2" t="s">
        <v>1574</v>
      </c>
      <c r="E642" s="2" t="s">
        <v>4</v>
      </c>
      <c r="F642" s="2" t="s">
        <v>17</v>
      </c>
      <c r="G642" s="2" t="s">
        <v>50</v>
      </c>
      <c r="H642" s="2" t="s">
        <v>237</v>
      </c>
      <c r="I642" s="2" t="s">
        <v>3393</v>
      </c>
      <c r="J642" s="3">
        <v>12.66</v>
      </c>
      <c r="K642" s="3">
        <v>9.65</v>
      </c>
      <c r="L642" s="2" t="s">
        <v>8</v>
      </c>
      <c r="M642" s="2" t="s">
        <v>9</v>
      </c>
      <c r="N642" s="3">
        <v>412</v>
      </c>
      <c r="O642" s="2" t="s">
        <v>359</v>
      </c>
      <c r="P642" s="2" t="s">
        <v>44</v>
      </c>
      <c r="Q642" s="3"/>
      <c r="R642" s="3"/>
      <c r="S642" s="2" t="s">
        <v>12</v>
      </c>
      <c r="T642" s="4">
        <v>44955</v>
      </c>
      <c r="U642" s="2" t="s">
        <v>2291</v>
      </c>
      <c r="V642" s="6">
        <f>(Sales[[#This Row],[Price_retail]]-Sales[[#This Row],[Price_current]])/Sales[[#This Row],[Price_retail]]</f>
        <v>0.23775671406003157</v>
      </c>
      <c r="W642" s="3" t="str" cm="1">
        <f t="array" ref="W64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43" spans="1:23" x14ac:dyDescent="0.35">
      <c r="A643" s="2" t="s">
        <v>2292</v>
      </c>
      <c r="B643" s="2" t="s">
        <v>2293</v>
      </c>
      <c r="C643" s="2" t="s">
        <v>3433</v>
      </c>
      <c r="D643" s="2" t="s">
        <v>196</v>
      </c>
      <c r="E643" s="2" t="s">
        <v>4</v>
      </c>
      <c r="F643" s="2" t="s">
        <v>17</v>
      </c>
      <c r="G643" s="2" t="s">
        <v>27</v>
      </c>
      <c r="H643" s="2" t="s">
        <v>7</v>
      </c>
      <c r="I643" s="2" t="s">
        <v>3395</v>
      </c>
      <c r="J643" s="3">
        <v>40.94</v>
      </c>
      <c r="K643" s="3">
        <v>32.51</v>
      </c>
      <c r="L643" s="2" t="s">
        <v>8</v>
      </c>
      <c r="M643" s="2" t="s">
        <v>9</v>
      </c>
      <c r="N643" s="3">
        <v>325</v>
      </c>
      <c r="O643" s="2" t="s">
        <v>302</v>
      </c>
      <c r="P643" s="2" t="s">
        <v>3392</v>
      </c>
      <c r="Q643" s="3"/>
      <c r="R643" s="3"/>
      <c r="S643" s="2" t="s">
        <v>21</v>
      </c>
      <c r="T643" s="4">
        <v>44955</v>
      </c>
      <c r="U643" s="2" t="s">
        <v>2294</v>
      </c>
      <c r="V643" s="6">
        <f>(Sales[[#This Row],[Price_retail]]-Sales[[#This Row],[Price_current]])/Sales[[#This Row],[Price_retail]]</f>
        <v>0.20591108939912067</v>
      </c>
      <c r="W643" s="3" t="str" cm="1">
        <f t="array" ref="W64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44" spans="1:23" x14ac:dyDescent="0.35">
      <c r="A644" s="2" t="s">
        <v>2295</v>
      </c>
      <c r="B644" s="2" t="s">
        <v>2296</v>
      </c>
      <c r="C644" s="2" t="s">
        <v>323</v>
      </c>
      <c r="D644" s="2" t="s">
        <v>1680</v>
      </c>
      <c r="E644" s="2" t="s">
        <v>4</v>
      </c>
      <c r="F644" s="2" t="s">
        <v>5</v>
      </c>
      <c r="G644" s="2" t="s">
        <v>121</v>
      </c>
      <c r="H644" s="2" t="s">
        <v>51</v>
      </c>
      <c r="I644" s="2" t="s">
        <v>3393</v>
      </c>
      <c r="J644" s="3">
        <v>31.72</v>
      </c>
      <c r="K644" s="3">
        <v>31.72</v>
      </c>
      <c r="L644" s="2" t="s">
        <v>3391</v>
      </c>
      <c r="M644" s="2" t="s">
        <v>9</v>
      </c>
      <c r="N644" s="3">
        <v>570</v>
      </c>
      <c r="O644" s="2" t="s">
        <v>10</v>
      </c>
      <c r="P644" s="2" t="s">
        <v>192</v>
      </c>
      <c r="Q644" s="3"/>
      <c r="R644" s="3"/>
      <c r="S644" s="2" t="s">
        <v>12</v>
      </c>
      <c r="T644" s="4">
        <v>44955</v>
      </c>
      <c r="U644" s="2" t="s">
        <v>2297</v>
      </c>
      <c r="V644" s="6">
        <f>(Sales[[#This Row],[Price_retail]]-Sales[[#This Row],[Price_current]])/Sales[[#This Row],[Price_retail]]</f>
        <v>0</v>
      </c>
      <c r="W644" s="3" t="str" cm="1">
        <f t="array" ref="W64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5" spans="1:23" x14ac:dyDescent="0.35">
      <c r="A645" s="2" t="s">
        <v>2298</v>
      </c>
      <c r="B645" s="2" t="s">
        <v>2299</v>
      </c>
      <c r="C645" s="2" t="s">
        <v>25</v>
      </c>
      <c r="D645" s="2" t="s">
        <v>301</v>
      </c>
      <c r="E645" s="2" t="s">
        <v>4</v>
      </c>
      <c r="F645" s="2" t="s">
        <v>17</v>
      </c>
      <c r="G645" s="2" t="s">
        <v>67</v>
      </c>
      <c r="H645" s="2" t="s">
        <v>145</v>
      </c>
      <c r="I645" s="2" t="s">
        <v>3393</v>
      </c>
      <c r="J645" s="3">
        <v>20.12</v>
      </c>
      <c r="K645" s="3">
        <v>17.68</v>
      </c>
      <c r="L645" s="2" t="s">
        <v>8</v>
      </c>
      <c r="M645" s="2" t="s">
        <v>9</v>
      </c>
      <c r="N645" s="3">
        <v>518</v>
      </c>
      <c r="O645" s="2" t="s">
        <v>104</v>
      </c>
      <c r="P645" s="2" t="s">
        <v>283</v>
      </c>
      <c r="Q645" s="3"/>
      <c r="R645" s="3"/>
      <c r="S645" s="2" t="s">
        <v>12</v>
      </c>
      <c r="T645" s="4">
        <v>44955</v>
      </c>
      <c r="U645" s="2" t="s">
        <v>2300</v>
      </c>
      <c r="V645" s="6">
        <f>(Sales[[#This Row],[Price_retail]]-Sales[[#This Row],[Price_current]])/Sales[[#This Row],[Price_retail]]</f>
        <v>0.12127236580516905</v>
      </c>
      <c r="W645" s="3" t="str" cm="1">
        <f t="array" ref="W645">_xlfn.IFS(Sales[[#This Row],[Discount]]=0%,"No Discount",Sales[[#This Row],[Discount]]&lt;=20%,"Light",Sales[[#This Row],[Discount]]&lt;=50%,"Moderate",Sales[[#This Row],[Discount]]&lt;=80%,"High",
TRUE,"Very High")</f>
        <v>Light</v>
      </c>
    </row>
    <row r="646" spans="1:23" x14ac:dyDescent="0.35">
      <c r="A646" s="2" t="s">
        <v>2301</v>
      </c>
      <c r="B646" s="2" t="s">
        <v>2302</v>
      </c>
      <c r="C646" s="2" t="s">
        <v>1670</v>
      </c>
      <c r="D646" s="2" t="s">
        <v>1247</v>
      </c>
      <c r="E646" s="2" t="s">
        <v>4</v>
      </c>
      <c r="F646" s="2" t="s">
        <v>5</v>
      </c>
      <c r="G646" s="2" t="s">
        <v>121</v>
      </c>
      <c r="H646" s="2" t="s">
        <v>237</v>
      </c>
      <c r="I646" s="2" t="s">
        <v>3393</v>
      </c>
      <c r="J646" s="3">
        <v>8.99</v>
      </c>
      <c r="K646" s="3">
        <v>8.99</v>
      </c>
      <c r="L646" s="2" t="s">
        <v>3391</v>
      </c>
      <c r="M646" s="2" t="s">
        <v>9</v>
      </c>
      <c r="N646" s="3">
        <v>999</v>
      </c>
      <c r="O646" s="2" t="s">
        <v>267</v>
      </c>
      <c r="P646" s="2" t="s">
        <v>186</v>
      </c>
      <c r="Q646" s="3"/>
      <c r="R646" s="3"/>
      <c r="S646" s="2" t="s">
        <v>21</v>
      </c>
      <c r="T646" s="4">
        <v>44955</v>
      </c>
      <c r="U646" s="2" t="s">
        <v>2303</v>
      </c>
      <c r="V646" s="6">
        <f>(Sales[[#This Row],[Price_retail]]-Sales[[#This Row],[Price_current]])/Sales[[#This Row],[Price_retail]]</f>
        <v>0</v>
      </c>
      <c r="W646" s="3" t="str" cm="1">
        <f t="array" ref="W64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7" spans="1:23" x14ac:dyDescent="0.35">
      <c r="A647" s="2" t="s">
        <v>2304</v>
      </c>
      <c r="B647" s="2" t="s">
        <v>2305</v>
      </c>
      <c r="C647" s="2" t="s">
        <v>242</v>
      </c>
      <c r="D647" s="2" t="s">
        <v>1301</v>
      </c>
      <c r="E647" s="2" t="s">
        <v>4</v>
      </c>
      <c r="F647" s="2" t="s">
        <v>17</v>
      </c>
      <c r="G647" s="2" t="s">
        <v>27</v>
      </c>
      <c r="H647" s="2" t="s">
        <v>237</v>
      </c>
      <c r="I647" s="2" t="s">
        <v>3390</v>
      </c>
      <c r="J647" s="3">
        <v>26.16</v>
      </c>
      <c r="K647" s="3">
        <v>26.16</v>
      </c>
      <c r="L647" s="2" t="s">
        <v>3391</v>
      </c>
      <c r="M647" s="2" t="s">
        <v>9</v>
      </c>
      <c r="N647" s="3">
        <v>948</v>
      </c>
      <c r="O647" s="2" t="s">
        <v>36</v>
      </c>
      <c r="P647" s="2" t="s">
        <v>53</v>
      </c>
      <c r="Q647" s="3"/>
      <c r="R647" s="3"/>
      <c r="S647" s="2" t="s">
        <v>21</v>
      </c>
      <c r="T647" s="4">
        <v>44955</v>
      </c>
      <c r="U647" s="2" t="s">
        <v>2306</v>
      </c>
      <c r="V647" s="6">
        <f>(Sales[[#This Row],[Price_retail]]-Sales[[#This Row],[Price_current]])/Sales[[#This Row],[Price_retail]]</f>
        <v>0</v>
      </c>
      <c r="W647" s="3" t="str" cm="1">
        <f t="array" ref="W6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8" spans="1:23" x14ac:dyDescent="0.35">
      <c r="A648" s="2" t="s">
        <v>2307</v>
      </c>
      <c r="B648" s="2" t="s">
        <v>2308</v>
      </c>
      <c r="C648" s="2" t="s">
        <v>65</v>
      </c>
      <c r="D648" s="2" t="s">
        <v>542</v>
      </c>
      <c r="E648" s="2" t="s">
        <v>4</v>
      </c>
      <c r="F648" s="2" t="s">
        <v>17</v>
      </c>
      <c r="G648" s="2" t="s">
        <v>67</v>
      </c>
      <c r="H648" s="2"/>
      <c r="I648" s="2" t="s">
        <v>3389</v>
      </c>
      <c r="J648" s="3">
        <v>11.92</v>
      </c>
      <c r="K648" s="3">
        <v>11.92</v>
      </c>
      <c r="L648" s="2" t="s">
        <v>3391</v>
      </c>
      <c r="M648" s="2" t="s">
        <v>9</v>
      </c>
      <c r="N648" s="3">
        <v>802</v>
      </c>
      <c r="O648" s="2" t="s">
        <v>261</v>
      </c>
      <c r="P648" s="2" t="s">
        <v>186</v>
      </c>
      <c r="Q648" s="3"/>
      <c r="R648" s="3"/>
      <c r="S648" s="2" t="s">
        <v>21</v>
      </c>
      <c r="T648" s="4">
        <v>44955</v>
      </c>
      <c r="U648" s="2" t="s">
        <v>2309</v>
      </c>
      <c r="V648" s="6">
        <f>(Sales[[#This Row],[Price_retail]]-Sales[[#This Row],[Price_current]])/Sales[[#This Row],[Price_retail]]</f>
        <v>0</v>
      </c>
      <c r="W648" s="3" t="str" cm="1">
        <f t="array" ref="W64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49" spans="1:23" x14ac:dyDescent="0.35">
      <c r="A649" s="2" t="s">
        <v>2310</v>
      </c>
      <c r="B649" s="2" t="s">
        <v>2311</v>
      </c>
      <c r="C649" s="2" t="s">
        <v>25</v>
      </c>
      <c r="D649" s="2" t="s">
        <v>2312</v>
      </c>
      <c r="E649" s="2" t="s">
        <v>4</v>
      </c>
      <c r="F649" s="2" t="s">
        <v>5</v>
      </c>
      <c r="G649" s="2" t="s">
        <v>82</v>
      </c>
      <c r="H649" s="2" t="s">
        <v>145</v>
      </c>
      <c r="I649" s="2" t="s">
        <v>3393</v>
      </c>
      <c r="J649" s="3">
        <v>8.99</v>
      </c>
      <c r="K649" s="3">
        <v>8.99</v>
      </c>
      <c r="L649" s="2" t="s">
        <v>248</v>
      </c>
      <c r="M649" s="2" t="s">
        <v>9</v>
      </c>
      <c r="N649" s="3">
        <v>574</v>
      </c>
      <c r="O649" s="2" t="s">
        <v>287</v>
      </c>
      <c r="P649" s="2" t="s">
        <v>288</v>
      </c>
      <c r="Q649" s="3"/>
      <c r="R649" s="3"/>
      <c r="S649" s="2" t="s">
        <v>12</v>
      </c>
      <c r="T649" s="4">
        <v>44955</v>
      </c>
      <c r="U649" s="2" t="s">
        <v>2313</v>
      </c>
      <c r="V649" s="6">
        <f>(Sales[[#This Row],[Price_retail]]-Sales[[#This Row],[Price_current]])/Sales[[#This Row],[Price_retail]]</f>
        <v>0</v>
      </c>
      <c r="W649" s="3" t="str" cm="1">
        <f t="array" ref="W64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50" spans="1:23" x14ac:dyDescent="0.35">
      <c r="A650" s="2" t="s">
        <v>2314</v>
      </c>
      <c r="B650" s="2" t="s">
        <v>2315</v>
      </c>
      <c r="C650" s="2" t="s">
        <v>242</v>
      </c>
      <c r="D650" s="2" t="s">
        <v>608</v>
      </c>
      <c r="E650" s="2" t="s">
        <v>4</v>
      </c>
      <c r="F650" s="2" t="s">
        <v>17</v>
      </c>
      <c r="G650" s="2" t="s">
        <v>18</v>
      </c>
      <c r="H650" s="2" t="s">
        <v>51</v>
      </c>
      <c r="I650" s="2" t="s">
        <v>3390</v>
      </c>
      <c r="J650" s="3">
        <v>20.74</v>
      </c>
      <c r="K650" s="3">
        <v>20.74</v>
      </c>
      <c r="L650" s="2" t="s">
        <v>3391</v>
      </c>
      <c r="M650" s="2" t="s">
        <v>9</v>
      </c>
      <c r="N650" s="3">
        <v>218</v>
      </c>
      <c r="O650" s="2" t="s">
        <v>3392</v>
      </c>
      <c r="P650" s="2" t="s">
        <v>92</v>
      </c>
      <c r="Q650" s="3"/>
      <c r="R650" s="3"/>
      <c r="S650" s="2" t="s">
        <v>12</v>
      </c>
      <c r="T650" s="4">
        <v>44955</v>
      </c>
      <c r="U650" s="2" t="s">
        <v>2316</v>
      </c>
      <c r="V650" s="6">
        <f>(Sales[[#This Row],[Price_retail]]-Sales[[#This Row],[Price_current]])/Sales[[#This Row],[Price_retail]]</f>
        <v>0</v>
      </c>
      <c r="W650" s="3" t="str" cm="1">
        <f t="array" ref="W65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51" spans="1:23" x14ac:dyDescent="0.35">
      <c r="A651" s="2" t="s">
        <v>2317</v>
      </c>
      <c r="B651" s="2" t="s">
        <v>2318</v>
      </c>
      <c r="C651" s="2" t="s">
        <v>3394</v>
      </c>
      <c r="D651" s="2" t="s">
        <v>392</v>
      </c>
      <c r="E651" s="2" t="s">
        <v>4</v>
      </c>
      <c r="F651" s="2" t="s">
        <v>17</v>
      </c>
      <c r="G651" s="2" t="s">
        <v>18</v>
      </c>
      <c r="H651" s="2" t="s">
        <v>19</v>
      </c>
      <c r="I651" s="2" t="s">
        <v>3393</v>
      </c>
      <c r="J651" s="3">
        <v>8.99</v>
      </c>
      <c r="K651" s="3">
        <v>6.77</v>
      </c>
      <c r="L651" s="2" t="s">
        <v>8</v>
      </c>
      <c r="M651" s="2" t="s">
        <v>9</v>
      </c>
      <c r="N651" s="3">
        <v>392</v>
      </c>
      <c r="O651" s="2" t="s">
        <v>75</v>
      </c>
      <c r="P651" s="2" t="s">
        <v>92</v>
      </c>
      <c r="Q651" s="3"/>
      <c r="R651" s="3"/>
      <c r="S651" s="2" t="s">
        <v>12</v>
      </c>
      <c r="T651" s="4">
        <v>44955</v>
      </c>
      <c r="U651" s="2" t="s">
        <v>2319</v>
      </c>
      <c r="V651" s="6">
        <f>(Sales[[#This Row],[Price_retail]]-Sales[[#This Row],[Price_current]])/Sales[[#This Row],[Price_retail]]</f>
        <v>0.2469410456062292</v>
      </c>
      <c r="W651" s="3" t="str" cm="1">
        <f t="array" ref="W65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52" spans="1:23" x14ac:dyDescent="0.35">
      <c r="A652" s="2" t="s">
        <v>2320</v>
      </c>
      <c r="B652" s="2" t="s">
        <v>2321</v>
      </c>
      <c r="C652" s="2" t="s">
        <v>387</v>
      </c>
      <c r="D652" s="2" t="s">
        <v>1482</v>
      </c>
      <c r="E652" s="2" t="s">
        <v>4</v>
      </c>
      <c r="F652" s="2" t="s">
        <v>17</v>
      </c>
      <c r="G652" s="2" t="s">
        <v>18</v>
      </c>
      <c r="H652" s="2" t="s">
        <v>185</v>
      </c>
      <c r="I652" s="2" t="s">
        <v>3390</v>
      </c>
      <c r="J652" s="3">
        <v>10.29</v>
      </c>
      <c r="K652" s="3">
        <v>10.29</v>
      </c>
      <c r="L652" s="2" t="s">
        <v>248</v>
      </c>
      <c r="M652" s="2" t="s">
        <v>9</v>
      </c>
      <c r="N652" s="3">
        <v>682</v>
      </c>
      <c r="O652" s="2" t="s">
        <v>60</v>
      </c>
      <c r="P652" s="2" t="s">
        <v>3392</v>
      </c>
      <c r="Q652" s="3"/>
      <c r="R652" s="3"/>
      <c r="S652" s="2" t="s">
        <v>21</v>
      </c>
      <c r="T652" s="4">
        <v>44955</v>
      </c>
      <c r="U652" s="2" t="s">
        <v>2322</v>
      </c>
      <c r="V652" s="6">
        <f>(Sales[[#This Row],[Price_retail]]-Sales[[#This Row],[Price_current]])/Sales[[#This Row],[Price_retail]]</f>
        <v>0</v>
      </c>
      <c r="W652" s="3" t="str" cm="1">
        <f t="array" ref="W6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53" spans="1:23" x14ac:dyDescent="0.35">
      <c r="A653" s="2" t="s">
        <v>2323</v>
      </c>
      <c r="B653" s="2" t="s">
        <v>2324</v>
      </c>
      <c r="C653" s="2" t="s">
        <v>1028</v>
      </c>
      <c r="D653" s="2" t="s">
        <v>327</v>
      </c>
      <c r="E653" s="2" t="s">
        <v>4</v>
      </c>
      <c r="F653" s="2" t="s">
        <v>5</v>
      </c>
      <c r="G653" s="2" t="s">
        <v>82</v>
      </c>
      <c r="H653" s="2" t="s">
        <v>110</v>
      </c>
      <c r="I653" s="2" t="s">
        <v>3390</v>
      </c>
      <c r="J653" s="3">
        <v>15.56</v>
      </c>
      <c r="K653" s="3">
        <v>7.52</v>
      </c>
      <c r="L653" s="2" t="s">
        <v>8</v>
      </c>
      <c r="M653" s="2" t="s">
        <v>9</v>
      </c>
      <c r="N653" s="3">
        <v>361</v>
      </c>
      <c r="O653" s="2" t="s">
        <v>3392</v>
      </c>
      <c r="P653" s="2" t="s">
        <v>44</v>
      </c>
      <c r="Q653" s="3"/>
      <c r="R653" s="3"/>
      <c r="S653" s="2" t="s">
        <v>21</v>
      </c>
      <c r="T653" s="4">
        <v>44955</v>
      </c>
      <c r="U653" s="2" t="s">
        <v>2325</v>
      </c>
      <c r="V653" s="6">
        <f>(Sales[[#This Row],[Price_retail]]-Sales[[#This Row],[Price_current]])/Sales[[#This Row],[Price_retail]]</f>
        <v>0.51670951156812339</v>
      </c>
      <c r="W653" s="3" t="str" cm="1">
        <f t="array" ref="W653">_xlfn.IFS(Sales[[#This Row],[Discount]]=0%,"No Discount",Sales[[#This Row],[Discount]]&lt;=20%,"Light",Sales[[#This Row],[Discount]]&lt;=50%,"Moderate",Sales[[#This Row],[Discount]]&lt;=80%,"High",
TRUE,"Very High")</f>
        <v>High</v>
      </c>
    </row>
    <row r="654" spans="1:23" x14ac:dyDescent="0.35">
      <c r="A654" s="2" t="s">
        <v>2326</v>
      </c>
      <c r="B654" s="2" t="s">
        <v>2327</v>
      </c>
      <c r="C654" s="2" t="s">
        <v>367</v>
      </c>
      <c r="D654" s="2" t="s">
        <v>1184</v>
      </c>
      <c r="E654" s="2" t="s">
        <v>4</v>
      </c>
      <c r="F654" s="2" t="s">
        <v>17</v>
      </c>
      <c r="G654" s="2" t="s">
        <v>18</v>
      </c>
      <c r="H654" s="2" t="s">
        <v>90</v>
      </c>
      <c r="I654" s="2" t="s">
        <v>3393</v>
      </c>
      <c r="J654" s="3">
        <v>52.99</v>
      </c>
      <c r="K654" s="3">
        <v>52.99</v>
      </c>
      <c r="L654" s="2" t="s">
        <v>3391</v>
      </c>
      <c r="M654" s="2" t="s">
        <v>9</v>
      </c>
      <c r="N654" s="3">
        <v>338</v>
      </c>
      <c r="O654" s="2" t="s">
        <v>347</v>
      </c>
      <c r="P654" s="2" t="s">
        <v>84</v>
      </c>
      <c r="Q654" s="3"/>
      <c r="R654" s="3"/>
      <c r="S654" s="2" t="s">
        <v>21</v>
      </c>
      <c r="T654" s="4">
        <v>44955</v>
      </c>
      <c r="U654" s="2" t="s">
        <v>2328</v>
      </c>
      <c r="V654" s="6">
        <f>(Sales[[#This Row],[Price_retail]]-Sales[[#This Row],[Price_current]])/Sales[[#This Row],[Price_retail]]</f>
        <v>0</v>
      </c>
      <c r="W654" s="3" t="str" cm="1">
        <f t="array" ref="W6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55" spans="1:23" x14ac:dyDescent="0.35">
      <c r="A655" s="2" t="s">
        <v>2329</v>
      </c>
      <c r="B655" s="2" t="s">
        <v>2330</v>
      </c>
      <c r="C655" s="2" t="s">
        <v>387</v>
      </c>
      <c r="D655" s="2" t="s">
        <v>501</v>
      </c>
      <c r="E655" s="2" t="s">
        <v>4</v>
      </c>
      <c r="F655" s="2" t="s">
        <v>17</v>
      </c>
      <c r="G655" s="2" t="s">
        <v>67</v>
      </c>
      <c r="H655" s="2" t="s">
        <v>83</v>
      </c>
      <c r="I655" s="2" t="s">
        <v>3390</v>
      </c>
      <c r="J655" s="3">
        <v>10.72</v>
      </c>
      <c r="K655" s="3">
        <v>10.72</v>
      </c>
      <c r="L655" s="2" t="s">
        <v>3391</v>
      </c>
      <c r="M655" s="2" t="s">
        <v>9</v>
      </c>
      <c r="N655" s="3">
        <v>29</v>
      </c>
      <c r="O655" s="2" t="s">
        <v>91</v>
      </c>
      <c r="P655" s="2" t="s">
        <v>177</v>
      </c>
      <c r="Q655" s="3"/>
      <c r="R655" s="3"/>
      <c r="S655" s="2" t="s">
        <v>21</v>
      </c>
      <c r="T655" s="4">
        <v>44955</v>
      </c>
      <c r="U655" s="2" t="s">
        <v>2331</v>
      </c>
      <c r="V655" s="6">
        <f>(Sales[[#This Row],[Price_retail]]-Sales[[#This Row],[Price_current]])/Sales[[#This Row],[Price_retail]]</f>
        <v>0</v>
      </c>
      <c r="W655" s="3" t="str" cm="1">
        <f t="array" ref="W65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56" spans="1:23" x14ac:dyDescent="0.35">
      <c r="A656" s="2" t="s">
        <v>2332</v>
      </c>
      <c r="B656" s="2" t="s">
        <v>2333</v>
      </c>
      <c r="C656" s="2" t="s">
        <v>569</v>
      </c>
      <c r="D656" s="2" t="s">
        <v>725</v>
      </c>
      <c r="E656" s="2" t="s">
        <v>4</v>
      </c>
      <c r="F656" s="2" t="s">
        <v>17</v>
      </c>
      <c r="G656" s="2" t="s">
        <v>18</v>
      </c>
      <c r="H656" s="2" t="s">
        <v>110</v>
      </c>
      <c r="I656" s="2" t="s">
        <v>3390</v>
      </c>
      <c r="J656" s="3">
        <v>12.16</v>
      </c>
      <c r="K656" s="3">
        <v>7.34</v>
      </c>
      <c r="L656" s="2" t="s">
        <v>8</v>
      </c>
      <c r="M656" s="2" t="s">
        <v>9</v>
      </c>
      <c r="N656" s="3">
        <v>934</v>
      </c>
      <c r="O656" s="2" t="s">
        <v>267</v>
      </c>
      <c r="P656" s="2" t="s">
        <v>61</v>
      </c>
      <c r="Q656" s="3"/>
      <c r="R656" s="3"/>
      <c r="S656" s="2" t="s">
        <v>12</v>
      </c>
      <c r="T656" s="4">
        <v>44955</v>
      </c>
      <c r="U656" s="2" t="s">
        <v>2334</v>
      </c>
      <c r="V656" s="6">
        <f>(Sales[[#This Row],[Price_retail]]-Sales[[#This Row],[Price_current]])/Sales[[#This Row],[Price_retail]]</f>
        <v>0.39638157894736842</v>
      </c>
      <c r="W656" s="3" t="str" cm="1">
        <f t="array" ref="W65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57" spans="1:23" x14ac:dyDescent="0.35">
      <c r="A657" s="2" t="s">
        <v>2335</v>
      </c>
      <c r="B657" s="2" t="s">
        <v>2336</v>
      </c>
      <c r="C657" s="2" t="s">
        <v>616</v>
      </c>
      <c r="D657" s="2" t="s">
        <v>1050</v>
      </c>
      <c r="E657" s="2" t="s">
        <v>4</v>
      </c>
      <c r="F657" s="2" t="s">
        <v>5</v>
      </c>
      <c r="G657" s="2" t="s">
        <v>6</v>
      </c>
      <c r="H657" s="2" t="s">
        <v>68</v>
      </c>
      <c r="I657" s="2" t="s">
        <v>3390</v>
      </c>
      <c r="J657" s="3">
        <v>23.4</v>
      </c>
      <c r="K657" s="3">
        <v>134</v>
      </c>
      <c r="L657" s="2" t="s">
        <v>8</v>
      </c>
      <c r="M657" s="2" t="s">
        <v>9</v>
      </c>
      <c r="N657" s="3">
        <v>851</v>
      </c>
      <c r="O657" s="2" t="s">
        <v>140</v>
      </c>
      <c r="P657" s="2" t="s">
        <v>186</v>
      </c>
      <c r="Q657" s="3"/>
      <c r="R657" s="3"/>
      <c r="S657" s="2" t="s">
        <v>21</v>
      </c>
      <c r="T657" s="4">
        <v>44955</v>
      </c>
      <c r="U657" s="2" t="s">
        <v>2337</v>
      </c>
      <c r="V657" s="6">
        <f>(Sales[[#This Row],[Price_retail]]-Sales[[#This Row],[Price_current]])/Sales[[#This Row],[Price_retail]]</f>
        <v>-4.7264957264957266</v>
      </c>
      <c r="W657" s="3" t="str" cm="1">
        <f t="array" ref="W657">_xlfn.IFS(Sales[[#This Row],[Discount]]=0%,"No Discount",Sales[[#This Row],[Discount]]&lt;=20%,"Light",Sales[[#This Row],[Discount]]&lt;=50%,"Moderate",Sales[[#This Row],[Discount]]&lt;=80%,"High",
TRUE,"Very High")</f>
        <v>Light</v>
      </c>
    </row>
    <row r="658" spans="1:23" x14ac:dyDescent="0.35">
      <c r="A658" s="2" t="s">
        <v>2338</v>
      </c>
      <c r="B658" s="2" t="s">
        <v>2339</v>
      </c>
      <c r="C658" s="2" t="s">
        <v>3394</v>
      </c>
      <c r="D658" s="2" t="s">
        <v>446</v>
      </c>
      <c r="E658" s="2" t="s">
        <v>4</v>
      </c>
      <c r="F658" s="2" t="s">
        <v>17</v>
      </c>
      <c r="G658" s="2" t="s">
        <v>27</v>
      </c>
      <c r="H658" s="2" t="s">
        <v>145</v>
      </c>
      <c r="I658" s="2" t="s">
        <v>3393</v>
      </c>
      <c r="J658" s="3">
        <v>8.99</v>
      </c>
      <c r="K658" s="3">
        <v>6.73</v>
      </c>
      <c r="L658" s="2" t="s">
        <v>8</v>
      </c>
      <c r="M658" s="2" t="s">
        <v>9</v>
      </c>
      <c r="N658" s="3">
        <v>814</v>
      </c>
      <c r="O658" s="2" t="s">
        <v>36</v>
      </c>
      <c r="P658" s="2" t="s">
        <v>92</v>
      </c>
      <c r="Q658" s="3"/>
      <c r="R658" s="3"/>
      <c r="S658" s="2" t="s">
        <v>12</v>
      </c>
      <c r="T658" s="4">
        <v>44955</v>
      </c>
      <c r="U658" s="2" t="s">
        <v>2340</v>
      </c>
      <c r="V658" s="6">
        <f>(Sales[[#This Row],[Price_retail]]-Sales[[#This Row],[Price_current]])/Sales[[#This Row],[Price_retail]]</f>
        <v>0.25139043381535037</v>
      </c>
      <c r="W658" s="3" t="str" cm="1">
        <f t="array" ref="W65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59" spans="1:23" x14ac:dyDescent="0.35">
      <c r="A659" s="2" t="s">
        <v>2341</v>
      </c>
      <c r="B659" s="2" t="s">
        <v>2342</v>
      </c>
      <c r="C659" s="2" t="s">
        <v>108</v>
      </c>
      <c r="D659" s="2" t="s">
        <v>214</v>
      </c>
      <c r="E659" s="2" t="s">
        <v>4</v>
      </c>
      <c r="F659" s="2" t="s">
        <v>5</v>
      </c>
      <c r="G659" s="2" t="s">
        <v>6</v>
      </c>
      <c r="H659" s="2" t="s">
        <v>139</v>
      </c>
      <c r="I659" s="2" t="s">
        <v>3395</v>
      </c>
      <c r="J659" s="3">
        <v>19.96</v>
      </c>
      <c r="K659" s="3">
        <v>19.96</v>
      </c>
      <c r="L659" s="2" t="s">
        <v>3391</v>
      </c>
      <c r="M659" s="2" t="s">
        <v>9</v>
      </c>
      <c r="N659" s="3">
        <v>908</v>
      </c>
      <c r="O659" s="2" t="s">
        <v>191</v>
      </c>
      <c r="P659" s="2" t="s">
        <v>368</v>
      </c>
      <c r="Q659" s="3"/>
      <c r="R659" s="3"/>
      <c r="S659" s="2" t="s">
        <v>21</v>
      </c>
      <c r="T659" s="4">
        <v>44955</v>
      </c>
      <c r="U659" s="2" t="s">
        <v>2343</v>
      </c>
      <c r="V659" s="6">
        <f>(Sales[[#This Row],[Price_retail]]-Sales[[#This Row],[Price_current]])/Sales[[#This Row],[Price_retail]]</f>
        <v>0</v>
      </c>
      <c r="W659" s="3" t="str" cm="1">
        <f t="array" ref="W65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60" spans="1:23" x14ac:dyDescent="0.35">
      <c r="A660" s="2" t="s">
        <v>2344</v>
      </c>
      <c r="B660" s="2" t="s">
        <v>2345</v>
      </c>
      <c r="C660" s="2" t="s">
        <v>318</v>
      </c>
      <c r="D660" s="2" t="s">
        <v>905</v>
      </c>
      <c r="E660" s="2" t="s">
        <v>4</v>
      </c>
      <c r="F660" s="2" t="s">
        <v>5</v>
      </c>
      <c r="G660" s="2" t="s">
        <v>121</v>
      </c>
      <c r="H660" s="2" t="s">
        <v>28</v>
      </c>
      <c r="I660" s="2" t="s">
        <v>3390</v>
      </c>
      <c r="J660" s="3">
        <v>30.36</v>
      </c>
      <c r="K660" s="3">
        <v>25.95</v>
      </c>
      <c r="L660" s="2" t="s">
        <v>8</v>
      </c>
      <c r="M660" s="2" t="s">
        <v>9</v>
      </c>
      <c r="N660" s="3">
        <v>664</v>
      </c>
      <c r="O660" s="2" t="s">
        <v>359</v>
      </c>
      <c r="P660" s="2" t="s">
        <v>186</v>
      </c>
      <c r="Q660" s="3"/>
      <c r="R660" s="3"/>
      <c r="S660" s="2" t="s">
        <v>21</v>
      </c>
      <c r="T660" s="4">
        <v>44955</v>
      </c>
      <c r="U660" s="2" t="s">
        <v>2346</v>
      </c>
      <c r="V660" s="6">
        <f>(Sales[[#This Row],[Price_retail]]-Sales[[#This Row],[Price_current]])/Sales[[#This Row],[Price_retail]]</f>
        <v>0.14525691699604742</v>
      </c>
      <c r="W660" s="3" t="str" cm="1">
        <f t="array" ref="W660">_xlfn.IFS(Sales[[#This Row],[Discount]]=0%,"No Discount",Sales[[#This Row],[Discount]]&lt;=20%,"Light",Sales[[#This Row],[Discount]]&lt;=50%,"Moderate",Sales[[#This Row],[Discount]]&lt;=80%,"High",
TRUE,"Very High")</f>
        <v>Light</v>
      </c>
    </row>
    <row r="661" spans="1:23" x14ac:dyDescent="0.35">
      <c r="A661" s="2" t="s">
        <v>2347</v>
      </c>
      <c r="B661" s="2" t="s">
        <v>2348</v>
      </c>
      <c r="C661" s="2" t="s">
        <v>901</v>
      </c>
      <c r="D661" s="2" t="s">
        <v>1602</v>
      </c>
      <c r="E661" s="2" t="s">
        <v>4</v>
      </c>
      <c r="F661" s="2" t="s">
        <v>5</v>
      </c>
      <c r="G661" s="2" t="s">
        <v>121</v>
      </c>
      <c r="H661" s="2" t="s">
        <v>418</v>
      </c>
      <c r="I661" s="2" t="s">
        <v>3393</v>
      </c>
      <c r="J661" s="3">
        <v>13.21</v>
      </c>
      <c r="K661" s="3">
        <v>7.73</v>
      </c>
      <c r="L661" s="2" t="s">
        <v>8</v>
      </c>
      <c r="M661" s="2" t="s">
        <v>9</v>
      </c>
      <c r="N661" s="3">
        <v>526</v>
      </c>
      <c r="O661" s="2" t="s">
        <v>302</v>
      </c>
      <c r="P661" s="2" t="s">
        <v>76</v>
      </c>
      <c r="Q661" s="3"/>
      <c r="R661" s="3"/>
      <c r="S661" s="2" t="s">
        <v>21</v>
      </c>
      <c r="T661" s="4">
        <v>44955</v>
      </c>
      <c r="U661" s="2" t="s">
        <v>2349</v>
      </c>
      <c r="V661" s="6">
        <f>(Sales[[#This Row],[Price_retail]]-Sales[[#This Row],[Price_current]])/Sales[[#This Row],[Price_retail]]</f>
        <v>0.41483724451173354</v>
      </c>
      <c r="W661" s="3" t="str" cm="1">
        <f t="array" ref="W66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62" spans="1:23" x14ac:dyDescent="0.35">
      <c r="A662" s="2" t="s">
        <v>2350</v>
      </c>
      <c r="B662" s="2" t="s">
        <v>2351</v>
      </c>
      <c r="C662" s="2" t="s">
        <v>3407</v>
      </c>
      <c r="D662" s="2" t="s">
        <v>16</v>
      </c>
      <c r="E662" s="2" t="s">
        <v>4</v>
      </c>
      <c r="F662" s="2" t="s">
        <v>17</v>
      </c>
      <c r="G662" s="2" t="s">
        <v>50</v>
      </c>
      <c r="H662" s="2" t="s">
        <v>19</v>
      </c>
      <c r="I662" s="2" t="s">
        <v>3393</v>
      </c>
      <c r="J662" s="3">
        <v>27.51</v>
      </c>
      <c r="K662" s="3">
        <v>15.36</v>
      </c>
      <c r="L662" s="2" t="s">
        <v>8</v>
      </c>
      <c r="M662" s="2" t="s">
        <v>9</v>
      </c>
      <c r="N662" s="3">
        <v>215</v>
      </c>
      <c r="O662" s="2" t="s">
        <v>91</v>
      </c>
      <c r="P662" s="2" t="s">
        <v>3392</v>
      </c>
      <c r="Q662" s="3"/>
      <c r="R662" s="3"/>
      <c r="S662" s="2" t="s">
        <v>21</v>
      </c>
      <c r="T662" s="4">
        <v>44955</v>
      </c>
      <c r="U662" s="2" t="s">
        <v>2352</v>
      </c>
      <c r="V662" s="6">
        <f>(Sales[[#This Row],[Price_retail]]-Sales[[#This Row],[Price_current]])/Sales[[#This Row],[Price_retail]]</f>
        <v>0.44165757906215924</v>
      </c>
      <c r="W662" s="3" t="str" cm="1">
        <f t="array" ref="W66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63" spans="1:23" x14ac:dyDescent="0.35">
      <c r="A663" s="2" t="s">
        <v>2353</v>
      </c>
      <c r="B663" s="2" t="s">
        <v>2354</v>
      </c>
      <c r="C663" s="2" t="s">
        <v>271</v>
      </c>
      <c r="D663" s="2" t="s">
        <v>432</v>
      </c>
      <c r="E663" s="2" t="s">
        <v>4</v>
      </c>
      <c r="F663" s="2" t="s">
        <v>5</v>
      </c>
      <c r="G663" s="2" t="s">
        <v>121</v>
      </c>
      <c r="H663" s="2" t="s">
        <v>35</v>
      </c>
      <c r="I663" s="2" t="s">
        <v>3393</v>
      </c>
      <c r="J663" s="3">
        <v>18.36</v>
      </c>
      <c r="K663" s="3">
        <v>10.35</v>
      </c>
      <c r="L663" s="2" t="s">
        <v>8</v>
      </c>
      <c r="M663" s="2" t="s">
        <v>9</v>
      </c>
      <c r="N663" s="3">
        <v>591</v>
      </c>
      <c r="O663" s="2" t="s">
        <v>43</v>
      </c>
      <c r="P663" s="2" t="s">
        <v>3392</v>
      </c>
      <c r="Q663" s="3"/>
      <c r="R663" s="3"/>
      <c r="S663" s="2" t="s">
        <v>21</v>
      </c>
      <c r="T663" s="4">
        <v>44955</v>
      </c>
      <c r="U663" s="2" t="s">
        <v>2355</v>
      </c>
      <c r="V663" s="6">
        <f>(Sales[[#This Row],[Price_retail]]-Sales[[#This Row],[Price_current]])/Sales[[#This Row],[Price_retail]]</f>
        <v>0.43627450980392157</v>
      </c>
      <c r="W663" s="3" t="str" cm="1">
        <f t="array" ref="W66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64" spans="1:23" x14ac:dyDescent="0.35">
      <c r="A664" s="2" t="s">
        <v>2356</v>
      </c>
      <c r="B664" s="2" t="s">
        <v>2357</v>
      </c>
      <c r="C664" s="2" t="s">
        <v>703</v>
      </c>
      <c r="D664" s="2" t="s">
        <v>1139</v>
      </c>
      <c r="E664" s="2" t="s">
        <v>4</v>
      </c>
      <c r="F664" s="2" t="s">
        <v>17</v>
      </c>
      <c r="G664" s="2" t="s">
        <v>67</v>
      </c>
      <c r="H664" s="2" t="s">
        <v>418</v>
      </c>
      <c r="I664" s="2" t="s">
        <v>3390</v>
      </c>
      <c r="J664" s="3">
        <v>10.47</v>
      </c>
      <c r="K664" s="3">
        <v>6.75</v>
      </c>
      <c r="L664" s="2" t="s">
        <v>8</v>
      </c>
      <c r="M664" s="2" t="s">
        <v>9</v>
      </c>
      <c r="N664" s="3">
        <v>843</v>
      </c>
      <c r="O664" s="2" t="s">
        <v>3392</v>
      </c>
      <c r="P664" s="2" t="s">
        <v>84</v>
      </c>
      <c r="Q664" s="3"/>
      <c r="R664" s="3"/>
      <c r="S664" s="2" t="s">
        <v>21</v>
      </c>
      <c r="T664" s="4">
        <v>44955</v>
      </c>
      <c r="U664" s="2" t="s">
        <v>2358</v>
      </c>
      <c r="V664" s="6">
        <f>(Sales[[#This Row],[Price_retail]]-Sales[[#This Row],[Price_current]])/Sales[[#This Row],[Price_retail]]</f>
        <v>0.35530085959885394</v>
      </c>
      <c r="W664" s="3" t="str" cm="1">
        <f t="array" ref="W66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65" spans="1:23" x14ac:dyDescent="0.35">
      <c r="A665" s="2" t="s">
        <v>2359</v>
      </c>
      <c r="B665" s="2" t="s">
        <v>2360</v>
      </c>
      <c r="C665" s="2" t="s">
        <v>65</v>
      </c>
      <c r="D665" s="2" t="s">
        <v>699</v>
      </c>
      <c r="E665" s="2" t="s">
        <v>4</v>
      </c>
      <c r="F665" s="2" t="s">
        <v>5</v>
      </c>
      <c r="G665" s="2" t="s">
        <v>6</v>
      </c>
      <c r="H665" s="2" t="s">
        <v>68</v>
      </c>
      <c r="I665" s="2" t="s">
        <v>3395</v>
      </c>
      <c r="J665" s="3">
        <v>14.03</v>
      </c>
      <c r="K665" s="3">
        <v>14.03</v>
      </c>
      <c r="L665" s="2" t="s">
        <v>3391</v>
      </c>
      <c r="M665" s="2" t="s">
        <v>9</v>
      </c>
      <c r="N665" s="3">
        <v>894</v>
      </c>
      <c r="O665" s="2" t="s">
        <v>36</v>
      </c>
      <c r="P665" s="2" t="s">
        <v>553</v>
      </c>
      <c r="Q665" s="3"/>
      <c r="R665" s="3"/>
      <c r="S665" s="2" t="s">
        <v>21</v>
      </c>
      <c r="T665" s="4">
        <v>44955</v>
      </c>
      <c r="U665" s="2" t="s">
        <v>2361</v>
      </c>
      <c r="V665" s="6">
        <f>(Sales[[#This Row],[Price_retail]]-Sales[[#This Row],[Price_current]])/Sales[[#This Row],[Price_retail]]</f>
        <v>0</v>
      </c>
      <c r="W665" s="3" t="str" cm="1">
        <f t="array" ref="W6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66" spans="1:23" x14ac:dyDescent="0.35">
      <c r="A666" s="2" t="s">
        <v>2362</v>
      </c>
      <c r="B666" s="2" t="s">
        <v>2363</v>
      </c>
      <c r="C666" s="2" t="s">
        <v>3394</v>
      </c>
      <c r="D666" s="2" t="s">
        <v>1206</v>
      </c>
      <c r="E666" s="2" t="s">
        <v>4</v>
      </c>
      <c r="F666" s="2" t="s">
        <v>17</v>
      </c>
      <c r="G666" s="2" t="s">
        <v>67</v>
      </c>
      <c r="H666" s="2" t="s">
        <v>418</v>
      </c>
      <c r="I666" s="2" t="s">
        <v>3390</v>
      </c>
      <c r="J666" s="3">
        <v>12.69</v>
      </c>
      <c r="K666" s="3">
        <v>9.9700000000000006</v>
      </c>
      <c r="L666" s="2" t="s">
        <v>8</v>
      </c>
      <c r="M666" s="2" t="s">
        <v>9</v>
      </c>
      <c r="N666" s="3">
        <v>759</v>
      </c>
      <c r="O666" s="2" t="s">
        <v>140</v>
      </c>
      <c r="P666" s="2" t="s">
        <v>76</v>
      </c>
      <c r="Q666" s="3"/>
      <c r="R666" s="3"/>
      <c r="S666" s="2" t="s">
        <v>21</v>
      </c>
      <c r="T666" s="4">
        <v>44955</v>
      </c>
      <c r="U666" s="2" t="s">
        <v>2364</v>
      </c>
      <c r="V666" s="6">
        <f>(Sales[[#This Row],[Price_retail]]-Sales[[#This Row],[Price_current]])/Sales[[#This Row],[Price_retail]]</f>
        <v>0.21434200157604405</v>
      </c>
      <c r="W666" s="3" t="str" cm="1">
        <f t="array" ref="W66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67" spans="1:23" x14ac:dyDescent="0.35">
      <c r="A667" s="2" t="s">
        <v>2365</v>
      </c>
      <c r="B667" s="2" t="s">
        <v>2366</v>
      </c>
      <c r="C667" s="2" t="s">
        <v>219</v>
      </c>
      <c r="D667" s="2" t="s">
        <v>640</v>
      </c>
      <c r="E667" s="2" t="s">
        <v>4</v>
      </c>
      <c r="F667" s="2" t="s">
        <v>17</v>
      </c>
      <c r="G667" s="2" t="s">
        <v>27</v>
      </c>
      <c r="H667" s="2" t="s">
        <v>139</v>
      </c>
      <c r="I667" s="2" t="s">
        <v>3393</v>
      </c>
      <c r="J667" s="3">
        <v>32.36</v>
      </c>
      <c r="K667" s="3">
        <v>32.36</v>
      </c>
      <c r="L667" s="2" t="s">
        <v>3391</v>
      </c>
      <c r="M667" s="2" t="s">
        <v>9</v>
      </c>
      <c r="N667" s="3">
        <v>289</v>
      </c>
      <c r="O667" s="2" t="s">
        <v>91</v>
      </c>
      <c r="P667" s="2" t="s">
        <v>553</v>
      </c>
      <c r="Q667" s="3"/>
      <c r="R667" s="3"/>
      <c r="S667" s="2" t="s">
        <v>12</v>
      </c>
      <c r="T667" s="4">
        <v>44955</v>
      </c>
      <c r="U667" s="2" t="s">
        <v>2367</v>
      </c>
      <c r="V667" s="6">
        <f>(Sales[[#This Row],[Price_retail]]-Sales[[#This Row],[Price_current]])/Sales[[#This Row],[Price_retail]]</f>
        <v>0</v>
      </c>
      <c r="W667" s="3" t="str" cm="1">
        <f t="array" ref="W6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68" spans="1:23" x14ac:dyDescent="0.35">
      <c r="A668" s="2" t="s">
        <v>2368</v>
      </c>
      <c r="B668" s="2" t="s">
        <v>2369</v>
      </c>
      <c r="C668" s="2" t="s">
        <v>3394</v>
      </c>
      <c r="D668" s="2" t="s">
        <v>2370</v>
      </c>
      <c r="E668" s="2" t="s">
        <v>4</v>
      </c>
      <c r="F668" s="2" t="s">
        <v>5</v>
      </c>
      <c r="G668" s="2" t="s">
        <v>121</v>
      </c>
      <c r="H668" s="2" t="s">
        <v>185</v>
      </c>
      <c r="I668" s="2" t="s">
        <v>3390</v>
      </c>
      <c r="J668" s="3">
        <v>17.010000000000002</v>
      </c>
      <c r="K668" s="3">
        <v>17.010000000000002</v>
      </c>
      <c r="L668" s="2" t="s">
        <v>3391</v>
      </c>
      <c r="M668" s="2" t="s">
        <v>9</v>
      </c>
      <c r="N668" s="3">
        <v>710</v>
      </c>
      <c r="O668" s="2" t="s">
        <v>3392</v>
      </c>
      <c r="P668" s="2" t="s">
        <v>192</v>
      </c>
      <c r="Q668" s="3"/>
      <c r="R668" s="3"/>
      <c r="S668" s="2" t="s">
        <v>21</v>
      </c>
      <c r="T668" s="4">
        <v>44955</v>
      </c>
      <c r="U668" s="2" t="s">
        <v>2371</v>
      </c>
      <c r="V668" s="6">
        <f>(Sales[[#This Row],[Price_retail]]-Sales[[#This Row],[Price_current]])/Sales[[#This Row],[Price_retail]]</f>
        <v>0</v>
      </c>
      <c r="W668" s="3" t="str" cm="1">
        <f t="array" ref="W66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69" spans="1:23" x14ac:dyDescent="0.35">
      <c r="A669" s="2" t="s">
        <v>2372</v>
      </c>
      <c r="B669" s="2" t="s">
        <v>2373</v>
      </c>
      <c r="C669" s="2" t="s">
        <v>2374</v>
      </c>
      <c r="D669" s="2" t="s">
        <v>633</v>
      </c>
      <c r="E669" s="2" t="s">
        <v>4</v>
      </c>
      <c r="F669" s="2" t="s">
        <v>5</v>
      </c>
      <c r="G669" s="2" t="s">
        <v>6</v>
      </c>
      <c r="H669" s="2"/>
      <c r="I669" s="2" t="s">
        <v>3393</v>
      </c>
      <c r="J669" s="3">
        <v>21.62</v>
      </c>
      <c r="K669" s="3">
        <v>21.62</v>
      </c>
      <c r="L669" s="2" t="s">
        <v>3391</v>
      </c>
      <c r="M669" s="2" t="s">
        <v>9</v>
      </c>
      <c r="N669" s="3">
        <v>559</v>
      </c>
      <c r="O669" s="2" t="s">
        <v>60</v>
      </c>
      <c r="P669" s="2" t="s">
        <v>221</v>
      </c>
      <c r="Q669" s="3"/>
      <c r="R669" s="3"/>
      <c r="S669" s="2" t="s">
        <v>21</v>
      </c>
      <c r="T669" s="4">
        <v>44955</v>
      </c>
      <c r="U669" s="2" t="s">
        <v>2375</v>
      </c>
      <c r="V669" s="6">
        <f>(Sales[[#This Row],[Price_retail]]-Sales[[#This Row],[Price_current]])/Sales[[#This Row],[Price_retail]]</f>
        <v>0</v>
      </c>
      <c r="W669" s="3" t="str" cm="1">
        <f t="array" ref="W66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70" spans="1:23" x14ac:dyDescent="0.35">
      <c r="A670" s="2" t="s">
        <v>2376</v>
      </c>
      <c r="B670" s="2" t="s">
        <v>2377</v>
      </c>
      <c r="C670" s="2" t="s">
        <v>1355</v>
      </c>
      <c r="D670" s="2" t="s">
        <v>319</v>
      </c>
      <c r="E670" s="2" t="s">
        <v>4</v>
      </c>
      <c r="F670" s="2" t="s">
        <v>5</v>
      </c>
      <c r="G670" s="2" t="s">
        <v>82</v>
      </c>
      <c r="H670" s="2" t="s">
        <v>90</v>
      </c>
      <c r="I670" s="2" t="s">
        <v>3393</v>
      </c>
      <c r="J670" s="3">
        <v>20.69</v>
      </c>
      <c r="K670" s="3">
        <v>20.69</v>
      </c>
      <c r="L670" s="2" t="s">
        <v>3391</v>
      </c>
      <c r="M670" s="2" t="s">
        <v>9</v>
      </c>
      <c r="N670" s="3">
        <v>450</v>
      </c>
      <c r="O670" s="2" t="s">
        <v>104</v>
      </c>
      <c r="P670" s="2" t="s">
        <v>169</v>
      </c>
      <c r="Q670" s="3"/>
      <c r="R670" s="3"/>
      <c r="S670" s="2" t="s">
        <v>21</v>
      </c>
      <c r="T670" s="4">
        <v>44955</v>
      </c>
      <c r="U670" s="2" t="s">
        <v>2378</v>
      </c>
      <c r="V670" s="6">
        <f>(Sales[[#This Row],[Price_retail]]-Sales[[#This Row],[Price_current]])/Sales[[#This Row],[Price_retail]]</f>
        <v>0</v>
      </c>
      <c r="W670" s="3" t="str" cm="1">
        <f t="array" ref="W6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71" spans="1:23" x14ac:dyDescent="0.35">
      <c r="A671" s="2" t="s">
        <v>2379</v>
      </c>
      <c r="B671" s="2" t="s">
        <v>2380</v>
      </c>
      <c r="C671" s="2" t="s">
        <v>1090</v>
      </c>
      <c r="D671" s="2" t="s">
        <v>1723</v>
      </c>
      <c r="E671" s="2" t="s">
        <v>4</v>
      </c>
      <c r="F671" s="2" t="s">
        <v>17</v>
      </c>
      <c r="G671" s="2" t="s">
        <v>27</v>
      </c>
      <c r="H671" s="2" t="s">
        <v>139</v>
      </c>
      <c r="I671" s="2" t="s">
        <v>3393</v>
      </c>
      <c r="J671" s="3">
        <v>8.99</v>
      </c>
      <c r="K671" s="3">
        <v>3.99</v>
      </c>
      <c r="L671" s="2" t="s">
        <v>8</v>
      </c>
      <c r="M671" s="2" t="s">
        <v>9</v>
      </c>
      <c r="N671" s="3">
        <v>197</v>
      </c>
      <c r="O671" s="2" t="s">
        <v>91</v>
      </c>
      <c r="P671" s="2" t="s">
        <v>128</v>
      </c>
      <c r="Q671" s="3"/>
      <c r="R671" s="3"/>
      <c r="S671" s="2" t="s">
        <v>21</v>
      </c>
      <c r="T671" s="4">
        <v>44955</v>
      </c>
      <c r="U671" s="2" t="s">
        <v>2381</v>
      </c>
      <c r="V671" s="6">
        <f>(Sales[[#This Row],[Price_retail]]-Sales[[#This Row],[Price_current]])/Sales[[#This Row],[Price_retail]]</f>
        <v>0.55617352614015569</v>
      </c>
      <c r="W671" s="3" t="str" cm="1">
        <f t="array" ref="W671">_xlfn.IFS(Sales[[#This Row],[Discount]]=0%,"No Discount",Sales[[#This Row],[Discount]]&lt;=20%,"Light",Sales[[#This Row],[Discount]]&lt;=50%,"Moderate",Sales[[#This Row],[Discount]]&lt;=80%,"High",
TRUE,"Very High")</f>
        <v>High</v>
      </c>
    </row>
    <row r="672" spans="1:23" x14ac:dyDescent="0.35">
      <c r="A672" s="2" t="s">
        <v>2382</v>
      </c>
      <c r="B672" s="2" t="s">
        <v>2383</v>
      </c>
      <c r="C672" s="2" t="s">
        <v>65</v>
      </c>
      <c r="D672" s="2" t="s">
        <v>887</v>
      </c>
      <c r="E672" s="2" t="s">
        <v>4</v>
      </c>
      <c r="F672" s="2" t="s">
        <v>5</v>
      </c>
      <c r="G672" s="2" t="s">
        <v>6</v>
      </c>
      <c r="H672" s="2" t="s">
        <v>185</v>
      </c>
      <c r="I672" s="2" t="s">
        <v>3393</v>
      </c>
      <c r="J672" s="3">
        <v>24.52</v>
      </c>
      <c r="K672" s="3">
        <v>24.52</v>
      </c>
      <c r="L672" s="2" t="s">
        <v>3391</v>
      </c>
      <c r="M672" s="2" t="s">
        <v>9</v>
      </c>
      <c r="N672" s="3">
        <v>19</v>
      </c>
      <c r="O672" s="2" t="s">
        <v>191</v>
      </c>
      <c r="P672" s="2" t="s">
        <v>37</v>
      </c>
      <c r="Q672" s="3"/>
      <c r="R672" s="3"/>
      <c r="S672" s="2" t="s">
        <v>21</v>
      </c>
      <c r="T672" s="4">
        <v>44955</v>
      </c>
      <c r="U672" s="2" t="s">
        <v>2384</v>
      </c>
      <c r="V672" s="6">
        <f>(Sales[[#This Row],[Price_retail]]-Sales[[#This Row],[Price_current]])/Sales[[#This Row],[Price_retail]]</f>
        <v>0</v>
      </c>
      <c r="W672" s="3" t="str" cm="1">
        <f t="array" ref="W67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73" spans="1:23" x14ac:dyDescent="0.35">
      <c r="A673" s="2" t="s">
        <v>2385</v>
      </c>
      <c r="B673" s="2" t="s">
        <v>2386</v>
      </c>
      <c r="C673" s="2" t="s">
        <v>306</v>
      </c>
      <c r="D673" s="2" t="s">
        <v>1723</v>
      </c>
      <c r="E673" s="2" t="s">
        <v>4</v>
      </c>
      <c r="F673" s="2" t="s">
        <v>17</v>
      </c>
      <c r="G673" s="2" t="s">
        <v>50</v>
      </c>
      <c r="H673" s="2" t="s">
        <v>139</v>
      </c>
      <c r="I673" s="2" t="s">
        <v>3395</v>
      </c>
      <c r="J673" s="3">
        <v>8.99</v>
      </c>
      <c r="K673" s="3">
        <v>8.99</v>
      </c>
      <c r="L673" s="2" t="s">
        <v>3391</v>
      </c>
      <c r="M673" s="2" t="s">
        <v>9</v>
      </c>
      <c r="N673" s="3">
        <v>778</v>
      </c>
      <c r="O673" s="2" t="s">
        <v>347</v>
      </c>
      <c r="P673" s="2" t="s">
        <v>128</v>
      </c>
      <c r="Q673" s="3"/>
      <c r="R673" s="3"/>
      <c r="S673" s="2" t="s">
        <v>21</v>
      </c>
      <c r="T673" s="4">
        <v>44955</v>
      </c>
      <c r="U673" s="2" t="s">
        <v>2387</v>
      </c>
      <c r="V673" s="6">
        <f>(Sales[[#This Row],[Price_retail]]-Sales[[#This Row],[Price_current]])/Sales[[#This Row],[Price_retail]]</f>
        <v>0</v>
      </c>
      <c r="W673" s="3" t="str" cm="1">
        <f t="array" ref="W6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74" spans="1:23" x14ac:dyDescent="0.35">
      <c r="A674" s="2" t="s">
        <v>2388</v>
      </c>
      <c r="B674" s="2" t="s">
        <v>2389</v>
      </c>
      <c r="C674" s="2" t="s">
        <v>3394</v>
      </c>
      <c r="D674" s="2" t="s">
        <v>1106</v>
      </c>
      <c r="E674" s="2" t="s">
        <v>4</v>
      </c>
      <c r="F674" s="2" t="s">
        <v>5</v>
      </c>
      <c r="G674" s="2" t="s">
        <v>82</v>
      </c>
      <c r="H674" s="2" t="s">
        <v>19</v>
      </c>
      <c r="I674" s="2" t="s">
        <v>3395</v>
      </c>
      <c r="J674" s="3">
        <v>13.44</v>
      </c>
      <c r="K674" s="3">
        <v>8.23</v>
      </c>
      <c r="L674" s="2" t="s">
        <v>8</v>
      </c>
      <c r="M674" s="2" t="s">
        <v>9</v>
      </c>
      <c r="N674" s="3">
        <v>50</v>
      </c>
      <c r="O674" s="2" t="s">
        <v>347</v>
      </c>
      <c r="P674" s="2" t="s">
        <v>2390</v>
      </c>
      <c r="Q674" s="3"/>
      <c r="R674" s="3"/>
      <c r="S674" s="2" t="s">
        <v>12</v>
      </c>
      <c r="T674" s="4">
        <v>44955</v>
      </c>
      <c r="U674" s="2" t="s">
        <v>2391</v>
      </c>
      <c r="V674" s="6">
        <f>(Sales[[#This Row],[Price_retail]]-Sales[[#This Row],[Price_current]])/Sales[[#This Row],[Price_retail]]</f>
        <v>0.38764880952380948</v>
      </c>
      <c r="W674" s="3" t="str" cm="1">
        <f t="array" ref="W67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75" spans="1:23" x14ac:dyDescent="0.35">
      <c r="A675" s="2" t="s">
        <v>2392</v>
      </c>
      <c r="B675" s="2" t="s">
        <v>2393</v>
      </c>
      <c r="C675" s="2" t="s">
        <v>126</v>
      </c>
      <c r="D675" s="2" t="s">
        <v>428</v>
      </c>
      <c r="E675" s="2" t="s">
        <v>4</v>
      </c>
      <c r="F675" s="2" t="s">
        <v>5</v>
      </c>
      <c r="G675" s="2" t="s">
        <v>6</v>
      </c>
      <c r="H675" s="2" t="s">
        <v>333</v>
      </c>
      <c r="I675" s="2" t="s">
        <v>3395</v>
      </c>
      <c r="J675" s="3">
        <v>14.61</v>
      </c>
      <c r="K675" s="3">
        <v>10.09</v>
      </c>
      <c r="L675" s="2" t="s">
        <v>8</v>
      </c>
      <c r="M675" s="2" t="s">
        <v>9</v>
      </c>
      <c r="N675" s="3">
        <v>318</v>
      </c>
      <c r="O675" s="2" t="s">
        <v>52</v>
      </c>
      <c r="P675" s="2" t="s">
        <v>70</v>
      </c>
      <c r="Q675" s="3"/>
      <c r="R675" s="3"/>
      <c r="S675" s="2" t="s">
        <v>21</v>
      </c>
      <c r="T675" s="4">
        <v>44955</v>
      </c>
      <c r="U675" s="2" t="s">
        <v>2394</v>
      </c>
      <c r="V675" s="6">
        <f>(Sales[[#This Row],[Price_retail]]-Sales[[#This Row],[Price_current]])/Sales[[#This Row],[Price_retail]]</f>
        <v>0.30937713894592744</v>
      </c>
      <c r="W675" s="3" t="str" cm="1">
        <f t="array" ref="W67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76" spans="1:23" x14ac:dyDescent="0.35">
      <c r="A676" s="2" t="s">
        <v>2395</v>
      </c>
      <c r="B676" s="2" t="s">
        <v>2396</v>
      </c>
      <c r="C676" s="2" t="s">
        <v>525</v>
      </c>
      <c r="D676" s="2" t="s">
        <v>16</v>
      </c>
      <c r="E676" s="2" t="s">
        <v>4</v>
      </c>
      <c r="F676" s="2" t="s">
        <v>17</v>
      </c>
      <c r="G676" s="2" t="s">
        <v>18</v>
      </c>
      <c r="H676" s="2" t="s">
        <v>19</v>
      </c>
      <c r="I676" s="2" t="s">
        <v>3390</v>
      </c>
      <c r="J676" s="3">
        <v>26.76</v>
      </c>
      <c r="K676" s="3">
        <v>18.47</v>
      </c>
      <c r="L676" s="2" t="s">
        <v>8</v>
      </c>
      <c r="M676" s="2" t="s">
        <v>9</v>
      </c>
      <c r="N676" s="3">
        <v>33</v>
      </c>
      <c r="O676" s="2" t="s">
        <v>43</v>
      </c>
      <c r="P676" s="2" t="s">
        <v>283</v>
      </c>
      <c r="Q676" s="3"/>
      <c r="R676" s="3"/>
      <c r="S676" s="2" t="s">
        <v>21</v>
      </c>
      <c r="T676" s="4">
        <v>44955</v>
      </c>
      <c r="U676" s="2" t="s">
        <v>2397</v>
      </c>
      <c r="V676" s="6">
        <f>(Sales[[#This Row],[Price_retail]]-Sales[[#This Row],[Price_current]])/Sales[[#This Row],[Price_retail]]</f>
        <v>0.30979073243647243</v>
      </c>
      <c r="W676" s="3" t="str" cm="1">
        <f t="array" ref="W67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77" spans="1:23" x14ac:dyDescent="0.35">
      <c r="A677" s="2" t="s">
        <v>2398</v>
      </c>
      <c r="B677" s="2" t="s">
        <v>2399</v>
      </c>
      <c r="C677" s="2" t="s">
        <v>721</v>
      </c>
      <c r="D677" s="2" t="s">
        <v>1324</v>
      </c>
      <c r="E677" s="2" t="s">
        <v>4</v>
      </c>
      <c r="F677" s="2" t="s">
        <v>17</v>
      </c>
      <c r="G677" s="2" t="s">
        <v>50</v>
      </c>
      <c r="H677" s="2" t="s">
        <v>19</v>
      </c>
      <c r="I677" s="2" t="s">
        <v>3390</v>
      </c>
      <c r="J677" s="3">
        <v>15.39</v>
      </c>
      <c r="K677" s="3">
        <v>10.039999999999999</v>
      </c>
      <c r="L677" s="2" t="s">
        <v>8</v>
      </c>
      <c r="M677" s="2" t="s">
        <v>9</v>
      </c>
      <c r="N677" s="3">
        <v>59</v>
      </c>
      <c r="O677" s="2" t="s">
        <v>29</v>
      </c>
      <c r="P677" s="2" t="s">
        <v>53</v>
      </c>
      <c r="Q677" s="3"/>
      <c r="R677" s="3"/>
      <c r="S677" s="2" t="s">
        <v>21</v>
      </c>
      <c r="T677" s="4">
        <v>44955</v>
      </c>
      <c r="U677" s="2" t="s">
        <v>2400</v>
      </c>
      <c r="V677" s="6">
        <f>(Sales[[#This Row],[Price_retail]]-Sales[[#This Row],[Price_current]])/Sales[[#This Row],[Price_retail]]</f>
        <v>0.34762833008447053</v>
      </c>
      <c r="W677" s="3" t="str" cm="1">
        <f t="array" ref="W67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78" spans="1:23" x14ac:dyDescent="0.35">
      <c r="A678" s="2" t="s">
        <v>2401</v>
      </c>
      <c r="B678" s="2" t="s">
        <v>2402</v>
      </c>
      <c r="C678" s="2" t="s">
        <v>569</v>
      </c>
      <c r="D678" s="2" t="s">
        <v>149</v>
      </c>
      <c r="E678" s="2" t="s">
        <v>4</v>
      </c>
      <c r="F678" s="2" t="s">
        <v>5</v>
      </c>
      <c r="G678" s="2" t="s">
        <v>82</v>
      </c>
      <c r="H678" s="2" t="s">
        <v>28</v>
      </c>
      <c r="I678" s="2" t="s">
        <v>3395</v>
      </c>
      <c r="J678" s="3">
        <v>18.04</v>
      </c>
      <c r="K678" s="3">
        <v>18.04</v>
      </c>
      <c r="L678" s="2" t="s">
        <v>3391</v>
      </c>
      <c r="M678" s="2" t="s">
        <v>9</v>
      </c>
      <c r="N678" s="3">
        <v>118</v>
      </c>
      <c r="O678" s="2" t="s">
        <v>302</v>
      </c>
      <c r="P678" s="2" t="s">
        <v>44</v>
      </c>
      <c r="Q678" s="3"/>
      <c r="R678" s="3"/>
      <c r="S678" s="2" t="s">
        <v>21</v>
      </c>
      <c r="T678" s="4">
        <v>44955</v>
      </c>
      <c r="U678" s="2" t="s">
        <v>2403</v>
      </c>
      <c r="V678" s="6">
        <f>(Sales[[#This Row],[Price_retail]]-Sales[[#This Row],[Price_current]])/Sales[[#This Row],[Price_retail]]</f>
        <v>0</v>
      </c>
      <c r="W678" s="3" t="str" cm="1">
        <f t="array" ref="W6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79" spans="1:23" x14ac:dyDescent="0.35">
      <c r="A679" s="2" t="s">
        <v>2404</v>
      </c>
      <c r="B679" s="2" t="s">
        <v>2405</v>
      </c>
      <c r="C679" s="2" t="s">
        <v>1425</v>
      </c>
      <c r="D679" s="2" t="s">
        <v>734</v>
      </c>
      <c r="E679" s="2" t="s">
        <v>4</v>
      </c>
      <c r="F679" s="2" t="s">
        <v>5</v>
      </c>
      <c r="G679" s="2" t="s">
        <v>82</v>
      </c>
      <c r="H679" s="2" t="s">
        <v>19</v>
      </c>
      <c r="I679" s="2" t="s">
        <v>3395</v>
      </c>
      <c r="J679" s="3">
        <v>24.2</v>
      </c>
      <c r="K679" s="3">
        <v>13.11</v>
      </c>
      <c r="L679" s="2" t="s">
        <v>8</v>
      </c>
      <c r="M679" s="2" t="s">
        <v>9</v>
      </c>
      <c r="N679" s="3">
        <v>69</v>
      </c>
      <c r="O679" s="2" t="s">
        <v>36</v>
      </c>
      <c r="P679" s="2" t="s">
        <v>44</v>
      </c>
      <c r="Q679" s="3"/>
      <c r="R679" s="3"/>
      <c r="S679" s="2" t="s">
        <v>21</v>
      </c>
      <c r="T679" s="4">
        <v>44955</v>
      </c>
      <c r="U679" s="2" t="s">
        <v>2406</v>
      </c>
      <c r="V679" s="6">
        <f>(Sales[[#This Row],[Price_retail]]-Sales[[#This Row],[Price_current]])/Sales[[#This Row],[Price_retail]]</f>
        <v>0.45826446280991734</v>
      </c>
      <c r="W679" s="3" t="str" cm="1">
        <f t="array" ref="W67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80" spans="1:23" x14ac:dyDescent="0.35">
      <c r="A680" s="2" t="s">
        <v>2407</v>
      </c>
      <c r="B680" s="2" t="s">
        <v>2408</v>
      </c>
      <c r="C680" s="2" t="s">
        <v>2409</v>
      </c>
      <c r="D680" s="2" t="s">
        <v>153</v>
      </c>
      <c r="E680" s="2" t="s">
        <v>4</v>
      </c>
      <c r="F680" s="2" t="s">
        <v>17</v>
      </c>
      <c r="G680" s="2" t="s">
        <v>27</v>
      </c>
      <c r="H680" s="2" t="s">
        <v>28</v>
      </c>
      <c r="I680" s="2" t="s">
        <v>3393</v>
      </c>
      <c r="J680" s="3">
        <v>30.73</v>
      </c>
      <c r="K680" s="3">
        <v>30.73</v>
      </c>
      <c r="L680" s="2" t="s">
        <v>3391</v>
      </c>
      <c r="M680" s="2" t="s">
        <v>9</v>
      </c>
      <c r="N680" s="3">
        <v>569</v>
      </c>
      <c r="O680" s="2" t="s">
        <v>191</v>
      </c>
      <c r="P680" s="2" t="s">
        <v>3392</v>
      </c>
      <c r="Q680" s="3"/>
      <c r="R680" s="3"/>
      <c r="S680" s="2" t="s">
        <v>21</v>
      </c>
      <c r="T680" s="4">
        <v>44955</v>
      </c>
      <c r="U680" s="2" t="s">
        <v>2410</v>
      </c>
      <c r="V680" s="6">
        <f>(Sales[[#This Row],[Price_retail]]-Sales[[#This Row],[Price_current]])/Sales[[#This Row],[Price_retail]]</f>
        <v>0</v>
      </c>
      <c r="W680" s="3" t="str" cm="1">
        <f t="array" ref="W68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1" spans="1:23" x14ac:dyDescent="0.35">
      <c r="A681" s="2" t="s">
        <v>2411</v>
      </c>
      <c r="B681" s="2" t="s">
        <v>2412</v>
      </c>
      <c r="C681" s="2" t="s">
        <v>469</v>
      </c>
      <c r="D681" s="2" t="s">
        <v>573</v>
      </c>
      <c r="E681" s="2" t="s">
        <v>4</v>
      </c>
      <c r="F681" s="2" t="s">
        <v>5</v>
      </c>
      <c r="G681" s="2" t="s">
        <v>82</v>
      </c>
      <c r="H681" s="2" t="s">
        <v>68</v>
      </c>
      <c r="I681" s="2" t="s">
        <v>3390</v>
      </c>
      <c r="J681" s="3">
        <v>30.25</v>
      </c>
      <c r="K681" s="3">
        <v>30.25</v>
      </c>
      <c r="L681" s="2" t="s">
        <v>3391</v>
      </c>
      <c r="M681" s="2" t="s">
        <v>9</v>
      </c>
      <c r="N681" s="3">
        <v>517</v>
      </c>
      <c r="O681" s="2" t="s">
        <v>359</v>
      </c>
      <c r="P681" s="2" t="s">
        <v>92</v>
      </c>
      <c r="Q681" s="3"/>
      <c r="R681" s="3"/>
      <c r="S681" s="2" t="s">
        <v>21</v>
      </c>
      <c r="T681" s="4">
        <v>44955</v>
      </c>
      <c r="U681" s="2" t="s">
        <v>2413</v>
      </c>
      <c r="V681" s="6">
        <f>(Sales[[#This Row],[Price_retail]]-Sales[[#This Row],[Price_current]])/Sales[[#This Row],[Price_retail]]</f>
        <v>0</v>
      </c>
      <c r="W681" s="3" t="str" cm="1">
        <f t="array" ref="W68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2" spans="1:23" x14ac:dyDescent="0.35">
      <c r="A682" s="2" t="s">
        <v>2414</v>
      </c>
      <c r="B682" s="2" t="s">
        <v>2415</v>
      </c>
      <c r="C682" s="2" t="s">
        <v>616</v>
      </c>
      <c r="D682" s="2" t="s">
        <v>617</v>
      </c>
      <c r="E682" s="2" t="s">
        <v>4</v>
      </c>
      <c r="F682" s="2" t="s">
        <v>5</v>
      </c>
      <c r="G682" s="2" t="s">
        <v>82</v>
      </c>
      <c r="H682" s="2" t="s">
        <v>83</v>
      </c>
      <c r="I682" s="2" t="s">
        <v>3395</v>
      </c>
      <c r="J682" s="3">
        <v>16.47</v>
      </c>
      <c r="K682" s="3">
        <v>10.66</v>
      </c>
      <c r="L682" s="2" t="s">
        <v>8</v>
      </c>
      <c r="M682" s="2" t="s">
        <v>9</v>
      </c>
      <c r="N682" s="3">
        <v>97</v>
      </c>
      <c r="O682" s="2" t="s">
        <v>347</v>
      </c>
      <c r="P682" s="2" t="s">
        <v>53</v>
      </c>
      <c r="Q682" s="3"/>
      <c r="R682" s="3"/>
      <c r="S682" s="2" t="s">
        <v>21</v>
      </c>
      <c r="T682" s="4">
        <v>44955</v>
      </c>
      <c r="U682" s="2" t="s">
        <v>2416</v>
      </c>
      <c r="V682" s="6">
        <f>(Sales[[#This Row],[Price_retail]]-Sales[[#This Row],[Price_current]])/Sales[[#This Row],[Price_retail]]</f>
        <v>0.35276259866423798</v>
      </c>
      <c r="W682" s="3" t="str" cm="1">
        <f t="array" ref="W68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83" spans="1:23" x14ac:dyDescent="0.35">
      <c r="A683" s="2" t="s">
        <v>2417</v>
      </c>
      <c r="B683" s="2" t="s">
        <v>2418</v>
      </c>
      <c r="C683" s="2" t="s">
        <v>88</v>
      </c>
      <c r="D683" s="2" t="s">
        <v>74</v>
      </c>
      <c r="E683" s="2" t="s">
        <v>4</v>
      </c>
      <c r="F683" s="2" t="s">
        <v>17</v>
      </c>
      <c r="G683" s="2" t="s">
        <v>27</v>
      </c>
      <c r="H683" s="2" t="s">
        <v>35</v>
      </c>
      <c r="I683" s="2" t="s">
        <v>3393</v>
      </c>
      <c r="J683" s="3">
        <v>15.73</v>
      </c>
      <c r="K683" s="3">
        <v>15.73</v>
      </c>
      <c r="L683" s="2" t="s">
        <v>3391</v>
      </c>
      <c r="M683" s="2" t="s">
        <v>9</v>
      </c>
      <c r="N683" s="3">
        <v>923</v>
      </c>
      <c r="O683" s="2" t="s">
        <v>69</v>
      </c>
      <c r="P683" s="2" t="s">
        <v>70</v>
      </c>
      <c r="Q683" s="3"/>
      <c r="R683" s="3"/>
      <c r="S683" s="2" t="s">
        <v>21</v>
      </c>
      <c r="T683" s="4">
        <v>44955</v>
      </c>
      <c r="U683" s="2" t="s">
        <v>2419</v>
      </c>
      <c r="V683" s="6">
        <f>(Sales[[#This Row],[Price_retail]]-Sales[[#This Row],[Price_current]])/Sales[[#This Row],[Price_retail]]</f>
        <v>0</v>
      </c>
      <c r="W683" s="3" t="str" cm="1">
        <f t="array" ref="W6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4" spans="1:23" x14ac:dyDescent="0.35">
      <c r="A684" s="2" t="s">
        <v>2420</v>
      </c>
      <c r="B684" s="2" t="s">
        <v>2421</v>
      </c>
      <c r="C684" s="2" t="s">
        <v>246</v>
      </c>
      <c r="D684" s="2" t="s">
        <v>971</v>
      </c>
      <c r="E684" s="2" t="s">
        <v>4</v>
      </c>
      <c r="F684" s="2" t="s">
        <v>5</v>
      </c>
      <c r="G684" s="2" t="s">
        <v>121</v>
      </c>
      <c r="H684" s="2" t="s">
        <v>134</v>
      </c>
      <c r="I684" s="2" t="s">
        <v>3390</v>
      </c>
      <c r="J684" s="3">
        <v>11.61</v>
      </c>
      <c r="K684" s="3">
        <v>11.61</v>
      </c>
      <c r="L684" s="2" t="s">
        <v>248</v>
      </c>
      <c r="M684" s="2" t="s">
        <v>9</v>
      </c>
      <c r="N684" s="3">
        <v>140</v>
      </c>
      <c r="O684" s="2" t="s">
        <v>302</v>
      </c>
      <c r="P684" s="2" t="s">
        <v>37</v>
      </c>
      <c r="Q684" s="3"/>
      <c r="R684" s="3"/>
      <c r="S684" s="2" t="s">
        <v>21</v>
      </c>
      <c r="T684" s="4">
        <v>44955</v>
      </c>
      <c r="U684" s="2" t="s">
        <v>2422</v>
      </c>
      <c r="V684" s="6">
        <f>(Sales[[#This Row],[Price_retail]]-Sales[[#This Row],[Price_current]])/Sales[[#This Row],[Price_retail]]</f>
        <v>0</v>
      </c>
      <c r="W684" s="3" t="str" cm="1">
        <f t="array" ref="W6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5" spans="1:23" x14ac:dyDescent="0.35">
      <c r="A685" s="2" t="s">
        <v>2423</v>
      </c>
      <c r="B685" s="2" t="s">
        <v>2424</v>
      </c>
      <c r="C685" s="2" t="s">
        <v>3394</v>
      </c>
      <c r="D685" s="2" t="s">
        <v>557</v>
      </c>
      <c r="E685" s="2" t="s">
        <v>4</v>
      </c>
      <c r="F685" s="2" t="s">
        <v>5</v>
      </c>
      <c r="G685" s="2" t="s">
        <v>6</v>
      </c>
      <c r="H685" s="2" t="s">
        <v>28</v>
      </c>
      <c r="I685" s="2" t="s">
        <v>3390</v>
      </c>
      <c r="J685" s="3">
        <v>10.25</v>
      </c>
      <c r="K685" s="3">
        <v>5.81</v>
      </c>
      <c r="L685" s="2" t="s">
        <v>8</v>
      </c>
      <c r="M685" s="2" t="s">
        <v>9</v>
      </c>
      <c r="N685" s="3">
        <v>724</v>
      </c>
      <c r="O685" s="2" t="s">
        <v>43</v>
      </c>
      <c r="P685" s="2" t="s">
        <v>70</v>
      </c>
      <c r="Q685" s="3"/>
      <c r="R685" s="3"/>
      <c r="S685" s="2" t="s">
        <v>21</v>
      </c>
      <c r="T685" s="4">
        <v>44955</v>
      </c>
      <c r="U685" s="2" t="s">
        <v>2425</v>
      </c>
      <c r="V685" s="6">
        <f>(Sales[[#This Row],[Price_retail]]-Sales[[#This Row],[Price_current]])/Sales[[#This Row],[Price_retail]]</f>
        <v>0.43317073170731712</v>
      </c>
      <c r="W685" s="3" t="str" cm="1">
        <f t="array" ref="W68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86" spans="1:23" x14ac:dyDescent="0.35">
      <c r="A686" s="2" t="s">
        <v>2426</v>
      </c>
      <c r="B686" s="2" t="s">
        <v>2427</v>
      </c>
      <c r="C686" s="2" t="s">
        <v>1670</v>
      </c>
      <c r="D686" s="2" t="s">
        <v>388</v>
      </c>
      <c r="E686" s="2" t="s">
        <v>4</v>
      </c>
      <c r="F686" s="2" t="s">
        <v>17</v>
      </c>
      <c r="G686" s="2" t="s">
        <v>67</v>
      </c>
      <c r="H686" s="2" t="s">
        <v>168</v>
      </c>
      <c r="I686" s="2" t="s">
        <v>3393</v>
      </c>
      <c r="J686" s="3">
        <v>8.99</v>
      </c>
      <c r="K686" s="3">
        <v>8.99</v>
      </c>
      <c r="L686" s="2" t="s">
        <v>3391</v>
      </c>
      <c r="M686" s="2" t="s">
        <v>9</v>
      </c>
      <c r="N686" s="3">
        <v>331</v>
      </c>
      <c r="O686" s="2" t="s">
        <v>104</v>
      </c>
      <c r="P686" s="2" t="s">
        <v>44</v>
      </c>
      <c r="Q686" s="3"/>
      <c r="R686" s="3"/>
      <c r="S686" s="2" t="s">
        <v>21</v>
      </c>
      <c r="T686" s="4">
        <v>44955</v>
      </c>
      <c r="U686" s="2" t="s">
        <v>2428</v>
      </c>
      <c r="V686" s="6">
        <f>(Sales[[#This Row],[Price_retail]]-Sales[[#This Row],[Price_current]])/Sales[[#This Row],[Price_retail]]</f>
        <v>0</v>
      </c>
      <c r="W686" s="3" t="str" cm="1">
        <f t="array" ref="W68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7" spans="1:23" x14ac:dyDescent="0.35">
      <c r="A687" s="2" t="s">
        <v>2429</v>
      </c>
      <c r="B687" s="2" t="s">
        <v>2430</v>
      </c>
      <c r="C687" s="2" t="s">
        <v>3433</v>
      </c>
      <c r="D687" s="2" t="s">
        <v>363</v>
      </c>
      <c r="E687" s="2" t="s">
        <v>4</v>
      </c>
      <c r="F687" s="2" t="s">
        <v>17</v>
      </c>
      <c r="G687" s="2" t="s">
        <v>18</v>
      </c>
      <c r="H687" s="2" t="s">
        <v>59</v>
      </c>
      <c r="I687" s="2" t="s">
        <v>3393</v>
      </c>
      <c r="J687" s="3">
        <v>8.99</v>
      </c>
      <c r="K687" s="3">
        <v>5.86</v>
      </c>
      <c r="L687" s="2" t="s">
        <v>8</v>
      </c>
      <c r="M687" s="2" t="s">
        <v>9</v>
      </c>
      <c r="N687" s="3">
        <v>565</v>
      </c>
      <c r="O687" s="2" t="s">
        <v>91</v>
      </c>
      <c r="P687" s="2" t="s">
        <v>70</v>
      </c>
      <c r="Q687" s="3"/>
      <c r="R687" s="3"/>
      <c r="S687" s="2" t="s">
        <v>21</v>
      </c>
      <c r="T687" s="4">
        <v>44955</v>
      </c>
      <c r="U687" s="2" t="s">
        <v>2431</v>
      </c>
      <c r="V687" s="6">
        <f>(Sales[[#This Row],[Price_retail]]-Sales[[#This Row],[Price_current]])/Sales[[#This Row],[Price_retail]]</f>
        <v>0.34816462736373749</v>
      </c>
      <c r="W687" s="3" t="str" cm="1">
        <f t="array" ref="W6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88" spans="1:23" x14ac:dyDescent="0.35">
      <c r="A688" s="2" t="s">
        <v>2432</v>
      </c>
      <c r="B688" s="2" t="s">
        <v>2433</v>
      </c>
      <c r="C688" s="2" t="s">
        <v>65</v>
      </c>
      <c r="D688" s="2" t="s">
        <v>133</v>
      </c>
      <c r="E688" s="2" t="s">
        <v>4</v>
      </c>
      <c r="F688" s="2" t="s">
        <v>17</v>
      </c>
      <c r="G688" s="2" t="s">
        <v>27</v>
      </c>
      <c r="H688" s="2" t="s">
        <v>134</v>
      </c>
      <c r="I688" s="2" t="s">
        <v>3393</v>
      </c>
      <c r="J688" s="3">
        <v>8.99</v>
      </c>
      <c r="K688" s="3">
        <v>8.99</v>
      </c>
      <c r="L688" s="2" t="s">
        <v>3391</v>
      </c>
      <c r="M688" s="2" t="s">
        <v>9</v>
      </c>
      <c r="N688" s="3">
        <v>126</v>
      </c>
      <c r="O688" s="2" t="s">
        <v>60</v>
      </c>
      <c r="P688" s="2" t="s">
        <v>3392</v>
      </c>
      <c r="Q688" s="3"/>
      <c r="R688" s="3"/>
      <c r="S688" s="2" t="s">
        <v>12</v>
      </c>
      <c r="T688" s="4">
        <v>44955</v>
      </c>
      <c r="U688" s="2" t="s">
        <v>2434</v>
      </c>
      <c r="V688" s="6">
        <f>(Sales[[#This Row],[Price_retail]]-Sales[[#This Row],[Price_current]])/Sales[[#This Row],[Price_retail]]</f>
        <v>0</v>
      </c>
      <c r="W688" s="3" t="str" cm="1">
        <f t="array" ref="W68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89" spans="1:23" x14ac:dyDescent="0.35">
      <c r="A689" s="2" t="s">
        <v>2435</v>
      </c>
      <c r="B689" s="2" t="s">
        <v>2436</v>
      </c>
      <c r="C689" s="2" t="s">
        <v>3400</v>
      </c>
      <c r="D689" s="2" t="s">
        <v>581</v>
      </c>
      <c r="E689" s="2" t="s">
        <v>4</v>
      </c>
      <c r="F689" s="2" t="s">
        <v>17</v>
      </c>
      <c r="G689" s="2" t="s">
        <v>67</v>
      </c>
      <c r="H689" s="2" t="s">
        <v>7</v>
      </c>
      <c r="I689" s="2" t="s">
        <v>3390</v>
      </c>
      <c r="J689" s="3">
        <v>31.2</v>
      </c>
      <c r="K689" s="3">
        <v>31.2</v>
      </c>
      <c r="L689" s="2" t="s">
        <v>3391</v>
      </c>
      <c r="M689" s="2" t="s">
        <v>9</v>
      </c>
      <c r="N689" s="3">
        <v>12</v>
      </c>
      <c r="O689" s="2" t="s">
        <v>20</v>
      </c>
      <c r="P689" s="2" t="s">
        <v>192</v>
      </c>
      <c r="Q689" s="3"/>
      <c r="R689" s="3"/>
      <c r="S689" s="2" t="s">
        <v>12</v>
      </c>
      <c r="T689" s="4">
        <v>44955</v>
      </c>
      <c r="U689" s="2" t="s">
        <v>2437</v>
      </c>
      <c r="V689" s="6">
        <f>(Sales[[#This Row],[Price_retail]]-Sales[[#This Row],[Price_current]])/Sales[[#This Row],[Price_retail]]</f>
        <v>0</v>
      </c>
      <c r="W689" s="3" t="str" cm="1">
        <f t="array" ref="W68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90" spans="1:23" x14ac:dyDescent="0.35">
      <c r="A690" s="2" t="s">
        <v>2438</v>
      </c>
      <c r="B690" s="2" t="s">
        <v>2439</v>
      </c>
      <c r="C690" s="2" t="s">
        <v>2915</v>
      </c>
      <c r="D690" s="2" t="s">
        <v>1574</v>
      </c>
      <c r="E690" s="2" t="s">
        <v>4</v>
      </c>
      <c r="F690" s="2" t="s">
        <v>17</v>
      </c>
      <c r="G690" s="2" t="s">
        <v>27</v>
      </c>
      <c r="H690" s="2" t="s">
        <v>237</v>
      </c>
      <c r="I690" s="2" t="s">
        <v>3390</v>
      </c>
      <c r="J690" s="3">
        <v>17.350000000000001</v>
      </c>
      <c r="K690" s="3">
        <v>11.86</v>
      </c>
      <c r="L690" s="2" t="s">
        <v>8</v>
      </c>
      <c r="M690" s="2" t="s">
        <v>9</v>
      </c>
      <c r="N690" s="3">
        <v>113</v>
      </c>
      <c r="O690" s="2" t="s">
        <v>75</v>
      </c>
      <c r="P690" s="2" t="s">
        <v>3392</v>
      </c>
      <c r="Q690" s="3"/>
      <c r="R690" s="3"/>
      <c r="S690" s="2" t="s">
        <v>12</v>
      </c>
      <c r="T690" s="4">
        <v>44955</v>
      </c>
      <c r="U690" s="2" t="s">
        <v>2440</v>
      </c>
      <c r="V690" s="6">
        <f>(Sales[[#This Row],[Price_retail]]-Sales[[#This Row],[Price_current]])/Sales[[#This Row],[Price_retail]]</f>
        <v>0.31642651296829982</v>
      </c>
      <c r="W690" s="3" t="str" cm="1">
        <f t="array" ref="W69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1" spans="1:23" x14ac:dyDescent="0.35">
      <c r="A691" s="2" t="s">
        <v>2441</v>
      </c>
      <c r="B691" s="2" t="s">
        <v>2442</v>
      </c>
      <c r="C691" s="2" t="s">
        <v>102</v>
      </c>
      <c r="D691" s="2" t="s">
        <v>26</v>
      </c>
      <c r="E691" s="2" t="s">
        <v>4</v>
      </c>
      <c r="F691" s="2" t="s">
        <v>17</v>
      </c>
      <c r="G691" s="2" t="s">
        <v>50</v>
      </c>
      <c r="H691" s="2"/>
      <c r="I691" s="2" t="s">
        <v>3390</v>
      </c>
      <c r="J691" s="3">
        <v>14.6</v>
      </c>
      <c r="K691" s="3">
        <v>8.66</v>
      </c>
      <c r="L691" s="2" t="s">
        <v>8</v>
      </c>
      <c r="M691" s="2" t="s">
        <v>9</v>
      </c>
      <c r="N691" s="3">
        <v>124</v>
      </c>
      <c r="O691" s="2" t="s">
        <v>91</v>
      </c>
      <c r="P691" s="2" t="s">
        <v>177</v>
      </c>
      <c r="Q691" s="3"/>
      <c r="R691" s="3"/>
      <c r="S691" s="2" t="s">
        <v>12</v>
      </c>
      <c r="T691" s="4">
        <v>44955</v>
      </c>
      <c r="U691" s="2" t="s">
        <v>2443</v>
      </c>
      <c r="V691" s="6">
        <f>(Sales[[#This Row],[Price_retail]]-Sales[[#This Row],[Price_current]])/Sales[[#This Row],[Price_retail]]</f>
        <v>0.40684931506849314</v>
      </c>
      <c r="W691" s="3" t="str" cm="1">
        <f t="array" ref="W69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2" spans="1:23" x14ac:dyDescent="0.35">
      <c r="A692" s="2" t="s">
        <v>2444</v>
      </c>
      <c r="B692" s="2" t="s">
        <v>2445</v>
      </c>
      <c r="C692" s="2" t="s">
        <v>3394</v>
      </c>
      <c r="D692" s="2" t="s">
        <v>138</v>
      </c>
      <c r="E692" s="2" t="s">
        <v>4</v>
      </c>
      <c r="F692" s="2" t="s">
        <v>5</v>
      </c>
      <c r="G692" s="2" t="s">
        <v>121</v>
      </c>
      <c r="H692" s="2" t="s">
        <v>139</v>
      </c>
      <c r="I692" s="2" t="s">
        <v>3390</v>
      </c>
      <c r="J692" s="3">
        <v>10.54</v>
      </c>
      <c r="K692" s="3">
        <v>10.54</v>
      </c>
      <c r="L692" s="2" t="s">
        <v>3391</v>
      </c>
      <c r="M692" s="2" t="s">
        <v>9</v>
      </c>
      <c r="N692" s="3">
        <v>464</v>
      </c>
      <c r="O692" s="2" t="s">
        <v>140</v>
      </c>
      <c r="P692" s="2" t="s">
        <v>44</v>
      </c>
      <c r="Q692" s="3"/>
      <c r="R692" s="3"/>
      <c r="S692" s="2" t="s">
        <v>21</v>
      </c>
      <c r="T692" s="4">
        <v>44955</v>
      </c>
      <c r="U692" s="2" t="s">
        <v>2446</v>
      </c>
      <c r="V692" s="6">
        <f>(Sales[[#This Row],[Price_retail]]-Sales[[#This Row],[Price_current]])/Sales[[#This Row],[Price_retail]]</f>
        <v>0</v>
      </c>
      <c r="W692" s="3" t="str" cm="1">
        <f t="array" ref="W6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93" spans="1:23" x14ac:dyDescent="0.35">
      <c r="A693" s="2" t="s">
        <v>2447</v>
      </c>
      <c r="B693" s="2" t="s">
        <v>2448</v>
      </c>
      <c r="C693" s="2" t="s">
        <v>65</v>
      </c>
      <c r="D693" s="2" t="s">
        <v>542</v>
      </c>
      <c r="E693" s="2" t="s">
        <v>4</v>
      </c>
      <c r="F693" s="2" t="s">
        <v>17</v>
      </c>
      <c r="G693" s="2" t="s">
        <v>27</v>
      </c>
      <c r="H693" s="2" t="s">
        <v>333</v>
      </c>
      <c r="I693" s="2" t="s">
        <v>3393</v>
      </c>
      <c r="J693" s="3">
        <v>15.9</v>
      </c>
      <c r="K693" s="3">
        <v>15.9</v>
      </c>
      <c r="L693" s="2" t="s">
        <v>3391</v>
      </c>
      <c r="M693" s="2" t="s">
        <v>9</v>
      </c>
      <c r="N693" s="3">
        <v>500</v>
      </c>
      <c r="O693" s="2" t="s">
        <v>98</v>
      </c>
      <c r="P693" s="2" t="s">
        <v>186</v>
      </c>
      <c r="Q693" s="3"/>
      <c r="R693" s="3"/>
      <c r="S693" s="2" t="s">
        <v>21</v>
      </c>
      <c r="T693" s="4">
        <v>44955</v>
      </c>
      <c r="U693" s="2" t="s">
        <v>2449</v>
      </c>
      <c r="V693" s="6">
        <f>(Sales[[#This Row],[Price_retail]]-Sales[[#This Row],[Price_current]])/Sales[[#This Row],[Price_retail]]</f>
        <v>0</v>
      </c>
      <c r="W693" s="3" t="str" cm="1">
        <f t="array" ref="W6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94" spans="1:23" x14ac:dyDescent="0.35">
      <c r="A694" s="2" t="s">
        <v>2450</v>
      </c>
      <c r="B694" s="2" t="s">
        <v>2451</v>
      </c>
      <c r="C694" s="2" t="s">
        <v>721</v>
      </c>
      <c r="D694" s="2" t="s">
        <v>1060</v>
      </c>
      <c r="E694" s="2" t="s">
        <v>4</v>
      </c>
      <c r="F694" s="2" t="s">
        <v>17</v>
      </c>
      <c r="G694" s="2" t="s">
        <v>27</v>
      </c>
      <c r="H694" s="2" t="s">
        <v>418</v>
      </c>
      <c r="I694" s="2" t="s">
        <v>3390</v>
      </c>
      <c r="J694" s="3">
        <v>9.81</v>
      </c>
      <c r="K694" s="3">
        <v>5.86</v>
      </c>
      <c r="L694" s="2" t="s">
        <v>8</v>
      </c>
      <c r="M694" s="2" t="s">
        <v>9</v>
      </c>
      <c r="N694" s="3">
        <v>210</v>
      </c>
      <c r="O694" s="2" t="s">
        <v>75</v>
      </c>
      <c r="P694" s="2" t="s">
        <v>30</v>
      </c>
      <c r="Q694" s="3"/>
      <c r="R694" s="3"/>
      <c r="S694" s="2" t="s">
        <v>12</v>
      </c>
      <c r="T694" s="4">
        <v>44955</v>
      </c>
      <c r="U694" s="2" t="s">
        <v>2452</v>
      </c>
      <c r="V694" s="6">
        <f>(Sales[[#This Row],[Price_retail]]-Sales[[#This Row],[Price_current]])/Sales[[#This Row],[Price_retail]]</f>
        <v>0.40265035677879712</v>
      </c>
      <c r="W694" s="3" t="str" cm="1">
        <f t="array" ref="W69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5" spans="1:23" x14ac:dyDescent="0.35">
      <c r="A695" s="2" t="s">
        <v>2453</v>
      </c>
      <c r="B695" s="2" t="s">
        <v>2454</v>
      </c>
      <c r="C695" s="2" t="s">
        <v>525</v>
      </c>
      <c r="D695" s="2" t="s">
        <v>220</v>
      </c>
      <c r="E695" s="2" t="s">
        <v>4</v>
      </c>
      <c r="F695" s="2" t="s">
        <v>17</v>
      </c>
      <c r="G695" s="2" t="s">
        <v>67</v>
      </c>
      <c r="H695" s="2"/>
      <c r="I695" s="2" t="s">
        <v>3390</v>
      </c>
      <c r="J695" s="3">
        <v>17.21</v>
      </c>
      <c r="K695" s="3">
        <v>11.88</v>
      </c>
      <c r="L695" s="2" t="s">
        <v>8</v>
      </c>
      <c r="M695" s="2" t="s">
        <v>9</v>
      </c>
      <c r="N695" s="3">
        <v>179</v>
      </c>
      <c r="O695" s="2" t="s">
        <v>104</v>
      </c>
      <c r="P695" s="2" t="s">
        <v>169</v>
      </c>
      <c r="Q695" s="3"/>
      <c r="R695" s="3"/>
      <c r="S695" s="2" t="s">
        <v>21</v>
      </c>
      <c r="T695" s="4">
        <v>44955</v>
      </c>
      <c r="U695" s="2" t="s">
        <v>2455</v>
      </c>
      <c r="V695" s="6">
        <f>(Sales[[#This Row],[Price_retail]]-Sales[[#This Row],[Price_current]])/Sales[[#This Row],[Price_retail]]</f>
        <v>0.30970366066240557</v>
      </c>
      <c r="W695" s="3" t="str" cm="1">
        <f t="array" ref="W69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6" spans="1:23" x14ac:dyDescent="0.35">
      <c r="A696" s="2" t="s">
        <v>2456</v>
      </c>
      <c r="B696" s="2" t="s">
        <v>2457</v>
      </c>
      <c r="C696" s="2" t="s">
        <v>423</v>
      </c>
      <c r="D696" s="2" t="s">
        <v>1015</v>
      </c>
      <c r="E696" s="2" t="s">
        <v>4</v>
      </c>
      <c r="F696" s="2" t="s">
        <v>5</v>
      </c>
      <c r="G696" s="2" t="s">
        <v>6</v>
      </c>
      <c r="H696" s="2" t="s">
        <v>7</v>
      </c>
      <c r="I696" s="2" t="s">
        <v>3390</v>
      </c>
      <c r="J696" s="3">
        <v>17.91</v>
      </c>
      <c r="K696" s="3">
        <v>13.61</v>
      </c>
      <c r="L696" s="2" t="s">
        <v>8</v>
      </c>
      <c r="M696" s="2" t="s">
        <v>9</v>
      </c>
      <c r="N696" s="3">
        <v>595</v>
      </c>
      <c r="O696" s="2" t="s">
        <v>29</v>
      </c>
      <c r="P696" s="2" t="s">
        <v>186</v>
      </c>
      <c r="Q696" s="3"/>
      <c r="R696" s="3"/>
      <c r="S696" s="2" t="s">
        <v>21</v>
      </c>
      <c r="T696" s="4">
        <v>44955</v>
      </c>
      <c r="U696" s="2" t="s">
        <v>2458</v>
      </c>
      <c r="V696" s="6">
        <f>(Sales[[#This Row],[Price_retail]]-Sales[[#This Row],[Price_current]])/Sales[[#This Row],[Price_retail]]</f>
        <v>0.24008933556672254</v>
      </c>
      <c r="W696" s="3" t="str" cm="1">
        <f t="array" ref="W69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7" spans="1:23" x14ac:dyDescent="0.35">
      <c r="A697" s="2" t="s">
        <v>2459</v>
      </c>
      <c r="B697" s="2" t="s">
        <v>2460</v>
      </c>
      <c r="C697" s="2" t="s">
        <v>318</v>
      </c>
      <c r="D697" s="2" t="s">
        <v>729</v>
      </c>
      <c r="E697" s="2" t="s">
        <v>4</v>
      </c>
      <c r="F697" s="2" t="s">
        <v>17</v>
      </c>
      <c r="G697" s="2" t="s">
        <v>18</v>
      </c>
      <c r="H697" s="2" t="s">
        <v>168</v>
      </c>
      <c r="I697" s="2" t="s">
        <v>3390</v>
      </c>
      <c r="J697" s="3">
        <v>9.74</v>
      </c>
      <c r="K697" s="3">
        <v>6.13</v>
      </c>
      <c r="L697" s="2" t="s">
        <v>8</v>
      </c>
      <c r="M697" s="2" t="s">
        <v>9</v>
      </c>
      <c r="N697" s="3">
        <v>626</v>
      </c>
      <c r="O697" s="2" t="s">
        <v>3392</v>
      </c>
      <c r="P697" s="2" t="s">
        <v>53</v>
      </c>
      <c r="Q697" s="3"/>
      <c r="R697" s="3"/>
      <c r="S697" s="2" t="s">
        <v>21</v>
      </c>
      <c r="T697" s="4">
        <v>44955</v>
      </c>
      <c r="U697" s="2" t="s">
        <v>2461</v>
      </c>
      <c r="V697" s="6">
        <f>(Sales[[#This Row],[Price_retail]]-Sales[[#This Row],[Price_current]])/Sales[[#This Row],[Price_retail]]</f>
        <v>0.37063655030800824</v>
      </c>
      <c r="W697" s="3" t="str" cm="1">
        <f t="array" ref="W69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698" spans="1:23" x14ac:dyDescent="0.35">
      <c r="A698" s="2" t="s">
        <v>2462</v>
      </c>
      <c r="B698" s="2" t="s">
        <v>2463</v>
      </c>
      <c r="C698" s="2" t="s">
        <v>246</v>
      </c>
      <c r="D698" s="2" t="s">
        <v>42</v>
      </c>
      <c r="E698" s="2" t="s">
        <v>4</v>
      </c>
      <c r="F698" s="2" t="s">
        <v>5</v>
      </c>
      <c r="G698" s="2" t="s">
        <v>6</v>
      </c>
      <c r="H698" s="2" t="s">
        <v>19</v>
      </c>
      <c r="I698" s="2" t="s">
        <v>3393</v>
      </c>
      <c r="J698" s="3">
        <v>9.64</v>
      </c>
      <c r="K698" s="3">
        <v>9.64</v>
      </c>
      <c r="L698" s="2" t="s">
        <v>3391</v>
      </c>
      <c r="M698" s="2" t="s">
        <v>9</v>
      </c>
      <c r="N698" s="3">
        <v>978</v>
      </c>
      <c r="O698" s="2" t="s">
        <v>104</v>
      </c>
      <c r="P698" s="2" t="s">
        <v>3392</v>
      </c>
      <c r="Q698" s="3"/>
      <c r="R698" s="3"/>
      <c r="S698" s="2" t="s">
        <v>21</v>
      </c>
      <c r="T698" s="4">
        <v>44955</v>
      </c>
      <c r="U698" s="2" t="s">
        <v>2464</v>
      </c>
      <c r="V698" s="6">
        <f>(Sales[[#This Row],[Price_retail]]-Sales[[#This Row],[Price_current]])/Sales[[#This Row],[Price_retail]]</f>
        <v>0</v>
      </c>
      <c r="W698" s="3" t="str" cm="1">
        <f t="array" ref="W69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699" spans="1:23" x14ac:dyDescent="0.35">
      <c r="A699" s="2" t="s">
        <v>2465</v>
      </c>
      <c r="B699" s="2" t="s">
        <v>2466</v>
      </c>
      <c r="C699" s="2" t="s">
        <v>242</v>
      </c>
      <c r="D699" s="2" t="s">
        <v>939</v>
      </c>
      <c r="E699" s="2" t="s">
        <v>4</v>
      </c>
      <c r="F699" s="2" t="s">
        <v>5</v>
      </c>
      <c r="G699" s="2" t="s">
        <v>121</v>
      </c>
      <c r="H699" s="2" t="s">
        <v>134</v>
      </c>
      <c r="I699" s="2" t="s">
        <v>3390</v>
      </c>
      <c r="J699" s="3">
        <v>26.55</v>
      </c>
      <c r="K699" s="3">
        <v>26.55</v>
      </c>
      <c r="L699" s="2" t="s">
        <v>3391</v>
      </c>
      <c r="M699" s="2" t="s">
        <v>9</v>
      </c>
      <c r="N699" s="3">
        <v>375</v>
      </c>
      <c r="O699" s="2" t="s">
        <v>60</v>
      </c>
      <c r="P699" s="2" t="s">
        <v>238</v>
      </c>
      <c r="Q699" s="3"/>
      <c r="R699" s="3"/>
      <c r="S699" s="2" t="s">
        <v>21</v>
      </c>
      <c r="T699" s="4">
        <v>44955</v>
      </c>
      <c r="U699" s="2" t="s">
        <v>2467</v>
      </c>
      <c r="V699" s="6">
        <f>(Sales[[#This Row],[Price_retail]]-Sales[[#This Row],[Price_current]])/Sales[[#This Row],[Price_retail]]</f>
        <v>0</v>
      </c>
      <c r="W699" s="3" t="str" cm="1">
        <f t="array" ref="W69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00" spans="1:23" x14ac:dyDescent="0.35">
      <c r="A700" s="2" t="s">
        <v>2468</v>
      </c>
      <c r="B700" s="2" t="s">
        <v>2469</v>
      </c>
      <c r="C700" s="2" t="s">
        <v>886</v>
      </c>
      <c r="D700" s="2" t="s">
        <v>442</v>
      </c>
      <c r="E700" s="2" t="s">
        <v>4</v>
      </c>
      <c r="F700" s="2" t="s">
        <v>5</v>
      </c>
      <c r="G700" s="2" t="s">
        <v>121</v>
      </c>
      <c r="H700" s="2" t="s">
        <v>59</v>
      </c>
      <c r="I700" s="2" t="s">
        <v>3390</v>
      </c>
      <c r="J700" s="3">
        <v>15.19</v>
      </c>
      <c r="K700" s="3">
        <v>10.029999999999999</v>
      </c>
      <c r="L700" s="2" t="s">
        <v>8</v>
      </c>
      <c r="M700" s="2" t="s">
        <v>9</v>
      </c>
      <c r="N700" s="3">
        <v>820</v>
      </c>
      <c r="O700" s="2" t="s">
        <v>267</v>
      </c>
      <c r="P700" s="2" t="s">
        <v>70</v>
      </c>
      <c r="Q700" s="3"/>
      <c r="R700" s="3"/>
      <c r="S700" s="2" t="s">
        <v>12</v>
      </c>
      <c r="T700" s="4">
        <v>44955</v>
      </c>
      <c r="U700" s="2" t="s">
        <v>2470</v>
      </c>
      <c r="V700" s="6">
        <f>(Sales[[#This Row],[Price_retail]]-Sales[[#This Row],[Price_current]])/Sales[[#This Row],[Price_retail]]</f>
        <v>0.33969716919025678</v>
      </c>
      <c r="W700" s="3" t="str" cm="1">
        <f t="array" ref="W70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01" spans="1:23" x14ac:dyDescent="0.35">
      <c r="A701" s="2" t="s">
        <v>2471</v>
      </c>
      <c r="B701" s="2" t="s">
        <v>2472</v>
      </c>
      <c r="C701" s="2" t="s">
        <v>242</v>
      </c>
      <c r="D701" s="2" t="s">
        <v>1169</v>
      </c>
      <c r="E701" s="2" t="s">
        <v>4</v>
      </c>
      <c r="F701" s="2" t="s">
        <v>5</v>
      </c>
      <c r="G701" s="2" t="s">
        <v>82</v>
      </c>
      <c r="H701" s="2" t="s">
        <v>237</v>
      </c>
      <c r="I701" s="2" t="s">
        <v>3390</v>
      </c>
      <c r="J701" s="3">
        <v>10.18</v>
      </c>
      <c r="K701" s="3">
        <v>7.5</v>
      </c>
      <c r="L701" s="2" t="s">
        <v>8</v>
      </c>
      <c r="M701" s="2" t="s">
        <v>9</v>
      </c>
      <c r="N701" s="3">
        <v>519</v>
      </c>
      <c r="O701" s="2" t="s">
        <v>69</v>
      </c>
      <c r="P701" s="2" t="s">
        <v>61</v>
      </c>
      <c r="Q701" s="3"/>
      <c r="R701" s="3"/>
      <c r="S701" s="2" t="s">
        <v>21</v>
      </c>
      <c r="T701" s="4">
        <v>44955</v>
      </c>
      <c r="U701" s="2" t="s">
        <v>2473</v>
      </c>
      <c r="V701" s="6">
        <f>(Sales[[#This Row],[Price_retail]]-Sales[[#This Row],[Price_current]])/Sales[[#This Row],[Price_retail]]</f>
        <v>0.26326129666011788</v>
      </c>
      <c r="W701" s="3" t="str" cm="1">
        <f t="array" ref="W70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02" spans="1:23" x14ac:dyDescent="0.35">
      <c r="A702" s="2" t="s">
        <v>2474</v>
      </c>
      <c r="B702" s="2" t="s">
        <v>2475</v>
      </c>
      <c r="C702" s="2" t="s">
        <v>1973</v>
      </c>
      <c r="D702" s="2" t="s">
        <v>1247</v>
      </c>
      <c r="E702" s="2" t="s">
        <v>4</v>
      </c>
      <c r="F702" s="2" t="s">
        <v>5</v>
      </c>
      <c r="G702" s="2" t="s">
        <v>6</v>
      </c>
      <c r="H702" s="2" t="s">
        <v>237</v>
      </c>
      <c r="I702" s="2" t="s">
        <v>3395</v>
      </c>
      <c r="J702" s="3">
        <v>12.76</v>
      </c>
      <c r="K702" s="3">
        <v>9.84</v>
      </c>
      <c r="L702" s="2" t="s">
        <v>8</v>
      </c>
      <c r="M702" s="2" t="s">
        <v>9</v>
      </c>
      <c r="N702" s="3">
        <v>765</v>
      </c>
      <c r="O702" s="2" t="s">
        <v>3392</v>
      </c>
      <c r="P702" s="2" t="s">
        <v>70</v>
      </c>
      <c r="Q702" s="3"/>
      <c r="R702" s="3"/>
      <c r="S702" s="2" t="s">
        <v>21</v>
      </c>
      <c r="T702" s="4">
        <v>44955</v>
      </c>
      <c r="U702" s="2" t="s">
        <v>2476</v>
      </c>
      <c r="V702" s="6">
        <f>(Sales[[#This Row],[Price_retail]]-Sales[[#This Row],[Price_current]])/Sales[[#This Row],[Price_retail]]</f>
        <v>0.22884012539184953</v>
      </c>
      <c r="W702" s="3" t="str" cm="1">
        <f t="array" ref="W70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03" spans="1:23" x14ac:dyDescent="0.35">
      <c r="A703" s="2" t="s">
        <v>2477</v>
      </c>
      <c r="B703" s="2" t="s">
        <v>2478</v>
      </c>
      <c r="C703" s="2" t="s">
        <v>3400</v>
      </c>
      <c r="D703" s="2" t="s">
        <v>229</v>
      </c>
      <c r="E703" s="2" t="s">
        <v>4</v>
      </c>
      <c r="F703" s="2" t="s">
        <v>5</v>
      </c>
      <c r="G703" s="2" t="s">
        <v>82</v>
      </c>
      <c r="H703" s="2" t="s">
        <v>168</v>
      </c>
      <c r="I703" s="2" t="s">
        <v>3393</v>
      </c>
      <c r="J703" s="3">
        <v>8.99</v>
      </c>
      <c r="K703" s="3">
        <v>8.99</v>
      </c>
      <c r="L703" s="2" t="s">
        <v>3391</v>
      </c>
      <c r="M703" s="2" t="s">
        <v>9</v>
      </c>
      <c r="N703" s="3">
        <v>810</v>
      </c>
      <c r="O703" s="2" t="s">
        <v>347</v>
      </c>
      <c r="P703" s="2" t="s">
        <v>238</v>
      </c>
      <c r="Q703" s="3"/>
      <c r="R703" s="3"/>
      <c r="S703" s="2" t="s">
        <v>12</v>
      </c>
      <c r="T703" s="4">
        <v>44955</v>
      </c>
      <c r="U703" s="2" t="s">
        <v>2479</v>
      </c>
      <c r="V703" s="6">
        <f>(Sales[[#This Row],[Price_retail]]-Sales[[#This Row],[Price_current]])/Sales[[#This Row],[Price_retail]]</f>
        <v>0</v>
      </c>
      <c r="W703" s="3" t="str" cm="1">
        <f t="array" ref="W70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04" spans="1:23" x14ac:dyDescent="0.35">
      <c r="A704" s="2" t="s">
        <v>2480</v>
      </c>
      <c r="B704" s="2" t="s">
        <v>2481</v>
      </c>
      <c r="C704" s="2" t="s">
        <v>565</v>
      </c>
      <c r="D704" s="2" t="s">
        <v>404</v>
      </c>
      <c r="E704" s="2" t="s">
        <v>4</v>
      </c>
      <c r="F704" s="2" t="s">
        <v>5</v>
      </c>
      <c r="G704" s="2" t="s">
        <v>6</v>
      </c>
      <c r="H704" s="2" t="s">
        <v>59</v>
      </c>
      <c r="I704" s="2" t="s">
        <v>3395</v>
      </c>
      <c r="J704" s="3">
        <v>15.08</v>
      </c>
      <c r="K704" s="3">
        <v>9.36</v>
      </c>
      <c r="L704" s="2" t="s">
        <v>8</v>
      </c>
      <c r="M704" s="2" t="s">
        <v>9</v>
      </c>
      <c r="N704" s="3">
        <v>376</v>
      </c>
      <c r="O704" s="2" t="s">
        <v>91</v>
      </c>
      <c r="P704" s="2" t="s">
        <v>76</v>
      </c>
      <c r="Q704" s="3"/>
      <c r="R704" s="3"/>
      <c r="S704" s="2" t="s">
        <v>21</v>
      </c>
      <c r="T704" s="4">
        <v>44955</v>
      </c>
      <c r="U704" s="2" t="s">
        <v>2482</v>
      </c>
      <c r="V704" s="6">
        <f>(Sales[[#This Row],[Price_retail]]-Sales[[#This Row],[Price_current]])/Sales[[#This Row],[Price_retail]]</f>
        <v>0.37931034482758624</v>
      </c>
      <c r="W704" s="3" t="str" cm="1">
        <f t="array" ref="W70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05" spans="1:23" x14ac:dyDescent="0.35">
      <c r="A705" s="2" t="s">
        <v>2483</v>
      </c>
      <c r="B705" s="2" t="s">
        <v>2484</v>
      </c>
      <c r="C705" s="2" t="s">
        <v>3394</v>
      </c>
      <c r="D705" s="2" t="s">
        <v>577</v>
      </c>
      <c r="E705" s="2" t="s">
        <v>4</v>
      </c>
      <c r="F705" s="2" t="s">
        <v>5</v>
      </c>
      <c r="G705" s="2" t="s">
        <v>6</v>
      </c>
      <c r="H705" s="2" t="s">
        <v>168</v>
      </c>
      <c r="I705" s="2" t="s">
        <v>3390</v>
      </c>
      <c r="J705" s="3">
        <v>24.71</v>
      </c>
      <c r="K705" s="3">
        <v>24.71</v>
      </c>
      <c r="L705" s="2" t="s">
        <v>3391</v>
      </c>
      <c r="M705" s="2" t="s">
        <v>9</v>
      </c>
      <c r="N705" s="3">
        <v>514</v>
      </c>
      <c r="O705" s="2" t="s">
        <v>104</v>
      </c>
      <c r="P705" s="2" t="s">
        <v>163</v>
      </c>
      <c r="Q705" s="3"/>
      <c r="R705" s="3"/>
      <c r="S705" s="2" t="s">
        <v>21</v>
      </c>
      <c r="T705" s="4">
        <v>44955</v>
      </c>
      <c r="U705" s="2" t="s">
        <v>2485</v>
      </c>
      <c r="V705" s="6">
        <f>(Sales[[#This Row],[Price_retail]]-Sales[[#This Row],[Price_current]])/Sales[[#This Row],[Price_retail]]</f>
        <v>0</v>
      </c>
      <c r="W705" s="3" t="str" cm="1">
        <f t="array" ref="W70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06" spans="1:23" x14ac:dyDescent="0.35">
      <c r="A706" s="2" t="s">
        <v>2486</v>
      </c>
      <c r="B706" s="2" t="s">
        <v>2487</v>
      </c>
      <c r="C706" s="2" t="s">
        <v>2374</v>
      </c>
      <c r="D706" s="2" t="s">
        <v>314</v>
      </c>
      <c r="E706" s="2" t="s">
        <v>4</v>
      </c>
      <c r="F706" s="2" t="s">
        <v>17</v>
      </c>
      <c r="G706" s="2" t="s">
        <v>50</v>
      </c>
      <c r="H706" s="2"/>
      <c r="I706" s="2" t="s">
        <v>3393</v>
      </c>
      <c r="J706" s="3">
        <v>15.41</v>
      </c>
      <c r="K706" s="3">
        <v>15.41</v>
      </c>
      <c r="L706" s="2" t="s">
        <v>3391</v>
      </c>
      <c r="M706" s="2" t="s">
        <v>9</v>
      </c>
      <c r="N706" s="3">
        <v>151</v>
      </c>
      <c r="O706" s="2" t="s">
        <v>140</v>
      </c>
      <c r="P706" s="2" t="s">
        <v>122</v>
      </c>
      <c r="Q706" s="3"/>
      <c r="R706" s="3"/>
      <c r="S706" s="2" t="s">
        <v>21</v>
      </c>
      <c r="T706" s="4">
        <v>44955</v>
      </c>
      <c r="U706" s="2" t="s">
        <v>2488</v>
      </c>
      <c r="V706" s="6">
        <f>(Sales[[#This Row],[Price_retail]]-Sales[[#This Row],[Price_current]])/Sales[[#This Row],[Price_retail]]</f>
        <v>0</v>
      </c>
      <c r="W706" s="3" t="str" cm="1">
        <f t="array" ref="W7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07" spans="1:23" x14ac:dyDescent="0.35">
      <c r="A707" s="2" t="s">
        <v>2489</v>
      </c>
      <c r="B707" s="2" t="s">
        <v>2490</v>
      </c>
      <c r="C707" s="2" t="s">
        <v>3394</v>
      </c>
      <c r="D707" s="2" t="s">
        <v>301</v>
      </c>
      <c r="E707" s="2" t="s">
        <v>4</v>
      </c>
      <c r="F707" s="2" t="s">
        <v>17</v>
      </c>
      <c r="G707" s="2" t="s">
        <v>67</v>
      </c>
      <c r="H707" s="2" t="s">
        <v>145</v>
      </c>
      <c r="I707" s="2" t="s">
        <v>3393</v>
      </c>
      <c r="J707" s="3">
        <v>57.4</v>
      </c>
      <c r="K707" s="3">
        <v>57.4</v>
      </c>
      <c r="L707" s="2" t="s">
        <v>248</v>
      </c>
      <c r="M707" s="2" t="s">
        <v>9</v>
      </c>
      <c r="N707" s="3">
        <v>428</v>
      </c>
      <c r="O707" s="2" t="s">
        <v>140</v>
      </c>
      <c r="P707" s="2" t="s">
        <v>163</v>
      </c>
      <c r="Q707" s="3"/>
      <c r="R707" s="3"/>
      <c r="S707" s="2" t="s">
        <v>21</v>
      </c>
      <c r="T707" s="4">
        <v>44955</v>
      </c>
      <c r="U707" s="2" t="s">
        <v>2491</v>
      </c>
      <c r="V707" s="6">
        <f>(Sales[[#This Row],[Price_retail]]-Sales[[#This Row],[Price_current]])/Sales[[#This Row],[Price_retail]]</f>
        <v>0</v>
      </c>
      <c r="W707" s="3" t="str" cm="1">
        <f t="array" ref="W70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08" spans="1:23" x14ac:dyDescent="0.35">
      <c r="A708" s="2" t="s">
        <v>2492</v>
      </c>
      <c r="B708" s="2" t="s">
        <v>2493</v>
      </c>
      <c r="C708" s="2" t="s">
        <v>3394</v>
      </c>
      <c r="D708" s="2" t="s">
        <v>338</v>
      </c>
      <c r="E708" s="2" t="s">
        <v>4</v>
      </c>
      <c r="F708" s="2" t="s">
        <v>17</v>
      </c>
      <c r="G708" s="2" t="s">
        <v>67</v>
      </c>
      <c r="H708" s="2" t="s">
        <v>90</v>
      </c>
      <c r="I708" s="2" t="s">
        <v>3390</v>
      </c>
      <c r="J708" s="3">
        <v>19.72</v>
      </c>
      <c r="K708" s="3">
        <v>11.91</v>
      </c>
      <c r="L708" s="2" t="s">
        <v>8</v>
      </c>
      <c r="M708" s="2" t="s">
        <v>9</v>
      </c>
      <c r="N708" s="3">
        <v>739</v>
      </c>
      <c r="O708" s="2" t="s">
        <v>359</v>
      </c>
      <c r="P708" s="2" t="s">
        <v>2211</v>
      </c>
      <c r="Q708" s="3"/>
      <c r="R708" s="3"/>
      <c r="S708" s="2"/>
      <c r="T708" s="4">
        <v>44955</v>
      </c>
      <c r="U708" s="2" t="s">
        <v>2494</v>
      </c>
      <c r="V708" s="6">
        <f>(Sales[[#This Row],[Price_retail]]-Sales[[#This Row],[Price_current]])/Sales[[#This Row],[Price_retail]]</f>
        <v>0.39604462474645025</v>
      </c>
      <c r="W708" s="3" t="str" cm="1">
        <f t="array" ref="W70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09" spans="1:23" x14ac:dyDescent="0.35">
      <c r="A709" s="2" t="s">
        <v>2495</v>
      </c>
      <c r="B709" s="2" t="s">
        <v>2496</v>
      </c>
      <c r="C709" s="2" t="s">
        <v>88</v>
      </c>
      <c r="D709" s="2" t="s">
        <v>266</v>
      </c>
      <c r="E709" s="2" t="s">
        <v>4</v>
      </c>
      <c r="F709" s="2" t="s">
        <v>17</v>
      </c>
      <c r="G709" s="2" t="s">
        <v>18</v>
      </c>
      <c r="H709" s="2" t="s">
        <v>237</v>
      </c>
      <c r="I709" s="2" t="s">
        <v>3393</v>
      </c>
      <c r="J709" s="3">
        <v>17.75</v>
      </c>
      <c r="K709" s="3">
        <v>17.75</v>
      </c>
      <c r="L709" s="2" t="s">
        <v>3391</v>
      </c>
      <c r="M709" s="2" t="s">
        <v>9</v>
      </c>
      <c r="N709" s="3">
        <v>95</v>
      </c>
      <c r="O709" s="2" t="s">
        <v>104</v>
      </c>
      <c r="P709" s="2" t="s">
        <v>215</v>
      </c>
      <c r="Q709" s="3"/>
      <c r="R709" s="3"/>
      <c r="S709" s="2" t="s">
        <v>12</v>
      </c>
      <c r="T709" s="4">
        <v>44955</v>
      </c>
      <c r="U709" s="2" t="s">
        <v>2497</v>
      </c>
      <c r="V709" s="6">
        <f>(Sales[[#This Row],[Price_retail]]-Sales[[#This Row],[Price_current]])/Sales[[#This Row],[Price_retail]]</f>
        <v>0</v>
      </c>
      <c r="W709" s="3" t="str" cm="1">
        <f t="array" ref="W70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0" spans="1:23" x14ac:dyDescent="0.35">
      <c r="A710" s="2" t="s">
        <v>2498</v>
      </c>
      <c r="B710" s="2" t="s">
        <v>2499</v>
      </c>
      <c r="C710" s="2" t="s">
        <v>3394</v>
      </c>
      <c r="D710" s="2" t="s">
        <v>2500</v>
      </c>
      <c r="E710" s="2" t="s">
        <v>4</v>
      </c>
      <c r="F710" s="2" t="s">
        <v>17</v>
      </c>
      <c r="G710" s="2" t="s">
        <v>67</v>
      </c>
      <c r="H710" s="2" t="s">
        <v>35</v>
      </c>
      <c r="I710" s="2" t="s">
        <v>3393</v>
      </c>
      <c r="J710" s="3">
        <v>9.49</v>
      </c>
      <c r="K710" s="3">
        <v>9.49</v>
      </c>
      <c r="L710" s="2" t="s">
        <v>3391</v>
      </c>
      <c r="M710" s="2" t="s">
        <v>9</v>
      </c>
      <c r="N710" s="3">
        <v>660</v>
      </c>
      <c r="O710" s="2" t="s">
        <v>75</v>
      </c>
      <c r="P710" s="2" t="s">
        <v>192</v>
      </c>
      <c r="Q710" s="3"/>
      <c r="R710" s="3"/>
      <c r="S710" s="2" t="s">
        <v>21</v>
      </c>
      <c r="T710" s="4">
        <v>44955</v>
      </c>
      <c r="U710" s="2" t="s">
        <v>2501</v>
      </c>
      <c r="V710" s="6">
        <f>(Sales[[#This Row],[Price_retail]]-Sales[[#This Row],[Price_current]])/Sales[[#This Row],[Price_retail]]</f>
        <v>0</v>
      </c>
      <c r="W710" s="3" t="str" cm="1">
        <f t="array" ref="W7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1" spans="1:23" x14ac:dyDescent="0.35">
      <c r="A711" s="2" t="s">
        <v>2502</v>
      </c>
      <c r="B711" s="2" t="s">
        <v>2503</v>
      </c>
      <c r="C711" s="2" t="s">
        <v>3394</v>
      </c>
      <c r="D711" s="2" t="s">
        <v>190</v>
      </c>
      <c r="E711" s="2" t="s">
        <v>4</v>
      </c>
      <c r="F711" s="2" t="s">
        <v>5</v>
      </c>
      <c r="G711" s="2" t="s">
        <v>82</v>
      </c>
      <c r="H711" s="2" t="s">
        <v>134</v>
      </c>
      <c r="I711" s="2" t="s">
        <v>3390</v>
      </c>
      <c r="J711" s="3">
        <v>13.72</v>
      </c>
      <c r="K711" s="3">
        <v>1372</v>
      </c>
      <c r="L711" s="2" t="s">
        <v>3391</v>
      </c>
      <c r="M711" s="2" t="s">
        <v>9</v>
      </c>
      <c r="N711" s="3">
        <v>89</v>
      </c>
      <c r="O711" s="2" t="s">
        <v>261</v>
      </c>
      <c r="P711" s="2" t="s">
        <v>30</v>
      </c>
      <c r="Q711" s="3"/>
      <c r="R711" s="3"/>
      <c r="S711" s="2" t="s">
        <v>21</v>
      </c>
      <c r="T711" s="4">
        <v>44955</v>
      </c>
      <c r="U711" s="2" t="s">
        <v>2504</v>
      </c>
      <c r="V711" s="6">
        <f>(Sales[[#This Row],[Price_retail]]-Sales[[#This Row],[Price_current]])/Sales[[#This Row],[Price_retail]]</f>
        <v>-99</v>
      </c>
      <c r="W711" s="3" t="str" cm="1">
        <f t="array" ref="W711">_xlfn.IFS(Sales[[#This Row],[Discount]]=0%,"No Discount",Sales[[#This Row],[Discount]]&lt;=20%,"Light",Sales[[#This Row],[Discount]]&lt;=50%,"Moderate",Sales[[#This Row],[Discount]]&lt;=80%,"High",
TRUE,"Very High")</f>
        <v>Light</v>
      </c>
    </row>
    <row r="712" spans="1:23" x14ac:dyDescent="0.35">
      <c r="A712" s="2" t="s">
        <v>2505</v>
      </c>
      <c r="B712" s="2" t="s">
        <v>2506</v>
      </c>
      <c r="C712" s="2" t="s">
        <v>1402</v>
      </c>
      <c r="D712" s="2" t="s">
        <v>1206</v>
      </c>
      <c r="E712" s="2" t="s">
        <v>4</v>
      </c>
      <c r="F712" s="2" t="s">
        <v>17</v>
      </c>
      <c r="G712" s="2" t="s">
        <v>27</v>
      </c>
      <c r="H712" s="2" t="s">
        <v>418</v>
      </c>
      <c r="I712" s="2" t="s">
        <v>3390</v>
      </c>
      <c r="J712" s="3">
        <v>10.19</v>
      </c>
      <c r="K712" s="3">
        <v>7.27</v>
      </c>
      <c r="L712" s="2" t="s">
        <v>8</v>
      </c>
      <c r="M712" s="2" t="s">
        <v>9</v>
      </c>
      <c r="N712" s="3">
        <v>458</v>
      </c>
      <c r="O712" s="2" t="s">
        <v>267</v>
      </c>
      <c r="P712" s="2" t="s">
        <v>92</v>
      </c>
      <c r="Q712" s="3"/>
      <c r="R712" s="3"/>
      <c r="S712" s="2" t="s">
        <v>21</v>
      </c>
      <c r="T712" s="4">
        <v>44955</v>
      </c>
      <c r="U712" s="2" t="s">
        <v>2507</v>
      </c>
      <c r="V712" s="6">
        <f>(Sales[[#This Row],[Price_retail]]-Sales[[#This Row],[Price_current]])/Sales[[#This Row],[Price_retail]]</f>
        <v>0.28655544651619236</v>
      </c>
      <c r="W712" s="3" t="str" cm="1">
        <f t="array" ref="W71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13" spans="1:23" x14ac:dyDescent="0.35">
      <c r="A713" s="2" t="s">
        <v>2508</v>
      </c>
      <c r="B713" s="2" t="s">
        <v>2509</v>
      </c>
      <c r="C713" s="2" t="s">
        <v>484</v>
      </c>
      <c r="D713" s="2" t="s">
        <v>581</v>
      </c>
      <c r="E713" s="2" t="s">
        <v>4</v>
      </c>
      <c r="F713" s="2" t="s">
        <v>17</v>
      </c>
      <c r="G713" s="2" t="s">
        <v>27</v>
      </c>
      <c r="H713" s="2" t="s">
        <v>7</v>
      </c>
      <c r="I713" s="2" t="s">
        <v>3390</v>
      </c>
      <c r="J713" s="3">
        <v>8.99</v>
      </c>
      <c r="K713" s="3">
        <v>8.99</v>
      </c>
      <c r="L713" s="2" t="s">
        <v>3391</v>
      </c>
      <c r="M713" s="2" t="s">
        <v>9</v>
      </c>
      <c r="N713" s="3">
        <v>555</v>
      </c>
      <c r="O713" s="2" t="s">
        <v>43</v>
      </c>
      <c r="P713" s="2" t="s">
        <v>70</v>
      </c>
      <c r="Q713" s="3"/>
      <c r="R713" s="3"/>
      <c r="S713" s="2" t="s">
        <v>21</v>
      </c>
      <c r="T713" s="4">
        <v>44955</v>
      </c>
      <c r="U713" s="2" t="s">
        <v>2510</v>
      </c>
      <c r="V713" s="6">
        <f>(Sales[[#This Row],[Price_retail]]-Sales[[#This Row],[Price_current]])/Sales[[#This Row],[Price_retail]]</f>
        <v>0</v>
      </c>
      <c r="W713" s="3" t="str" cm="1">
        <f t="array" ref="W71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4" spans="1:23" x14ac:dyDescent="0.35">
      <c r="A714" s="2" t="s">
        <v>2511</v>
      </c>
      <c r="B714" s="2" t="s">
        <v>2512</v>
      </c>
      <c r="C714" s="2" t="s">
        <v>1314</v>
      </c>
      <c r="D714" s="2" t="s">
        <v>1169</v>
      </c>
      <c r="E714" s="2" t="s">
        <v>4</v>
      </c>
      <c r="F714" s="2" t="s">
        <v>5</v>
      </c>
      <c r="G714" s="2" t="s">
        <v>121</v>
      </c>
      <c r="H714" s="2" t="s">
        <v>237</v>
      </c>
      <c r="I714" s="2" t="s">
        <v>3393</v>
      </c>
      <c r="J714" s="3">
        <v>26.73</v>
      </c>
      <c r="K714" s="3">
        <v>26.73</v>
      </c>
      <c r="L714" s="2" t="s">
        <v>3391</v>
      </c>
      <c r="M714" s="2" t="s">
        <v>9</v>
      </c>
      <c r="N714" s="3">
        <v>592</v>
      </c>
      <c r="O714" s="2" t="s">
        <v>43</v>
      </c>
      <c r="P714" s="2" t="s">
        <v>70</v>
      </c>
      <c r="Q714" s="3"/>
      <c r="R714" s="3"/>
      <c r="S714" s="2" t="s">
        <v>21</v>
      </c>
      <c r="T714" s="4">
        <v>44955</v>
      </c>
      <c r="U714" s="2" t="s">
        <v>2513</v>
      </c>
      <c r="V714" s="6">
        <f>(Sales[[#This Row],[Price_retail]]-Sales[[#This Row],[Price_current]])/Sales[[#This Row],[Price_retail]]</f>
        <v>0</v>
      </c>
      <c r="W714" s="3" t="str" cm="1">
        <f t="array" ref="W7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5" spans="1:23" x14ac:dyDescent="0.35">
      <c r="A715" s="2" t="s">
        <v>2514</v>
      </c>
      <c r="B715" s="2" t="s">
        <v>2515</v>
      </c>
      <c r="C715" s="2" t="s">
        <v>3420</v>
      </c>
      <c r="D715" s="2" t="s">
        <v>474</v>
      </c>
      <c r="E715" s="2" t="s">
        <v>4</v>
      </c>
      <c r="F715" s="2" t="s">
        <v>17</v>
      </c>
      <c r="G715" s="2" t="s">
        <v>50</v>
      </c>
      <c r="H715" s="2" t="s">
        <v>83</v>
      </c>
      <c r="I715" s="2" t="s">
        <v>3393</v>
      </c>
      <c r="J715" s="3">
        <v>11.81</v>
      </c>
      <c r="K715" s="3">
        <v>11.81</v>
      </c>
      <c r="L715" s="2" t="s">
        <v>3391</v>
      </c>
      <c r="M715" s="2" t="s">
        <v>9</v>
      </c>
      <c r="N715" s="3">
        <v>716</v>
      </c>
      <c r="O715" s="2" t="s">
        <v>267</v>
      </c>
      <c r="P715" s="2" t="s">
        <v>37</v>
      </c>
      <c r="Q715" s="3"/>
      <c r="R715" s="3"/>
      <c r="S715" s="2" t="s">
        <v>21</v>
      </c>
      <c r="T715" s="4">
        <v>44955</v>
      </c>
      <c r="U715" s="2" t="s">
        <v>2516</v>
      </c>
      <c r="V715" s="6">
        <f>(Sales[[#This Row],[Price_retail]]-Sales[[#This Row],[Price_current]])/Sales[[#This Row],[Price_retail]]</f>
        <v>0</v>
      </c>
      <c r="W715" s="3" t="str" cm="1">
        <f t="array" ref="W71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6" spans="1:23" x14ac:dyDescent="0.35">
      <c r="A716" s="2" t="s">
        <v>2517</v>
      </c>
      <c r="B716" s="2" t="s">
        <v>2518</v>
      </c>
      <c r="C716" s="2" t="s">
        <v>65</v>
      </c>
      <c r="D716" s="2" t="s">
        <v>704</v>
      </c>
      <c r="E716" s="2" t="s">
        <v>4</v>
      </c>
      <c r="F716" s="2" t="s">
        <v>17</v>
      </c>
      <c r="G716" s="2" t="s">
        <v>27</v>
      </c>
      <c r="H716" s="2" t="s">
        <v>51</v>
      </c>
      <c r="I716" s="2" t="s">
        <v>3390</v>
      </c>
      <c r="J716" s="3">
        <v>10.3</v>
      </c>
      <c r="K716" s="3">
        <v>7.62</v>
      </c>
      <c r="L716" s="2" t="s">
        <v>8</v>
      </c>
      <c r="M716" s="2" t="s">
        <v>9</v>
      </c>
      <c r="N716" s="3">
        <v>659</v>
      </c>
      <c r="O716" s="2" t="s">
        <v>3392</v>
      </c>
      <c r="P716" s="2" t="s">
        <v>37</v>
      </c>
      <c r="Q716" s="3"/>
      <c r="R716" s="3"/>
      <c r="S716" s="2" t="s">
        <v>21</v>
      </c>
      <c r="T716" s="4">
        <v>44955</v>
      </c>
      <c r="U716" s="2" t="s">
        <v>2519</v>
      </c>
      <c r="V716" s="6">
        <f>(Sales[[#This Row],[Price_retail]]-Sales[[#This Row],[Price_current]])/Sales[[#This Row],[Price_retail]]</f>
        <v>0.26019417475728157</v>
      </c>
      <c r="W716" s="3" t="str" cm="1">
        <f t="array" ref="W71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17" spans="1:23" x14ac:dyDescent="0.35">
      <c r="A717" s="2" t="s">
        <v>2520</v>
      </c>
      <c r="B717" s="2" t="s">
        <v>2521</v>
      </c>
      <c r="C717" s="2" t="s">
        <v>1115</v>
      </c>
      <c r="D717" s="2" t="s">
        <v>1165</v>
      </c>
      <c r="E717" s="2" t="s">
        <v>4</v>
      </c>
      <c r="F717" s="2" t="s">
        <v>17</v>
      </c>
      <c r="G717" s="2" t="s">
        <v>50</v>
      </c>
      <c r="H717" s="2" t="s">
        <v>185</v>
      </c>
      <c r="I717" s="2" t="s">
        <v>3393</v>
      </c>
      <c r="J717" s="3">
        <v>17.559999999999999</v>
      </c>
      <c r="K717" s="3">
        <v>13.51</v>
      </c>
      <c r="L717" s="2" t="s">
        <v>8</v>
      </c>
      <c r="M717" s="2" t="s">
        <v>9</v>
      </c>
      <c r="N717" s="3">
        <v>483</v>
      </c>
      <c r="O717" s="2" t="s">
        <v>69</v>
      </c>
      <c r="P717" s="2" t="s">
        <v>186</v>
      </c>
      <c r="Q717" s="3"/>
      <c r="R717" s="3"/>
      <c r="S717" s="2" t="s">
        <v>21</v>
      </c>
      <c r="T717" s="4">
        <v>44955</v>
      </c>
      <c r="U717" s="2" t="s">
        <v>2522</v>
      </c>
      <c r="V717" s="6">
        <f>(Sales[[#This Row],[Price_retail]]-Sales[[#This Row],[Price_current]])/Sales[[#This Row],[Price_retail]]</f>
        <v>0.23063781321184507</v>
      </c>
      <c r="W717" s="3" t="str" cm="1">
        <f t="array" ref="W71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18" spans="1:23" x14ac:dyDescent="0.35">
      <c r="A718" s="2" t="s">
        <v>2523</v>
      </c>
      <c r="B718" s="2" t="s">
        <v>2524</v>
      </c>
      <c r="C718" s="2" t="s">
        <v>1747</v>
      </c>
      <c r="D718" s="2" t="s">
        <v>34</v>
      </c>
      <c r="E718" s="2" t="s">
        <v>4</v>
      </c>
      <c r="F718" s="2" t="s">
        <v>17</v>
      </c>
      <c r="G718" s="2" t="s">
        <v>67</v>
      </c>
      <c r="H718" s="2" t="s">
        <v>35</v>
      </c>
      <c r="I718" s="2" t="s">
        <v>3393</v>
      </c>
      <c r="J718" s="3">
        <v>20.74</v>
      </c>
      <c r="K718" s="3">
        <v>20.74</v>
      </c>
      <c r="L718" s="2" t="s">
        <v>3391</v>
      </c>
      <c r="M718" s="2" t="s">
        <v>9</v>
      </c>
      <c r="N718" s="3">
        <v>240</v>
      </c>
      <c r="O718" s="2" t="s">
        <v>3392</v>
      </c>
      <c r="P718" s="2" t="s">
        <v>283</v>
      </c>
      <c r="Q718" s="3"/>
      <c r="R718" s="3"/>
      <c r="S718" s="2" t="s">
        <v>21</v>
      </c>
      <c r="T718" s="4">
        <v>44955</v>
      </c>
      <c r="U718" s="2" t="s">
        <v>2525</v>
      </c>
      <c r="V718" s="6">
        <f>(Sales[[#This Row],[Price_retail]]-Sales[[#This Row],[Price_current]])/Sales[[#This Row],[Price_retail]]</f>
        <v>0</v>
      </c>
      <c r="W718" s="3" t="str" cm="1">
        <f t="array" ref="W7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19" spans="1:23" x14ac:dyDescent="0.35">
      <c r="A719" s="2" t="s">
        <v>2526</v>
      </c>
      <c r="B719" s="2" t="s">
        <v>2527</v>
      </c>
      <c r="C719" s="2" t="s">
        <v>746</v>
      </c>
      <c r="D719" s="2" t="s">
        <v>814</v>
      </c>
      <c r="E719" s="2" t="s">
        <v>4</v>
      </c>
      <c r="F719" s="2" t="s">
        <v>5</v>
      </c>
      <c r="G719" s="2" t="s">
        <v>82</v>
      </c>
      <c r="H719" s="2" t="s">
        <v>418</v>
      </c>
      <c r="I719" s="2" t="s">
        <v>3390</v>
      </c>
      <c r="J719" s="3">
        <v>13.11</v>
      </c>
      <c r="K719" s="3">
        <v>13.11</v>
      </c>
      <c r="L719" s="2" t="s">
        <v>3391</v>
      </c>
      <c r="M719" s="2" t="s">
        <v>9</v>
      </c>
      <c r="N719" s="3">
        <v>525</v>
      </c>
      <c r="O719" s="2" t="s">
        <v>3392</v>
      </c>
      <c r="P719" s="2" t="s">
        <v>419</v>
      </c>
      <c r="Q719" s="3"/>
      <c r="R719" s="3"/>
      <c r="S719" s="2" t="s">
        <v>21</v>
      </c>
      <c r="T719" s="4">
        <v>44955</v>
      </c>
      <c r="U719" s="2" t="s">
        <v>2528</v>
      </c>
      <c r="V719" s="6">
        <f>(Sales[[#This Row],[Price_retail]]-Sales[[#This Row],[Price_current]])/Sales[[#This Row],[Price_retail]]</f>
        <v>0</v>
      </c>
      <c r="W719" s="3" t="str" cm="1">
        <f t="array" ref="W71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0" spans="1:23" x14ac:dyDescent="0.35">
      <c r="A720" s="2" t="s">
        <v>2529</v>
      </c>
      <c r="B720" s="2" t="s">
        <v>2530</v>
      </c>
      <c r="C720" s="2" t="s">
        <v>484</v>
      </c>
      <c r="D720" s="2" t="s">
        <v>1651</v>
      </c>
      <c r="E720" s="2" t="s">
        <v>4</v>
      </c>
      <c r="F720" s="2" t="s">
        <v>5</v>
      </c>
      <c r="G720" s="2" t="s">
        <v>121</v>
      </c>
      <c r="H720" s="2" t="s">
        <v>139</v>
      </c>
      <c r="I720" s="2" t="s">
        <v>3393</v>
      </c>
      <c r="J720" s="3">
        <v>15.62</v>
      </c>
      <c r="K720" s="3">
        <v>9.75</v>
      </c>
      <c r="L720" s="2" t="s">
        <v>8</v>
      </c>
      <c r="M720" s="2" t="s">
        <v>9</v>
      </c>
      <c r="N720" s="3">
        <v>390</v>
      </c>
      <c r="O720" s="2" t="s">
        <v>3392</v>
      </c>
      <c r="P720" s="2" t="s">
        <v>44</v>
      </c>
      <c r="Q720" s="3"/>
      <c r="R720" s="3"/>
      <c r="S720" s="2" t="s">
        <v>21</v>
      </c>
      <c r="T720" s="4">
        <v>44955</v>
      </c>
      <c r="U720" s="2" t="s">
        <v>2531</v>
      </c>
      <c r="V720" s="6">
        <f>(Sales[[#This Row],[Price_retail]]-Sales[[#This Row],[Price_current]])/Sales[[#This Row],[Price_retail]]</f>
        <v>0.37580025608194617</v>
      </c>
      <c r="W720" s="3" t="str" cm="1">
        <f t="array" ref="W72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21" spans="1:23" x14ac:dyDescent="0.35">
      <c r="A721" s="2" t="s">
        <v>2532</v>
      </c>
      <c r="B721" s="2" t="s">
        <v>2533</v>
      </c>
      <c r="C721" s="2" t="s">
        <v>399</v>
      </c>
      <c r="D721" s="2" t="s">
        <v>814</v>
      </c>
      <c r="E721" s="2" t="s">
        <v>4</v>
      </c>
      <c r="F721" s="2" t="s">
        <v>5</v>
      </c>
      <c r="G721" s="2" t="s">
        <v>82</v>
      </c>
      <c r="H721" s="2" t="s">
        <v>418</v>
      </c>
      <c r="I721" s="2" t="s">
        <v>3395</v>
      </c>
      <c r="J721" s="3">
        <v>23.58</v>
      </c>
      <c r="K721" s="3">
        <v>23.58</v>
      </c>
      <c r="L721" s="2" t="s">
        <v>3391</v>
      </c>
      <c r="M721" s="2" t="s">
        <v>9</v>
      </c>
      <c r="N721" s="3">
        <v>336</v>
      </c>
      <c r="O721" s="2" t="s">
        <v>302</v>
      </c>
      <c r="P721" s="2" t="s">
        <v>3392</v>
      </c>
      <c r="Q721" s="3"/>
      <c r="R721" s="3"/>
      <c r="S721" s="2" t="s">
        <v>21</v>
      </c>
      <c r="T721" s="4">
        <v>44955</v>
      </c>
      <c r="U721" s="2" t="s">
        <v>2534</v>
      </c>
      <c r="V721" s="6">
        <f>(Sales[[#This Row],[Price_retail]]-Sales[[#This Row],[Price_current]])/Sales[[#This Row],[Price_retail]]</f>
        <v>0</v>
      </c>
      <c r="W721" s="3" t="str" cm="1">
        <f t="array" ref="W7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2" spans="1:23" x14ac:dyDescent="0.35">
      <c r="A722" s="2" t="s">
        <v>2535</v>
      </c>
      <c r="B722" s="2" t="s">
        <v>2536</v>
      </c>
      <c r="C722" s="2" t="s">
        <v>1549</v>
      </c>
      <c r="D722" s="2" t="s">
        <v>729</v>
      </c>
      <c r="E722" s="2" t="s">
        <v>4</v>
      </c>
      <c r="F722" s="2" t="s">
        <v>17</v>
      </c>
      <c r="G722" s="2" t="s">
        <v>18</v>
      </c>
      <c r="H722" s="2" t="s">
        <v>168</v>
      </c>
      <c r="I722" s="2" t="s">
        <v>3395</v>
      </c>
      <c r="J722" s="3">
        <v>12.83</v>
      </c>
      <c r="K722" s="3">
        <v>12.83</v>
      </c>
      <c r="L722" s="2" t="s">
        <v>3391</v>
      </c>
      <c r="M722" s="2" t="s">
        <v>9</v>
      </c>
      <c r="N722" s="3">
        <v>873</v>
      </c>
      <c r="O722" s="2" t="s">
        <v>359</v>
      </c>
      <c r="P722" s="2" t="s">
        <v>30</v>
      </c>
      <c r="Q722" s="3"/>
      <c r="R722" s="3"/>
      <c r="S722" s="2" t="s">
        <v>21</v>
      </c>
      <c r="T722" s="4">
        <v>44955</v>
      </c>
      <c r="U722" s="2" t="s">
        <v>2537</v>
      </c>
      <c r="V722" s="6">
        <f>(Sales[[#This Row],[Price_retail]]-Sales[[#This Row],[Price_current]])/Sales[[#This Row],[Price_retail]]</f>
        <v>0</v>
      </c>
      <c r="W722" s="3" t="str" cm="1">
        <f t="array" ref="W72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3" spans="1:23" x14ac:dyDescent="0.35">
      <c r="A723" s="2" t="s">
        <v>2538</v>
      </c>
      <c r="B723" s="2" t="s">
        <v>2539</v>
      </c>
      <c r="C723" s="2" t="s">
        <v>333</v>
      </c>
      <c r="D723" s="2" t="s">
        <v>1482</v>
      </c>
      <c r="E723" s="2" t="s">
        <v>4</v>
      </c>
      <c r="F723" s="2" t="s">
        <v>17</v>
      </c>
      <c r="G723" s="2" t="s">
        <v>18</v>
      </c>
      <c r="H723" s="2" t="s">
        <v>185</v>
      </c>
      <c r="I723" s="2" t="s">
        <v>3393</v>
      </c>
      <c r="J723" s="3">
        <v>28.26</v>
      </c>
      <c r="K723" s="3">
        <v>28.26</v>
      </c>
      <c r="L723" s="2" t="s">
        <v>3391</v>
      </c>
      <c r="M723" s="2" t="s">
        <v>9</v>
      </c>
      <c r="N723" s="3">
        <v>453</v>
      </c>
      <c r="O723" s="2" t="s">
        <v>91</v>
      </c>
      <c r="P723" s="2" t="s">
        <v>215</v>
      </c>
      <c r="Q723" s="3"/>
      <c r="R723" s="3"/>
      <c r="S723" s="2" t="s">
        <v>21</v>
      </c>
      <c r="T723" s="4">
        <v>44955</v>
      </c>
      <c r="U723" s="2" t="s">
        <v>2540</v>
      </c>
      <c r="V723" s="6">
        <f>(Sales[[#This Row],[Price_retail]]-Sales[[#This Row],[Price_current]])/Sales[[#This Row],[Price_retail]]</f>
        <v>0</v>
      </c>
      <c r="W723" s="3" t="str" cm="1">
        <f t="array" ref="W72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4" spans="1:23" x14ac:dyDescent="0.35">
      <c r="A724" s="2" t="s">
        <v>2541</v>
      </c>
      <c r="B724" s="2" t="s">
        <v>2542</v>
      </c>
      <c r="C724" s="2" t="s">
        <v>1359</v>
      </c>
      <c r="D724" s="2" t="s">
        <v>247</v>
      </c>
      <c r="E724" s="2" t="s">
        <v>4</v>
      </c>
      <c r="F724" s="2" t="s">
        <v>17</v>
      </c>
      <c r="G724" s="2" t="s">
        <v>18</v>
      </c>
      <c r="H724" s="2" t="s">
        <v>68</v>
      </c>
      <c r="I724" s="2" t="s">
        <v>3390</v>
      </c>
      <c r="J724" s="3">
        <v>8.99</v>
      </c>
      <c r="K724" s="3">
        <v>8.99</v>
      </c>
      <c r="L724" s="2" t="s">
        <v>3391</v>
      </c>
      <c r="M724" s="2" t="s">
        <v>9</v>
      </c>
      <c r="N724" s="3">
        <v>924</v>
      </c>
      <c r="O724" s="2" t="s">
        <v>20</v>
      </c>
      <c r="P724" s="2" t="s">
        <v>76</v>
      </c>
      <c r="Q724" s="3"/>
      <c r="R724" s="3"/>
      <c r="S724" s="2" t="s">
        <v>21</v>
      </c>
      <c r="T724" s="4">
        <v>44955</v>
      </c>
      <c r="U724" s="2" t="s">
        <v>2543</v>
      </c>
      <c r="V724" s="6">
        <f>(Sales[[#This Row],[Price_retail]]-Sales[[#This Row],[Price_current]])/Sales[[#This Row],[Price_retail]]</f>
        <v>0</v>
      </c>
      <c r="W724" s="3" t="str" cm="1">
        <f t="array" ref="W7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5" spans="1:23" x14ac:dyDescent="0.35">
      <c r="A725" s="2" t="s">
        <v>2544</v>
      </c>
      <c r="B725" s="2" t="s">
        <v>2545</v>
      </c>
      <c r="C725" s="2" t="s">
        <v>484</v>
      </c>
      <c r="D725" s="2" t="s">
        <v>432</v>
      </c>
      <c r="E725" s="2" t="s">
        <v>4</v>
      </c>
      <c r="F725" s="2" t="s">
        <v>5</v>
      </c>
      <c r="G725" s="2" t="s">
        <v>121</v>
      </c>
      <c r="H725" s="2" t="s">
        <v>35</v>
      </c>
      <c r="I725" s="2" t="s">
        <v>3390</v>
      </c>
      <c r="J725" s="3">
        <v>8.99</v>
      </c>
      <c r="K725" s="3">
        <v>3.99</v>
      </c>
      <c r="L725" s="2" t="s">
        <v>8</v>
      </c>
      <c r="M725" s="2" t="s">
        <v>9</v>
      </c>
      <c r="N725" s="3">
        <v>339</v>
      </c>
      <c r="O725" s="2" t="s">
        <v>3392</v>
      </c>
      <c r="P725" s="2" t="s">
        <v>61</v>
      </c>
      <c r="Q725" s="3"/>
      <c r="R725" s="3"/>
      <c r="S725" s="2" t="s">
        <v>21</v>
      </c>
      <c r="T725" s="4">
        <v>44955</v>
      </c>
      <c r="U725" s="2" t="s">
        <v>2546</v>
      </c>
      <c r="V725" s="6">
        <f>(Sales[[#This Row],[Price_retail]]-Sales[[#This Row],[Price_current]])/Sales[[#This Row],[Price_retail]]</f>
        <v>0.55617352614015569</v>
      </c>
      <c r="W725" s="3" t="str" cm="1">
        <f t="array" ref="W725">_xlfn.IFS(Sales[[#This Row],[Discount]]=0%,"No Discount",Sales[[#This Row],[Discount]]&lt;=20%,"Light",Sales[[#This Row],[Discount]]&lt;=50%,"Moderate",Sales[[#This Row],[Discount]]&lt;=80%,"High",
TRUE,"Very High")</f>
        <v>High</v>
      </c>
    </row>
    <row r="726" spans="1:23" x14ac:dyDescent="0.35">
      <c r="A726" s="2" t="s">
        <v>2547</v>
      </c>
      <c r="B726" s="2" t="s">
        <v>2548</v>
      </c>
      <c r="C726" s="2" t="s">
        <v>454</v>
      </c>
      <c r="D726" s="2" t="s">
        <v>97</v>
      </c>
      <c r="E726" s="2" t="s">
        <v>4</v>
      </c>
      <c r="F726" s="2" t="s">
        <v>5</v>
      </c>
      <c r="G726" s="2" t="s">
        <v>6</v>
      </c>
      <c r="H726" s="2" t="s">
        <v>90</v>
      </c>
      <c r="I726" s="2" t="s">
        <v>3390</v>
      </c>
      <c r="J726" s="3">
        <v>21.82</v>
      </c>
      <c r="K726" s="3">
        <v>21.82</v>
      </c>
      <c r="L726" s="2" t="s">
        <v>3391</v>
      </c>
      <c r="M726" s="2" t="s">
        <v>9</v>
      </c>
      <c r="N726" s="3">
        <v>168</v>
      </c>
      <c r="O726" s="2" t="s">
        <v>75</v>
      </c>
      <c r="P726" s="2" t="s">
        <v>553</v>
      </c>
      <c r="Q726" s="3"/>
      <c r="R726" s="3"/>
      <c r="S726" s="2" t="s">
        <v>21</v>
      </c>
      <c r="T726" s="4">
        <v>44955</v>
      </c>
      <c r="U726" s="2" t="s">
        <v>2549</v>
      </c>
      <c r="V726" s="6">
        <f>(Sales[[#This Row],[Price_retail]]-Sales[[#This Row],[Price_current]])/Sales[[#This Row],[Price_retail]]</f>
        <v>0</v>
      </c>
      <c r="W726" s="3" t="str" cm="1">
        <f t="array" ref="W72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7" spans="1:23" x14ac:dyDescent="0.35">
      <c r="A727" s="2" t="s">
        <v>2550</v>
      </c>
      <c r="B727" s="2" t="s">
        <v>2551</v>
      </c>
      <c r="C727" s="2" t="s">
        <v>3417</v>
      </c>
      <c r="D727" s="2" t="s">
        <v>804</v>
      </c>
      <c r="E727" s="2" t="s">
        <v>4</v>
      </c>
      <c r="F727" s="2" t="s">
        <v>5</v>
      </c>
      <c r="G727" s="2" t="s">
        <v>82</v>
      </c>
      <c r="H727" s="2" t="s">
        <v>19</v>
      </c>
      <c r="I727" s="2" t="s">
        <v>3395</v>
      </c>
      <c r="J727" s="3">
        <v>8.99</v>
      </c>
      <c r="K727" s="3">
        <v>6.47</v>
      </c>
      <c r="L727" s="2" t="s">
        <v>8</v>
      </c>
      <c r="M727" s="2" t="s">
        <v>9</v>
      </c>
      <c r="N727" s="3">
        <v>930</v>
      </c>
      <c r="O727" s="2" t="s">
        <v>261</v>
      </c>
      <c r="P727" s="2" t="s">
        <v>76</v>
      </c>
      <c r="Q727" s="3"/>
      <c r="R727" s="3"/>
      <c r="S727" s="2" t="s">
        <v>12</v>
      </c>
      <c r="T727" s="4">
        <v>44955</v>
      </c>
      <c r="U727" s="2" t="s">
        <v>2552</v>
      </c>
      <c r="V727" s="6">
        <f>(Sales[[#This Row],[Price_retail]]-Sales[[#This Row],[Price_current]])/Sales[[#This Row],[Price_retail]]</f>
        <v>0.28031145717463851</v>
      </c>
      <c r="W727" s="3" t="str" cm="1">
        <f t="array" ref="W72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28" spans="1:23" x14ac:dyDescent="0.35">
      <c r="A728" s="2" t="s">
        <v>2553</v>
      </c>
      <c r="B728" s="2" t="s">
        <v>2554</v>
      </c>
      <c r="C728" s="2" t="s">
        <v>3410</v>
      </c>
      <c r="D728" s="2" t="s">
        <v>725</v>
      </c>
      <c r="E728" s="2" t="s">
        <v>4</v>
      </c>
      <c r="F728" s="2" t="s">
        <v>17</v>
      </c>
      <c r="G728" s="2" t="s">
        <v>67</v>
      </c>
      <c r="H728" s="2" t="s">
        <v>110</v>
      </c>
      <c r="I728" s="2" t="s">
        <v>3393</v>
      </c>
      <c r="J728" s="3">
        <v>17.79</v>
      </c>
      <c r="K728" s="3">
        <v>17.79</v>
      </c>
      <c r="L728" s="2" t="s">
        <v>3391</v>
      </c>
      <c r="M728" s="2" t="s">
        <v>9</v>
      </c>
      <c r="N728" s="3">
        <v>992</v>
      </c>
      <c r="O728" s="2" t="s">
        <v>191</v>
      </c>
      <c r="P728" s="2" t="s">
        <v>186</v>
      </c>
      <c r="Q728" s="3"/>
      <c r="R728" s="3"/>
      <c r="S728" s="2" t="s">
        <v>12</v>
      </c>
      <c r="T728" s="4">
        <v>44955</v>
      </c>
      <c r="U728" s="2" t="s">
        <v>2555</v>
      </c>
      <c r="V728" s="6">
        <f>(Sales[[#This Row],[Price_retail]]-Sales[[#This Row],[Price_current]])/Sales[[#This Row],[Price_retail]]</f>
        <v>0</v>
      </c>
      <c r="W728" s="3" t="str" cm="1">
        <f t="array" ref="W7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29" spans="1:23" x14ac:dyDescent="0.35">
      <c r="A729" s="2" t="s">
        <v>2556</v>
      </c>
      <c r="B729" s="2" t="s">
        <v>2557</v>
      </c>
      <c r="C729" s="2" t="s">
        <v>995</v>
      </c>
      <c r="D729" s="2" t="s">
        <v>521</v>
      </c>
      <c r="E729" s="2" t="s">
        <v>4</v>
      </c>
      <c r="F729" s="2" t="s">
        <v>5</v>
      </c>
      <c r="G729" s="2" t="s">
        <v>121</v>
      </c>
      <c r="H729" s="2" t="s">
        <v>19</v>
      </c>
      <c r="I729" s="2" t="s">
        <v>3393</v>
      </c>
      <c r="J729" s="3">
        <v>14.43</v>
      </c>
      <c r="K729" s="3">
        <v>13.71</v>
      </c>
      <c r="L729" s="2" t="s">
        <v>8</v>
      </c>
      <c r="M729" s="2" t="s">
        <v>9</v>
      </c>
      <c r="N729" s="3">
        <v>701</v>
      </c>
      <c r="O729" s="2" t="s">
        <v>302</v>
      </c>
      <c r="P729" s="2" t="s">
        <v>238</v>
      </c>
      <c r="Q729" s="3"/>
      <c r="R729" s="3"/>
      <c r="S729" s="2" t="s">
        <v>12</v>
      </c>
      <c r="T729" s="4">
        <v>44955</v>
      </c>
      <c r="U729" s="2" t="s">
        <v>2558</v>
      </c>
      <c r="V729" s="6">
        <f>(Sales[[#This Row],[Price_retail]]-Sales[[#This Row],[Price_current]])/Sales[[#This Row],[Price_retail]]</f>
        <v>4.9896049896049816E-2</v>
      </c>
      <c r="W729" s="3" t="str" cm="1">
        <f t="array" ref="W729">_xlfn.IFS(Sales[[#This Row],[Discount]]=0%,"No Discount",Sales[[#This Row],[Discount]]&lt;=20%,"Light",Sales[[#This Row],[Discount]]&lt;=50%,"Moderate",Sales[[#This Row],[Discount]]&lt;=80%,"High",
TRUE,"Very High")</f>
        <v>Light</v>
      </c>
    </row>
    <row r="730" spans="1:23" x14ac:dyDescent="0.35">
      <c r="A730" s="2" t="s">
        <v>2559</v>
      </c>
      <c r="B730" s="2" t="s">
        <v>2560</v>
      </c>
      <c r="C730" s="2" t="s">
        <v>2915</v>
      </c>
      <c r="D730" s="2" t="s">
        <v>905</v>
      </c>
      <c r="E730" s="2" t="s">
        <v>4</v>
      </c>
      <c r="F730" s="2" t="s">
        <v>5</v>
      </c>
      <c r="G730" s="2" t="s">
        <v>6</v>
      </c>
      <c r="H730" s="2" t="s">
        <v>28</v>
      </c>
      <c r="I730" s="2" t="s">
        <v>3393</v>
      </c>
      <c r="J730" s="3">
        <v>12.8</v>
      </c>
      <c r="K730" s="3">
        <v>8.6199999999999992</v>
      </c>
      <c r="L730" s="2" t="s">
        <v>8</v>
      </c>
      <c r="M730" s="2" t="s">
        <v>9</v>
      </c>
      <c r="N730" s="3">
        <v>674</v>
      </c>
      <c r="O730" s="2" t="s">
        <v>29</v>
      </c>
      <c r="P730" s="2" t="s">
        <v>44</v>
      </c>
      <c r="Q730" s="3"/>
      <c r="R730" s="3"/>
      <c r="S730" s="2" t="s">
        <v>21</v>
      </c>
      <c r="T730" s="4">
        <v>44955</v>
      </c>
      <c r="U730" s="2" t="s">
        <v>2561</v>
      </c>
      <c r="V730" s="6">
        <f>(Sales[[#This Row],[Price_retail]]-Sales[[#This Row],[Price_current]])/Sales[[#This Row],[Price_retail]]</f>
        <v>0.32656250000000009</v>
      </c>
      <c r="W730" s="3" t="str" cm="1">
        <f t="array" ref="W73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31" spans="1:23" x14ac:dyDescent="0.35">
      <c r="A731" s="2" t="s">
        <v>2562</v>
      </c>
      <c r="B731" s="2" t="s">
        <v>2563</v>
      </c>
      <c r="C731" s="2" t="s">
        <v>1888</v>
      </c>
      <c r="D731" s="2" t="s">
        <v>490</v>
      </c>
      <c r="E731" s="2" t="s">
        <v>4</v>
      </c>
      <c r="F731" s="2" t="s">
        <v>17</v>
      </c>
      <c r="G731" s="2" t="s">
        <v>67</v>
      </c>
      <c r="H731" s="2" t="s">
        <v>185</v>
      </c>
      <c r="I731" s="2" t="s">
        <v>3395</v>
      </c>
      <c r="J731" s="3">
        <v>9.92</v>
      </c>
      <c r="K731" s="3">
        <v>9.92</v>
      </c>
      <c r="L731" s="2" t="s">
        <v>3391</v>
      </c>
      <c r="M731" s="2" t="s">
        <v>9</v>
      </c>
      <c r="N731" s="3">
        <v>270</v>
      </c>
      <c r="O731" s="2" t="s">
        <v>98</v>
      </c>
      <c r="P731" s="2" t="s">
        <v>215</v>
      </c>
      <c r="Q731" s="3"/>
      <c r="R731" s="3"/>
      <c r="S731" s="2" t="s">
        <v>21</v>
      </c>
      <c r="T731" s="4">
        <v>44955</v>
      </c>
      <c r="U731" s="2" t="s">
        <v>2564</v>
      </c>
      <c r="V731" s="6">
        <f>(Sales[[#This Row],[Price_retail]]-Sales[[#This Row],[Price_current]])/Sales[[#This Row],[Price_retail]]</f>
        <v>0</v>
      </c>
      <c r="W731" s="3" t="str" cm="1">
        <f t="array" ref="W7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32" spans="1:23" x14ac:dyDescent="0.35">
      <c r="A732" s="2" t="s">
        <v>2565</v>
      </c>
      <c r="B732" s="2" t="s">
        <v>2566</v>
      </c>
      <c r="C732" s="2" t="s">
        <v>423</v>
      </c>
      <c r="D732" s="2" t="s">
        <v>236</v>
      </c>
      <c r="E732" s="2" t="s">
        <v>4</v>
      </c>
      <c r="F732" s="2" t="s">
        <v>17</v>
      </c>
      <c r="G732" s="2" t="s">
        <v>27</v>
      </c>
      <c r="H732" s="2" t="s">
        <v>237</v>
      </c>
      <c r="I732" s="2" t="s">
        <v>3393</v>
      </c>
      <c r="J732" s="3">
        <v>25.79</v>
      </c>
      <c r="K732" s="3">
        <v>25.79</v>
      </c>
      <c r="L732" s="2" t="s">
        <v>3391</v>
      </c>
      <c r="M732" s="2" t="s">
        <v>9</v>
      </c>
      <c r="N732" s="3">
        <v>78</v>
      </c>
      <c r="O732" s="2" t="s">
        <v>191</v>
      </c>
      <c r="P732" s="2" t="s">
        <v>3392</v>
      </c>
      <c r="Q732" s="3"/>
      <c r="R732" s="3"/>
      <c r="S732" s="2" t="s">
        <v>21</v>
      </c>
      <c r="T732" s="4">
        <v>44955</v>
      </c>
      <c r="U732" s="2" t="s">
        <v>2567</v>
      </c>
      <c r="V732" s="6">
        <f>(Sales[[#This Row],[Price_retail]]-Sales[[#This Row],[Price_current]])/Sales[[#This Row],[Price_retail]]</f>
        <v>0</v>
      </c>
      <c r="W732" s="3" t="str" cm="1">
        <f t="array" ref="W7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33" spans="1:23" x14ac:dyDescent="0.35">
      <c r="A733" s="2" t="s">
        <v>2568</v>
      </c>
      <c r="B733" s="2" t="s">
        <v>2569</v>
      </c>
      <c r="C733" s="2" t="s">
        <v>387</v>
      </c>
      <c r="D733" s="2" t="s">
        <v>2570</v>
      </c>
      <c r="E733" s="2" t="s">
        <v>4</v>
      </c>
      <c r="F733" s="2" t="s">
        <v>5</v>
      </c>
      <c r="G733" s="2" t="s">
        <v>6</v>
      </c>
      <c r="H733" s="2" t="s">
        <v>28</v>
      </c>
      <c r="I733" s="2" t="s">
        <v>3393</v>
      </c>
      <c r="J733" s="3">
        <v>40.51</v>
      </c>
      <c r="K733" s="3">
        <v>40.51</v>
      </c>
      <c r="L733" s="2" t="s">
        <v>3391</v>
      </c>
      <c r="M733" s="2" t="s">
        <v>9</v>
      </c>
      <c r="N733" s="3">
        <v>488</v>
      </c>
      <c r="O733" s="2" t="s">
        <v>10</v>
      </c>
      <c r="P733" s="2" t="s">
        <v>192</v>
      </c>
      <c r="Q733" s="3"/>
      <c r="R733" s="3"/>
      <c r="S733" s="2" t="s">
        <v>12</v>
      </c>
      <c r="T733" s="4">
        <v>44955</v>
      </c>
      <c r="U733" s="2" t="s">
        <v>2571</v>
      </c>
      <c r="V733" s="6">
        <f>(Sales[[#This Row],[Price_retail]]-Sales[[#This Row],[Price_current]])/Sales[[#This Row],[Price_retail]]</f>
        <v>0</v>
      </c>
      <c r="W733" s="3" t="str" cm="1">
        <f t="array" ref="W7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34" spans="1:23" x14ac:dyDescent="0.35">
      <c r="A734" s="2" t="s">
        <v>2572</v>
      </c>
      <c r="B734" s="2" t="s">
        <v>2573</v>
      </c>
      <c r="C734" s="2" t="s">
        <v>1115</v>
      </c>
      <c r="D734" s="2" t="s">
        <v>1495</v>
      </c>
      <c r="E734" s="2" t="s">
        <v>4</v>
      </c>
      <c r="F734" s="2" t="s">
        <v>5</v>
      </c>
      <c r="G734" s="2" t="s">
        <v>82</v>
      </c>
      <c r="H734" s="2" t="s">
        <v>35</v>
      </c>
      <c r="I734" s="2" t="s">
        <v>3390</v>
      </c>
      <c r="J734" s="3">
        <v>18.45</v>
      </c>
      <c r="K734" s="3">
        <v>18.45</v>
      </c>
      <c r="L734" s="2" t="s">
        <v>3391</v>
      </c>
      <c r="M734" s="2" t="s">
        <v>9</v>
      </c>
      <c r="N734" s="3">
        <v>419</v>
      </c>
      <c r="O734" s="2" t="s">
        <v>91</v>
      </c>
      <c r="P734" s="2" t="s">
        <v>221</v>
      </c>
      <c r="Q734" s="3"/>
      <c r="R734" s="3"/>
      <c r="S734" s="2" t="s">
        <v>12</v>
      </c>
      <c r="T734" s="4">
        <v>44955</v>
      </c>
      <c r="U734" s="2" t="s">
        <v>2574</v>
      </c>
      <c r="V734" s="6">
        <f>(Sales[[#This Row],[Price_retail]]-Sales[[#This Row],[Price_current]])/Sales[[#This Row],[Price_retail]]</f>
        <v>0</v>
      </c>
      <c r="W734" s="3" t="str" cm="1">
        <f t="array" ref="W73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35" spans="1:23" x14ac:dyDescent="0.35">
      <c r="A735" s="2" t="s">
        <v>2575</v>
      </c>
      <c r="B735" s="2" t="s">
        <v>2576</v>
      </c>
      <c r="C735" s="2" t="s">
        <v>65</v>
      </c>
      <c r="D735" s="2" t="s">
        <v>127</v>
      </c>
      <c r="E735" s="2" t="s">
        <v>4</v>
      </c>
      <c r="F735" s="2" t="s">
        <v>5</v>
      </c>
      <c r="G735" s="2" t="s">
        <v>82</v>
      </c>
      <c r="H735" s="2" t="s">
        <v>110</v>
      </c>
      <c r="I735" s="2" t="s">
        <v>3390</v>
      </c>
      <c r="J735" s="3">
        <v>18.68</v>
      </c>
      <c r="K735" s="3">
        <v>18.68</v>
      </c>
      <c r="L735" s="2" t="s">
        <v>3391</v>
      </c>
      <c r="M735" s="2" t="s">
        <v>9</v>
      </c>
      <c r="N735" s="3">
        <v>43</v>
      </c>
      <c r="O735" s="2" t="s">
        <v>36</v>
      </c>
      <c r="P735" s="2" t="s">
        <v>3392</v>
      </c>
      <c r="Q735" s="3"/>
      <c r="R735" s="3"/>
      <c r="S735" s="2" t="s">
        <v>21</v>
      </c>
      <c r="T735" s="4">
        <v>44955</v>
      </c>
      <c r="U735" s="2" t="s">
        <v>2577</v>
      </c>
      <c r="V735" s="6">
        <f>(Sales[[#This Row],[Price_retail]]-Sales[[#This Row],[Price_current]])/Sales[[#This Row],[Price_retail]]</f>
        <v>0</v>
      </c>
      <c r="W735" s="3" t="str" cm="1">
        <f t="array" ref="W7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36" spans="1:23" x14ac:dyDescent="0.35">
      <c r="A736" s="2" t="s">
        <v>2578</v>
      </c>
      <c r="B736" s="2" t="s">
        <v>2579</v>
      </c>
      <c r="C736" s="2" t="s">
        <v>3394</v>
      </c>
      <c r="D736" s="2" t="s">
        <v>332</v>
      </c>
      <c r="E736" s="2" t="s">
        <v>4</v>
      </c>
      <c r="F736" s="2" t="s">
        <v>5</v>
      </c>
      <c r="G736" s="2" t="s">
        <v>121</v>
      </c>
      <c r="H736" s="2" t="s">
        <v>333</v>
      </c>
      <c r="I736" s="2" t="s">
        <v>3390</v>
      </c>
      <c r="J736" s="3">
        <v>10.75</v>
      </c>
      <c r="K736" s="3">
        <v>7.3</v>
      </c>
      <c r="L736" s="2" t="s">
        <v>8</v>
      </c>
      <c r="M736" s="2" t="s">
        <v>9</v>
      </c>
      <c r="N736" s="3">
        <v>369</v>
      </c>
      <c r="O736" s="2" t="s">
        <v>36</v>
      </c>
      <c r="P736" s="2" t="s">
        <v>53</v>
      </c>
      <c r="Q736" s="3"/>
      <c r="R736" s="3"/>
      <c r="S736" s="2" t="s">
        <v>12</v>
      </c>
      <c r="T736" s="4">
        <v>44955</v>
      </c>
      <c r="U736" s="2" t="s">
        <v>2580</v>
      </c>
      <c r="V736" s="6">
        <f>(Sales[[#This Row],[Price_retail]]-Sales[[#This Row],[Price_current]])/Sales[[#This Row],[Price_retail]]</f>
        <v>0.32093023255813957</v>
      </c>
      <c r="W736" s="3" t="str" cm="1">
        <f t="array" ref="W73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37" spans="1:23" x14ac:dyDescent="0.35">
      <c r="A737" s="2" t="s">
        <v>2581</v>
      </c>
      <c r="B737" s="2" t="s">
        <v>2582</v>
      </c>
      <c r="C737" s="2" t="s">
        <v>569</v>
      </c>
      <c r="D737" s="2" t="s">
        <v>1139</v>
      </c>
      <c r="E737" s="2" t="s">
        <v>4</v>
      </c>
      <c r="F737" s="2" t="s">
        <v>17</v>
      </c>
      <c r="G737" s="2" t="s">
        <v>50</v>
      </c>
      <c r="H737" s="2" t="s">
        <v>418</v>
      </c>
      <c r="I737" s="2" t="s">
        <v>3393</v>
      </c>
      <c r="J737" s="3">
        <v>8.99</v>
      </c>
      <c r="K737" s="3">
        <v>4.82</v>
      </c>
      <c r="L737" s="2" t="s">
        <v>8</v>
      </c>
      <c r="M737" s="2" t="s">
        <v>9</v>
      </c>
      <c r="N737" s="3">
        <v>452</v>
      </c>
      <c r="O737" s="2" t="s">
        <v>347</v>
      </c>
      <c r="P737" s="2" t="s">
        <v>11</v>
      </c>
      <c r="Q737" s="3"/>
      <c r="R737" s="3"/>
      <c r="S737" s="2" t="s">
        <v>21</v>
      </c>
      <c r="T737" s="4">
        <v>44955</v>
      </c>
      <c r="U737" s="2" t="s">
        <v>2583</v>
      </c>
      <c r="V737" s="6">
        <f>(Sales[[#This Row],[Price_retail]]-Sales[[#This Row],[Price_current]])/Sales[[#This Row],[Price_retail]]</f>
        <v>0.46384872080088985</v>
      </c>
      <c r="W737" s="3" t="str" cm="1">
        <f t="array" ref="W73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38" spans="1:23" x14ac:dyDescent="0.35">
      <c r="A738" s="2" t="s">
        <v>2584</v>
      </c>
      <c r="B738" s="2" t="s">
        <v>2585</v>
      </c>
      <c r="C738" s="2" t="s">
        <v>367</v>
      </c>
      <c r="D738" s="2" t="s">
        <v>16</v>
      </c>
      <c r="E738" s="2" t="s">
        <v>4</v>
      </c>
      <c r="F738" s="2" t="s">
        <v>17</v>
      </c>
      <c r="G738" s="2" t="s">
        <v>18</v>
      </c>
      <c r="H738" s="2" t="s">
        <v>19</v>
      </c>
      <c r="I738" s="2" t="s">
        <v>3390</v>
      </c>
      <c r="J738" s="3">
        <v>15.3</v>
      </c>
      <c r="K738" s="3">
        <v>9.7200000000000006</v>
      </c>
      <c r="L738" s="2" t="s">
        <v>8</v>
      </c>
      <c r="M738" s="2" t="s">
        <v>9</v>
      </c>
      <c r="N738" s="3">
        <v>128</v>
      </c>
      <c r="O738" s="2" t="s">
        <v>140</v>
      </c>
      <c r="P738" s="2" t="s">
        <v>128</v>
      </c>
      <c r="Q738" s="3"/>
      <c r="R738" s="3"/>
      <c r="S738" s="2" t="s">
        <v>21</v>
      </c>
      <c r="T738" s="4">
        <v>44955</v>
      </c>
      <c r="U738" s="2" t="s">
        <v>2586</v>
      </c>
      <c r="V738" s="6">
        <f>(Sales[[#This Row],[Price_retail]]-Sales[[#This Row],[Price_current]])/Sales[[#This Row],[Price_retail]]</f>
        <v>0.36470588235294116</v>
      </c>
      <c r="W738" s="3" t="str" cm="1">
        <f t="array" ref="W73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39" spans="1:23" x14ac:dyDescent="0.35">
      <c r="A739" s="2" t="s">
        <v>2587</v>
      </c>
      <c r="B739" s="2" t="s">
        <v>2588</v>
      </c>
      <c r="C739" s="2" t="s">
        <v>1421</v>
      </c>
      <c r="D739" s="2" t="s">
        <v>470</v>
      </c>
      <c r="E739" s="2" t="s">
        <v>4</v>
      </c>
      <c r="F739" s="2" t="s">
        <v>17</v>
      </c>
      <c r="G739" s="2" t="s">
        <v>18</v>
      </c>
      <c r="H739" s="2" t="s">
        <v>185</v>
      </c>
      <c r="I739" s="2" t="s">
        <v>3393</v>
      </c>
      <c r="J739" s="3">
        <v>9.16</v>
      </c>
      <c r="K739" s="3">
        <v>7.05</v>
      </c>
      <c r="L739" s="2" t="s">
        <v>8</v>
      </c>
      <c r="M739" s="2" t="s">
        <v>9</v>
      </c>
      <c r="N739" s="3">
        <v>544</v>
      </c>
      <c r="O739" s="2" t="s">
        <v>29</v>
      </c>
      <c r="P739" s="2" t="s">
        <v>37</v>
      </c>
      <c r="Q739" s="3"/>
      <c r="R739" s="3"/>
      <c r="S739" s="2" t="s">
        <v>21</v>
      </c>
      <c r="T739" s="4">
        <v>44955</v>
      </c>
      <c r="U739" s="2" t="s">
        <v>2589</v>
      </c>
      <c r="V739" s="6">
        <f>(Sales[[#This Row],[Price_retail]]-Sales[[#This Row],[Price_current]])/Sales[[#This Row],[Price_retail]]</f>
        <v>0.23034934497816598</v>
      </c>
      <c r="W739" s="3" t="str" cm="1">
        <f t="array" ref="W73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40" spans="1:23" x14ac:dyDescent="0.35">
      <c r="A740" s="2" t="s">
        <v>2590</v>
      </c>
      <c r="B740" s="2" t="s">
        <v>2591</v>
      </c>
      <c r="C740" s="2" t="s">
        <v>65</v>
      </c>
      <c r="D740" s="2" t="s">
        <v>1680</v>
      </c>
      <c r="E740" s="2" t="s">
        <v>4</v>
      </c>
      <c r="F740" s="2" t="s">
        <v>5</v>
      </c>
      <c r="G740" s="2" t="s">
        <v>121</v>
      </c>
      <c r="H740" s="2" t="s">
        <v>51</v>
      </c>
      <c r="I740" s="2" t="s">
        <v>3393</v>
      </c>
      <c r="J740" s="3">
        <v>8.99</v>
      </c>
      <c r="K740" s="3">
        <v>8.99</v>
      </c>
      <c r="L740" s="2" t="s">
        <v>3391</v>
      </c>
      <c r="M740" s="2" t="s">
        <v>9</v>
      </c>
      <c r="N740" s="3">
        <v>100</v>
      </c>
      <c r="O740" s="2" t="s">
        <v>191</v>
      </c>
      <c r="P740" s="2" t="s">
        <v>3392</v>
      </c>
      <c r="Q740" s="3"/>
      <c r="R740" s="3"/>
      <c r="S740" s="2" t="s">
        <v>21</v>
      </c>
      <c r="T740" s="4">
        <v>44955</v>
      </c>
      <c r="U740" s="2" t="s">
        <v>2592</v>
      </c>
      <c r="V740" s="6">
        <f>(Sales[[#This Row],[Price_retail]]-Sales[[#This Row],[Price_current]])/Sales[[#This Row],[Price_retail]]</f>
        <v>0</v>
      </c>
      <c r="W740" s="3" t="str" cm="1">
        <f t="array" ref="W74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1" spans="1:23" x14ac:dyDescent="0.35">
      <c r="A741" s="2" t="s">
        <v>2593</v>
      </c>
      <c r="B741" s="2" t="s">
        <v>2594</v>
      </c>
      <c r="C741" s="2" t="s">
        <v>65</v>
      </c>
      <c r="D741" s="2" t="s">
        <v>758</v>
      </c>
      <c r="E741" s="2" t="s">
        <v>4</v>
      </c>
      <c r="F741" s="2" t="s">
        <v>5</v>
      </c>
      <c r="G741" s="2" t="s">
        <v>82</v>
      </c>
      <c r="H741" s="2" t="s">
        <v>168</v>
      </c>
      <c r="I741" s="2" t="s">
        <v>3395</v>
      </c>
      <c r="J741" s="3">
        <v>24.33</v>
      </c>
      <c r="K741" s="3">
        <v>24.33</v>
      </c>
      <c r="L741" s="2" t="s">
        <v>3391</v>
      </c>
      <c r="M741" s="2" t="s">
        <v>9</v>
      </c>
      <c r="N741" s="3">
        <v>474</v>
      </c>
      <c r="O741" s="2" t="s">
        <v>302</v>
      </c>
      <c r="P741" s="2" t="s">
        <v>192</v>
      </c>
      <c r="Q741" s="3"/>
      <c r="R741" s="3"/>
      <c r="S741" s="2" t="s">
        <v>21</v>
      </c>
      <c r="T741" s="4">
        <v>44955</v>
      </c>
      <c r="U741" s="2" t="s">
        <v>2595</v>
      </c>
      <c r="V741" s="6">
        <f>(Sales[[#This Row],[Price_retail]]-Sales[[#This Row],[Price_current]])/Sales[[#This Row],[Price_retail]]</f>
        <v>0</v>
      </c>
      <c r="W741" s="3" t="str" cm="1">
        <f t="array" ref="W7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2" spans="1:23" x14ac:dyDescent="0.35">
      <c r="A742" s="2" t="s">
        <v>2596</v>
      </c>
      <c r="B742" s="2" t="s">
        <v>2597</v>
      </c>
      <c r="C742" s="2" t="s">
        <v>1743</v>
      </c>
      <c r="D742" s="2" t="s">
        <v>1169</v>
      </c>
      <c r="E742" s="2" t="s">
        <v>4</v>
      </c>
      <c r="F742" s="2" t="s">
        <v>5</v>
      </c>
      <c r="G742" s="2" t="s">
        <v>6</v>
      </c>
      <c r="H742" s="2" t="s">
        <v>237</v>
      </c>
      <c r="I742" s="2" t="s">
        <v>3390</v>
      </c>
      <c r="J742" s="3">
        <v>25</v>
      </c>
      <c r="K742" s="3">
        <v>17.61</v>
      </c>
      <c r="L742" s="2" t="s">
        <v>8</v>
      </c>
      <c r="M742" s="2" t="s">
        <v>9</v>
      </c>
      <c r="N742" s="3">
        <v>65</v>
      </c>
      <c r="O742" s="2" t="s">
        <v>3392</v>
      </c>
      <c r="P742" s="2" t="s">
        <v>238</v>
      </c>
      <c r="Q742" s="3"/>
      <c r="R742" s="3"/>
      <c r="S742" s="2" t="s">
        <v>21</v>
      </c>
      <c r="T742" s="4">
        <v>44955</v>
      </c>
      <c r="U742" s="2" t="s">
        <v>2598</v>
      </c>
      <c r="V742" s="6">
        <f>(Sales[[#This Row],[Price_retail]]-Sales[[#This Row],[Price_current]])/Sales[[#This Row],[Price_retail]]</f>
        <v>0.29560000000000003</v>
      </c>
      <c r="W742" s="3" t="str" cm="1">
        <f t="array" ref="W74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43" spans="1:23" x14ac:dyDescent="0.35">
      <c r="A743" s="2" t="s">
        <v>2599</v>
      </c>
      <c r="B743" s="2" t="s">
        <v>2600</v>
      </c>
      <c r="C743" s="2" t="s">
        <v>1421</v>
      </c>
      <c r="D743" s="2" t="s">
        <v>1184</v>
      </c>
      <c r="E743" s="2" t="s">
        <v>4</v>
      </c>
      <c r="F743" s="2" t="s">
        <v>17</v>
      </c>
      <c r="G743" s="2" t="s">
        <v>27</v>
      </c>
      <c r="H743" s="2" t="s">
        <v>90</v>
      </c>
      <c r="I743" s="2" t="s">
        <v>3393</v>
      </c>
      <c r="J743" s="3">
        <v>9.75</v>
      </c>
      <c r="K743" s="3">
        <v>9.75</v>
      </c>
      <c r="L743" s="2" t="s">
        <v>248</v>
      </c>
      <c r="M743" s="2" t="s">
        <v>9</v>
      </c>
      <c r="N743" s="3">
        <v>192</v>
      </c>
      <c r="O743" s="2" t="s">
        <v>52</v>
      </c>
      <c r="P743" s="2" t="s">
        <v>192</v>
      </c>
      <c r="Q743" s="3"/>
      <c r="R743" s="3"/>
      <c r="S743" s="2" t="s">
        <v>12</v>
      </c>
      <c r="T743" s="4">
        <v>44955</v>
      </c>
      <c r="U743" s="2" t="s">
        <v>2601</v>
      </c>
      <c r="V743" s="6">
        <f>(Sales[[#This Row],[Price_retail]]-Sales[[#This Row],[Price_current]])/Sales[[#This Row],[Price_retail]]</f>
        <v>0</v>
      </c>
      <c r="W743" s="3" t="str" cm="1">
        <f t="array" ref="W7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4" spans="1:23" x14ac:dyDescent="0.35">
      <c r="A744" s="2" t="s">
        <v>2602</v>
      </c>
      <c r="B744" s="2" t="s">
        <v>2603</v>
      </c>
      <c r="C744" s="2" t="s">
        <v>484</v>
      </c>
      <c r="D744" s="2" t="s">
        <v>537</v>
      </c>
      <c r="E744" s="2" t="s">
        <v>4</v>
      </c>
      <c r="F744" s="2" t="s">
        <v>5</v>
      </c>
      <c r="G744" s="2" t="s">
        <v>121</v>
      </c>
      <c r="H744" s="2" t="s">
        <v>145</v>
      </c>
      <c r="I744" s="2" t="s">
        <v>3390</v>
      </c>
      <c r="J744" s="3">
        <v>17.89</v>
      </c>
      <c r="K744" s="3">
        <v>17.89</v>
      </c>
      <c r="L744" s="2" t="s">
        <v>3391</v>
      </c>
      <c r="M744" s="2" t="s">
        <v>9</v>
      </c>
      <c r="N744" s="3">
        <v>183</v>
      </c>
      <c r="O744" s="2" t="s">
        <v>20</v>
      </c>
      <c r="P744" s="2" t="s">
        <v>3392</v>
      </c>
      <c r="Q744" s="3"/>
      <c r="R744" s="3"/>
      <c r="S744" s="2" t="s">
        <v>21</v>
      </c>
      <c r="T744" s="4">
        <v>44955</v>
      </c>
      <c r="U744" s="2" t="s">
        <v>2604</v>
      </c>
      <c r="V744" s="6">
        <f>(Sales[[#This Row],[Price_retail]]-Sales[[#This Row],[Price_current]])/Sales[[#This Row],[Price_retail]]</f>
        <v>0</v>
      </c>
      <c r="W744" s="3" t="str" cm="1">
        <f t="array" ref="W74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5" spans="1:23" x14ac:dyDescent="0.35">
      <c r="A745" s="2" t="s">
        <v>2605</v>
      </c>
      <c r="B745" s="2" t="s">
        <v>2606</v>
      </c>
      <c r="C745" s="2" t="s">
        <v>1797</v>
      </c>
      <c r="D745" s="2" t="s">
        <v>1011</v>
      </c>
      <c r="E745" s="2" t="s">
        <v>4</v>
      </c>
      <c r="F745" s="2" t="s">
        <v>17</v>
      </c>
      <c r="G745" s="2" t="s">
        <v>27</v>
      </c>
      <c r="H745" s="2" t="s">
        <v>68</v>
      </c>
      <c r="I745" s="2" t="s">
        <v>3393</v>
      </c>
      <c r="J745" s="3">
        <v>27.14</v>
      </c>
      <c r="K745" s="3">
        <v>27.14</v>
      </c>
      <c r="L745" s="2" t="s">
        <v>3391</v>
      </c>
      <c r="M745" s="2" t="s">
        <v>9</v>
      </c>
      <c r="N745" s="3">
        <v>925</v>
      </c>
      <c r="O745" s="2" t="s">
        <v>3392</v>
      </c>
      <c r="P745" s="2" t="s">
        <v>238</v>
      </c>
      <c r="Q745" s="3"/>
      <c r="R745" s="3"/>
      <c r="S745" s="2" t="s">
        <v>21</v>
      </c>
      <c r="T745" s="4">
        <v>44955</v>
      </c>
      <c r="U745" s="2" t="s">
        <v>2607</v>
      </c>
      <c r="V745" s="6">
        <f>(Sales[[#This Row],[Price_retail]]-Sales[[#This Row],[Price_current]])/Sales[[#This Row],[Price_retail]]</f>
        <v>0</v>
      </c>
      <c r="W745" s="3" t="str" cm="1">
        <f t="array" ref="W7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6" spans="1:23" x14ac:dyDescent="0.35">
      <c r="A746" s="2" t="s">
        <v>2608</v>
      </c>
      <c r="B746" s="2" t="s">
        <v>2609</v>
      </c>
      <c r="C746" s="2" t="s">
        <v>333</v>
      </c>
      <c r="D746" s="2" t="s">
        <v>158</v>
      </c>
      <c r="E746" s="2" t="s">
        <v>4</v>
      </c>
      <c r="F746" s="2" t="s">
        <v>5</v>
      </c>
      <c r="G746" s="2" t="s">
        <v>82</v>
      </c>
      <c r="H746" s="2" t="s">
        <v>145</v>
      </c>
      <c r="I746" s="2" t="s">
        <v>3390</v>
      </c>
      <c r="J746" s="3">
        <v>17.510000000000002</v>
      </c>
      <c r="K746" s="3">
        <v>17.510000000000002</v>
      </c>
      <c r="L746" s="2" t="s">
        <v>3391</v>
      </c>
      <c r="M746" s="2" t="s">
        <v>9</v>
      </c>
      <c r="N746" s="3">
        <v>175</v>
      </c>
      <c r="O746" s="2" t="s">
        <v>664</v>
      </c>
      <c r="P746" s="2" t="s">
        <v>419</v>
      </c>
      <c r="Q746" s="3"/>
      <c r="R746" s="3"/>
      <c r="S746" s="2" t="s">
        <v>21</v>
      </c>
      <c r="T746" s="4">
        <v>44955</v>
      </c>
      <c r="U746" s="2" t="s">
        <v>2610</v>
      </c>
      <c r="V746" s="6">
        <f>(Sales[[#This Row],[Price_retail]]-Sales[[#This Row],[Price_current]])/Sales[[#This Row],[Price_retail]]</f>
        <v>0</v>
      </c>
      <c r="W746" s="3" t="str" cm="1">
        <f t="array" ref="W74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7" spans="1:23" x14ac:dyDescent="0.35">
      <c r="A747" s="2" t="s">
        <v>2611</v>
      </c>
      <c r="B747" s="2" t="s">
        <v>2612</v>
      </c>
      <c r="C747" s="2" t="s">
        <v>3394</v>
      </c>
      <c r="D747" s="2" t="s">
        <v>1574</v>
      </c>
      <c r="E747" s="2" t="s">
        <v>4</v>
      </c>
      <c r="F747" s="2" t="s">
        <v>17</v>
      </c>
      <c r="G747" s="2" t="s">
        <v>67</v>
      </c>
      <c r="H747" s="2" t="s">
        <v>237</v>
      </c>
      <c r="I747" s="2" t="s">
        <v>3393</v>
      </c>
      <c r="J747" s="3">
        <v>8.99</v>
      </c>
      <c r="K747" s="3">
        <v>8.99</v>
      </c>
      <c r="L747" s="2" t="s">
        <v>3391</v>
      </c>
      <c r="M747" s="2" t="s">
        <v>9</v>
      </c>
      <c r="N747" s="3">
        <v>76</v>
      </c>
      <c r="O747" s="2" t="s">
        <v>52</v>
      </c>
      <c r="P747" s="2" t="s">
        <v>3392</v>
      </c>
      <c r="Q747" s="3"/>
      <c r="R747" s="3"/>
      <c r="S747" s="2" t="s">
        <v>12</v>
      </c>
      <c r="T747" s="4">
        <v>44955</v>
      </c>
      <c r="U747" s="2" t="s">
        <v>2613</v>
      </c>
      <c r="V747" s="6">
        <f>(Sales[[#This Row],[Price_retail]]-Sales[[#This Row],[Price_current]])/Sales[[#This Row],[Price_retail]]</f>
        <v>0</v>
      </c>
      <c r="W747" s="3" t="str" cm="1">
        <f t="array" ref="W7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8" spans="1:23" x14ac:dyDescent="0.35">
      <c r="A748" s="2" t="s">
        <v>2614</v>
      </c>
      <c r="B748" s="2" t="s">
        <v>2615</v>
      </c>
      <c r="C748" s="2" t="s">
        <v>25</v>
      </c>
      <c r="D748" s="2" t="s">
        <v>621</v>
      </c>
      <c r="E748" s="2" t="s">
        <v>4</v>
      </c>
      <c r="F748" s="2" t="s">
        <v>17</v>
      </c>
      <c r="G748" s="2" t="s">
        <v>50</v>
      </c>
      <c r="H748" s="2" t="s">
        <v>68</v>
      </c>
      <c r="I748" s="2" t="s">
        <v>3393</v>
      </c>
      <c r="J748" s="3">
        <v>13.76</v>
      </c>
      <c r="K748" s="3">
        <v>13.76</v>
      </c>
      <c r="L748" s="2" t="s">
        <v>3391</v>
      </c>
      <c r="M748" s="2" t="s">
        <v>9</v>
      </c>
      <c r="N748" s="3">
        <v>561</v>
      </c>
      <c r="O748" s="2" t="s">
        <v>10</v>
      </c>
      <c r="P748" s="2" t="s">
        <v>30</v>
      </c>
      <c r="Q748" s="3"/>
      <c r="R748" s="3"/>
      <c r="S748" s="2" t="s">
        <v>12</v>
      </c>
      <c r="T748" s="4">
        <v>44955</v>
      </c>
      <c r="U748" s="2" t="s">
        <v>2616</v>
      </c>
      <c r="V748" s="6">
        <f>(Sales[[#This Row],[Price_retail]]-Sales[[#This Row],[Price_current]])/Sales[[#This Row],[Price_retail]]</f>
        <v>0</v>
      </c>
      <c r="W748" s="3" t="str" cm="1">
        <f t="array" ref="W74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49" spans="1:23" x14ac:dyDescent="0.35">
      <c r="A749" s="2" t="s">
        <v>2617</v>
      </c>
      <c r="B749" s="2" t="s">
        <v>2618</v>
      </c>
      <c r="C749" s="2" t="s">
        <v>2915</v>
      </c>
      <c r="D749" s="2" t="s">
        <v>694</v>
      </c>
      <c r="E749" s="2" t="s">
        <v>4</v>
      </c>
      <c r="F749" s="2" t="s">
        <v>5</v>
      </c>
      <c r="G749" s="2" t="s">
        <v>82</v>
      </c>
      <c r="H749" s="2" t="s">
        <v>139</v>
      </c>
      <c r="I749" s="2" t="s">
        <v>3393</v>
      </c>
      <c r="J749" s="3">
        <v>32.450000000000003</v>
      </c>
      <c r="K749" s="3">
        <v>32.450000000000003</v>
      </c>
      <c r="L749" s="2" t="s">
        <v>3391</v>
      </c>
      <c r="M749" s="2" t="s">
        <v>9</v>
      </c>
      <c r="N749" s="3">
        <v>575</v>
      </c>
      <c r="O749" s="2" t="s">
        <v>3392</v>
      </c>
      <c r="P749" s="2" t="s">
        <v>3392</v>
      </c>
      <c r="Q749" s="3"/>
      <c r="R749" s="3"/>
      <c r="S749" s="2" t="s">
        <v>21</v>
      </c>
      <c r="T749" s="4">
        <v>44955</v>
      </c>
      <c r="U749" s="2" t="s">
        <v>2619</v>
      </c>
      <c r="V749" s="6">
        <f>(Sales[[#This Row],[Price_retail]]-Sales[[#This Row],[Price_current]])/Sales[[#This Row],[Price_retail]]</f>
        <v>0</v>
      </c>
      <c r="W749" s="3" t="str" cm="1">
        <f t="array" ref="W74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0" spans="1:23" x14ac:dyDescent="0.35">
      <c r="A750" s="2" t="s">
        <v>2620</v>
      </c>
      <c r="B750" s="2" t="s">
        <v>2621</v>
      </c>
      <c r="C750" s="2" t="s">
        <v>750</v>
      </c>
      <c r="D750" s="2" t="s">
        <v>678</v>
      </c>
      <c r="E750" s="2" t="s">
        <v>4</v>
      </c>
      <c r="F750" s="2" t="s">
        <v>17</v>
      </c>
      <c r="G750" s="2" t="s">
        <v>67</v>
      </c>
      <c r="H750" s="2" t="s">
        <v>134</v>
      </c>
      <c r="I750" s="2" t="s">
        <v>3390</v>
      </c>
      <c r="J750" s="3">
        <v>17.920000000000002</v>
      </c>
      <c r="K750" s="3">
        <v>17.920000000000002</v>
      </c>
      <c r="L750" s="2" t="s">
        <v>3391</v>
      </c>
      <c r="M750" s="2" t="s">
        <v>9</v>
      </c>
      <c r="N750" s="3">
        <v>337</v>
      </c>
      <c r="O750" s="2" t="s">
        <v>191</v>
      </c>
      <c r="P750" s="2" t="s">
        <v>92</v>
      </c>
      <c r="Q750" s="3"/>
      <c r="R750" s="3"/>
      <c r="S750" s="2" t="s">
        <v>21</v>
      </c>
      <c r="T750" s="4">
        <v>44955</v>
      </c>
      <c r="U750" s="2" t="s">
        <v>2622</v>
      </c>
      <c r="V750" s="6">
        <f>(Sales[[#This Row],[Price_retail]]-Sales[[#This Row],[Price_current]])/Sales[[#This Row],[Price_retail]]</f>
        <v>0</v>
      </c>
      <c r="W750" s="3" t="str" cm="1">
        <f t="array" ref="W75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1" spans="1:23" x14ac:dyDescent="0.35">
      <c r="A751" s="2" t="s">
        <v>2623</v>
      </c>
      <c r="B751" s="2" t="s">
        <v>2624</v>
      </c>
      <c r="C751" s="2" t="s">
        <v>3407</v>
      </c>
      <c r="D751" s="2" t="s">
        <v>205</v>
      </c>
      <c r="E751" s="2" t="s">
        <v>4</v>
      </c>
      <c r="F751" s="2" t="s">
        <v>17</v>
      </c>
      <c r="G751" s="2" t="s">
        <v>18</v>
      </c>
      <c r="H751" s="2" t="s">
        <v>145</v>
      </c>
      <c r="I751" s="2" t="s">
        <v>3393</v>
      </c>
      <c r="J751" s="3">
        <v>21.04</v>
      </c>
      <c r="K751" s="3">
        <v>21.04</v>
      </c>
      <c r="L751" s="2" t="s">
        <v>3391</v>
      </c>
      <c r="M751" s="2" t="s">
        <v>9</v>
      </c>
      <c r="N751" s="3">
        <v>838</v>
      </c>
      <c r="O751" s="2" t="s">
        <v>3392</v>
      </c>
      <c r="P751" s="2" t="s">
        <v>843</v>
      </c>
      <c r="Q751" s="3"/>
      <c r="R751" s="3"/>
      <c r="S751" s="2" t="s">
        <v>12</v>
      </c>
      <c r="T751" s="4">
        <v>44955</v>
      </c>
      <c r="U751" s="2" t="s">
        <v>2625</v>
      </c>
      <c r="V751" s="6">
        <f>(Sales[[#This Row],[Price_retail]]-Sales[[#This Row],[Price_current]])/Sales[[#This Row],[Price_retail]]</f>
        <v>0</v>
      </c>
      <c r="W751" s="3" t="str" cm="1">
        <f t="array" ref="W75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2" spans="1:23" x14ac:dyDescent="0.35">
      <c r="A752" s="2" t="s">
        <v>2626</v>
      </c>
      <c r="B752" s="2" t="s">
        <v>2627</v>
      </c>
      <c r="C752" s="2" t="s">
        <v>3398</v>
      </c>
      <c r="D752" s="2" t="s">
        <v>372</v>
      </c>
      <c r="E752" s="2" t="s">
        <v>4</v>
      </c>
      <c r="F752" s="2" t="s">
        <v>5</v>
      </c>
      <c r="G752" s="2" t="s">
        <v>6</v>
      </c>
      <c r="H752" s="2" t="s">
        <v>134</v>
      </c>
      <c r="I752" s="2" t="s">
        <v>3390</v>
      </c>
      <c r="J752" s="3">
        <v>18.88</v>
      </c>
      <c r="K752" s="3">
        <v>18.88</v>
      </c>
      <c r="L752" s="2" t="s">
        <v>3391</v>
      </c>
      <c r="M752" s="2" t="s">
        <v>9</v>
      </c>
      <c r="N752" s="3">
        <v>245</v>
      </c>
      <c r="O752" s="2" t="s">
        <v>359</v>
      </c>
      <c r="P752" s="2" t="s">
        <v>553</v>
      </c>
      <c r="Q752" s="3"/>
      <c r="R752" s="3"/>
      <c r="S752" s="2" t="s">
        <v>12</v>
      </c>
      <c r="T752" s="4">
        <v>44955</v>
      </c>
      <c r="U752" s="2" t="s">
        <v>2628</v>
      </c>
      <c r="V752" s="6">
        <f>(Sales[[#This Row],[Price_retail]]-Sales[[#This Row],[Price_current]])/Sales[[#This Row],[Price_retail]]</f>
        <v>0</v>
      </c>
      <c r="W752" s="3" t="str" cm="1">
        <f t="array" ref="W7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3" spans="1:23" x14ac:dyDescent="0.35">
      <c r="A753" s="2" t="s">
        <v>2629</v>
      </c>
      <c r="B753" s="2" t="s">
        <v>2630</v>
      </c>
      <c r="C753" s="2" t="s">
        <v>1822</v>
      </c>
      <c r="D753" s="2" t="s">
        <v>1285</v>
      </c>
      <c r="E753" s="2" t="s">
        <v>4</v>
      </c>
      <c r="F753" s="2" t="s">
        <v>17</v>
      </c>
      <c r="G753" s="2" t="s">
        <v>18</v>
      </c>
      <c r="H753" s="2" t="s">
        <v>134</v>
      </c>
      <c r="I753" s="2" t="s">
        <v>3393</v>
      </c>
      <c r="J753" s="3">
        <v>9.77</v>
      </c>
      <c r="K753" s="3">
        <v>6.16</v>
      </c>
      <c r="L753" s="2" t="s">
        <v>8</v>
      </c>
      <c r="M753" s="2" t="s">
        <v>9</v>
      </c>
      <c r="N753" s="3">
        <v>308</v>
      </c>
      <c r="O753" s="2" t="s">
        <v>52</v>
      </c>
      <c r="P753" s="2" t="s">
        <v>221</v>
      </c>
      <c r="Q753" s="3"/>
      <c r="R753" s="3"/>
      <c r="S753" s="2" t="s">
        <v>21</v>
      </c>
      <c r="T753" s="4">
        <v>44955</v>
      </c>
      <c r="U753" s="2" t="s">
        <v>2631</v>
      </c>
      <c r="V753" s="6">
        <f>(Sales[[#This Row],[Price_retail]]-Sales[[#This Row],[Price_current]])/Sales[[#This Row],[Price_retail]]</f>
        <v>0.36949846468781983</v>
      </c>
      <c r="W753" s="3" t="str" cm="1">
        <f t="array" ref="W75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54" spans="1:23" x14ac:dyDescent="0.35">
      <c r="A754" s="2" t="s">
        <v>2632</v>
      </c>
      <c r="B754" s="2" t="s">
        <v>2633</v>
      </c>
      <c r="C754" s="2" t="s">
        <v>242</v>
      </c>
      <c r="D754" s="2" t="s">
        <v>625</v>
      </c>
      <c r="E754" s="2" t="s">
        <v>4</v>
      </c>
      <c r="F754" s="2" t="s">
        <v>17</v>
      </c>
      <c r="G754" s="2" t="s">
        <v>27</v>
      </c>
      <c r="H754" s="2" t="s">
        <v>333</v>
      </c>
      <c r="I754" s="2" t="s">
        <v>3395</v>
      </c>
      <c r="J754" s="3">
        <v>11.12</v>
      </c>
      <c r="K754" s="3">
        <v>11.12</v>
      </c>
      <c r="L754" s="2" t="s">
        <v>3391</v>
      </c>
      <c r="M754" s="2" t="s">
        <v>9</v>
      </c>
      <c r="N754" s="3">
        <v>340</v>
      </c>
      <c r="O754" s="2" t="s">
        <v>69</v>
      </c>
      <c r="P754" s="2" t="s">
        <v>221</v>
      </c>
      <c r="Q754" s="3"/>
      <c r="R754" s="3"/>
      <c r="S754" s="2" t="s">
        <v>12</v>
      </c>
      <c r="T754" s="4">
        <v>44955</v>
      </c>
      <c r="U754" s="2" t="s">
        <v>2634</v>
      </c>
      <c r="V754" s="6">
        <f>(Sales[[#This Row],[Price_retail]]-Sales[[#This Row],[Price_current]])/Sales[[#This Row],[Price_retail]]</f>
        <v>0</v>
      </c>
      <c r="W754" s="3" t="str" cm="1">
        <f t="array" ref="W7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5" spans="1:23" x14ac:dyDescent="0.35">
      <c r="A755" s="2" t="s">
        <v>2635</v>
      </c>
      <c r="B755" s="2" t="s">
        <v>2636</v>
      </c>
      <c r="C755" s="2" t="s">
        <v>1086</v>
      </c>
      <c r="D755" s="2" t="s">
        <v>485</v>
      </c>
      <c r="E755" s="2" t="s">
        <v>4</v>
      </c>
      <c r="F755" s="2" t="s">
        <v>17</v>
      </c>
      <c r="G755" s="2" t="s">
        <v>50</v>
      </c>
      <c r="H755" s="2" t="s">
        <v>185</v>
      </c>
      <c r="I755" s="2" t="s">
        <v>3393</v>
      </c>
      <c r="J755" s="3">
        <v>18.850000000000001</v>
      </c>
      <c r="K755" s="3">
        <v>17.53</v>
      </c>
      <c r="L755" s="2" t="s">
        <v>8</v>
      </c>
      <c r="M755" s="2" t="s">
        <v>9</v>
      </c>
      <c r="N755" s="3">
        <v>262</v>
      </c>
      <c r="O755" s="2" t="s">
        <v>10</v>
      </c>
      <c r="P755" s="2" t="s">
        <v>76</v>
      </c>
      <c r="Q755" s="3"/>
      <c r="R755" s="3"/>
      <c r="S755" s="2" t="s">
        <v>21</v>
      </c>
      <c r="T755" s="4">
        <v>44955</v>
      </c>
      <c r="U755" s="2" t="s">
        <v>2637</v>
      </c>
      <c r="V755" s="6">
        <f>(Sales[[#This Row],[Price_retail]]-Sales[[#This Row],[Price_current]])/Sales[[#This Row],[Price_retail]]</f>
        <v>7.0026525198938996E-2</v>
      </c>
      <c r="W755" s="3" t="str" cm="1">
        <f t="array" ref="W755">_xlfn.IFS(Sales[[#This Row],[Discount]]=0%,"No Discount",Sales[[#This Row],[Discount]]&lt;=20%,"Light",Sales[[#This Row],[Discount]]&lt;=50%,"Moderate",Sales[[#This Row],[Discount]]&lt;=80%,"High",
TRUE,"Very High")</f>
        <v>Light</v>
      </c>
    </row>
    <row r="756" spans="1:23" x14ac:dyDescent="0.35">
      <c r="A756" s="2" t="s">
        <v>2638</v>
      </c>
      <c r="B756" s="2" t="s">
        <v>2639</v>
      </c>
      <c r="C756" s="2" t="s">
        <v>985</v>
      </c>
      <c r="D756" s="2" t="s">
        <v>557</v>
      </c>
      <c r="E756" s="2" t="s">
        <v>4</v>
      </c>
      <c r="F756" s="2" t="s">
        <v>5</v>
      </c>
      <c r="G756" s="2" t="s">
        <v>6</v>
      </c>
      <c r="H756" s="2"/>
      <c r="I756" s="2" t="s">
        <v>3390</v>
      </c>
      <c r="J756" s="3">
        <v>24.51</v>
      </c>
      <c r="K756" s="3">
        <v>24.51</v>
      </c>
      <c r="L756" s="2" t="s">
        <v>3391</v>
      </c>
      <c r="M756" s="2" t="s">
        <v>9</v>
      </c>
      <c r="N756" s="3">
        <v>582</v>
      </c>
      <c r="O756" s="2" t="s">
        <v>29</v>
      </c>
      <c r="P756" s="2" t="s">
        <v>122</v>
      </c>
      <c r="Q756" s="3"/>
      <c r="R756" s="3"/>
      <c r="S756" s="2" t="s">
        <v>21</v>
      </c>
      <c r="T756" s="4">
        <v>44955</v>
      </c>
      <c r="U756" s="2" t="s">
        <v>2640</v>
      </c>
      <c r="V756" s="6">
        <f>(Sales[[#This Row],[Price_retail]]-Sales[[#This Row],[Price_current]])/Sales[[#This Row],[Price_retail]]</f>
        <v>0</v>
      </c>
      <c r="W756" s="3" t="str" cm="1">
        <f t="array" ref="W75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7" spans="1:23" x14ac:dyDescent="0.35">
      <c r="A757" s="2" t="s">
        <v>2641</v>
      </c>
      <c r="B757" s="2" t="s">
        <v>2642</v>
      </c>
      <c r="C757" s="2" t="s">
        <v>65</v>
      </c>
      <c r="D757" s="2" t="s">
        <v>814</v>
      </c>
      <c r="E757" s="2" t="s">
        <v>4</v>
      </c>
      <c r="F757" s="2" t="s">
        <v>5</v>
      </c>
      <c r="G757" s="2" t="s">
        <v>82</v>
      </c>
      <c r="H757" s="2" t="s">
        <v>418</v>
      </c>
      <c r="I757" s="2" t="s">
        <v>3390</v>
      </c>
      <c r="J757" s="3">
        <v>28.64</v>
      </c>
      <c r="K757" s="3">
        <v>23.04</v>
      </c>
      <c r="L757" s="2" t="s">
        <v>8</v>
      </c>
      <c r="M757" s="2" t="s">
        <v>9</v>
      </c>
      <c r="N757" s="3">
        <v>141</v>
      </c>
      <c r="O757" s="2" t="s">
        <v>163</v>
      </c>
      <c r="P757" s="2" t="s">
        <v>328</v>
      </c>
      <c r="Q757" s="3"/>
      <c r="R757" s="3"/>
      <c r="S757" s="2" t="s">
        <v>21</v>
      </c>
      <c r="T757" s="4">
        <v>44955</v>
      </c>
      <c r="U757" s="2" t="s">
        <v>2643</v>
      </c>
      <c r="V757" s="6">
        <f>(Sales[[#This Row],[Price_retail]]-Sales[[#This Row],[Price_current]])/Sales[[#This Row],[Price_retail]]</f>
        <v>0.19553072625698328</v>
      </c>
      <c r="W757" s="3" t="str" cm="1">
        <f t="array" ref="W757">_xlfn.IFS(Sales[[#This Row],[Discount]]=0%,"No Discount",Sales[[#This Row],[Discount]]&lt;=20%,"Light",Sales[[#This Row],[Discount]]&lt;=50%,"Moderate",Sales[[#This Row],[Discount]]&lt;=80%,"High",
TRUE,"Very High")</f>
        <v>Light</v>
      </c>
    </row>
    <row r="758" spans="1:23" x14ac:dyDescent="0.35">
      <c r="A758" s="2" t="s">
        <v>2644</v>
      </c>
      <c r="B758" s="2" t="s">
        <v>2645</v>
      </c>
      <c r="C758" s="2" t="s">
        <v>1839</v>
      </c>
      <c r="D758" s="2" t="s">
        <v>319</v>
      </c>
      <c r="E758" s="2" t="s">
        <v>4</v>
      </c>
      <c r="F758" s="2" t="s">
        <v>5</v>
      </c>
      <c r="G758" s="2" t="s">
        <v>121</v>
      </c>
      <c r="H758" s="2" t="s">
        <v>90</v>
      </c>
      <c r="I758" s="2" t="s">
        <v>3390</v>
      </c>
      <c r="J758" s="3">
        <v>9.76</v>
      </c>
      <c r="K758" s="3">
        <v>9.76</v>
      </c>
      <c r="L758" s="2" t="s">
        <v>3391</v>
      </c>
      <c r="M758" s="2" t="s">
        <v>9</v>
      </c>
      <c r="N758" s="3">
        <v>73</v>
      </c>
      <c r="O758" s="2" t="s">
        <v>140</v>
      </c>
      <c r="P758" s="2" t="s">
        <v>44</v>
      </c>
      <c r="Q758" s="3"/>
      <c r="R758" s="3"/>
      <c r="S758" s="2" t="s">
        <v>21</v>
      </c>
      <c r="T758" s="4">
        <v>44955</v>
      </c>
      <c r="U758" s="2" t="s">
        <v>2646</v>
      </c>
      <c r="V758" s="6">
        <f>(Sales[[#This Row],[Price_retail]]-Sales[[#This Row],[Price_current]])/Sales[[#This Row],[Price_retail]]</f>
        <v>0</v>
      </c>
      <c r="W758" s="3" t="str" cm="1">
        <f t="array" ref="W75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59" spans="1:23" x14ac:dyDescent="0.35">
      <c r="A759" s="2" t="s">
        <v>2647</v>
      </c>
      <c r="B759" s="2" t="s">
        <v>2648</v>
      </c>
      <c r="C759" s="2" t="s">
        <v>1355</v>
      </c>
      <c r="D759" s="2" t="s">
        <v>266</v>
      </c>
      <c r="E759" s="2" t="s">
        <v>4</v>
      </c>
      <c r="F759" s="2" t="s">
        <v>17</v>
      </c>
      <c r="G759" s="2" t="s">
        <v>18</v>
      </c>
      <c r="H759" s="2" t="s">
        <v>237</v>
      </c>
      <c r="I759" s="2" t="s">
        <v>3390</v>
      </c>
      <c r="J759" s="3">
        <v>19.850000000000001</v>
      </c>
      <c r="K759" s="3">
        <v>15.28</v>
      </c>
      <c r="L759" s="2" t="s">
        <v>8</v>
      </c>
      <c r="M759" s="2" t="s">
        <v>9</v>
      </c>
      <c r="N759" s="3">
        <v>477</v>
      </c>
      <c r="O759" s="2" t="s">
        <v>267</v>
      </c>
      <c r="P759" s="2" t="s">
        <v>215</v>
      </c>
      <c r="Q759" s="3"/>
      <c r="R759" s="3"/>
      <c r="S759" s="2" t="s">
        <v>12</v>
      </c>
      <c r="T759" s="4">
        <v>44955</v>
      </c>
      <c r="U759" s="2" t="s">
        <v>2649</v>
      </c>
      <c r="V759" s="6">
        <f>(Sales[[#This Row],[Price_retail]]-Sales[[#This Row],[Price_current]])/Sales[[#This Row],[Price_retail]]</f>
        <v>0.23022670025188927</v>
      </c>
      <c r="W759" s="3" t="str" cm="1">
        <f t="array" ref="W75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60" spans="1:23" x14ac:dyDescent="0.35">
      <c r="A760" s="2" t="s">
        <v>2650</v>
      </c>
      <c r="B760" s="2" t="s">
        <v>2651</v>
      </c>
      <c r="C760" s="2" t="s">
        <v>585</v>
      </c>
      <c r="D760" s="2" t="s">
        <v>103</v>
      </c>
      <c r="E760" s="2" t="s">
        <v>4</v>
      </c>
      <c r="F760" s="2" t="s">
        <v>17</v>
      </c>
      <c r="G760" s="2" t="s">
        <v>27</v>
      </c>
      <c r="H760" s="2" t="s">
        <v>19</v>
      </c>
      <c r="I760" s="2" t="s">
        <v>3390</v>
      </c>
      <c r="J760" s="3">
        <v>30.05</v>
      </c>
      <c r="K760" s="3">
        <v>15.02</v>
      </c>
      <c r="L760" s="2" t="s">
        <v>8</v>
      </c>
      <c r="M760" s="2" t="s">
        <v>9</v>
      </c>
      <c r="N760" s="3">
        <v>854</v>
      </c>
      <c r="O760" s="2" t="s">
        <v>191</v>
      </c>
      <c r="P760" s="2" t="s">
        <v>3392</v>
      </c>
      <c r="Q760" s="3"/>
      <c r="R760" s="3"/>
      <c r="S760" s="2" t="s">
        <v>21</v>
      </c>
      <c r="T760" s="4">
        <v>44955</v>
      </c>
      <c r="U760" s="2" t="s">
        <v>2652</v>
      </c>
      <c r="V760" s="6">
        <f>(Sales[[#This Row],[Price_retail]]-Sales[[#This Row],[Price_current]])/Sales[[#This Row],[Price_retail]]</f>
        <v>0.5001663893510816</v>
      </c>
      <c r="W760" s="3" t="str" cm="1">
        <f t="array" ref="W760">_xlfn.IFS(Sales[[#This Row],[Discount]]=0%,"No Discount",Sales[[#This Row],[Discount]]&lt;=20%,"Light",Sales[[#This Row],[Discount]]&lt;=50%,"Moderate",Sales[[#This Row],[Discount]]&lt;=80%,"High",
TRUE,"Very High")</f>
        <v>High</v>
      </c>
    </row>
    <row r="761" spans="1:23" x14ac:dyDescent="0.35">
      <c r="A761" s="2" t="s">
        <v>2653</v>
      </c>
      <c r="B761" s="2" t="s">
        <v>2654</v>
      </c>
      <c r="C761" s="2" t="s">
        <v>200</v>
      </c>
      <c r="D761" s="2" t="s">
        <v>214</v>
      </c>
      <c r="E761" s="2" t="s">
        <v>4</v>
      </c>
      <c r="F761" s="2" t="s">
        <v>5</v>
      </c>
      <c r="G761" s="2" t="s">
        <v>6</v>
      </c>
      <c r="H761" s="2" t="s">
        <v>139</v>
      </c>
      <c r="I761" s="2" t="s">
        <v>3390</v>
      </c>
      <c r="J761" s="3">
        <v>9.09</v>
      </c>
      <c r="K761" s="3">
        <v>5.66</v>
      </c>
      <c r="L761" s="2" t="s">
        <v>8</v>
      </c>
      <c r="M761" s="2" t="s">
        <v>9</v>
      </c>
      <c r="N761" s="3">
        <v>418</v>
      </c>
      <c r="O761" s="2" t="s">
        <v>29</v>
      </c>
      <c r="P761" s="2" t="s">
        <v>53</v>
      </c>
      <c r="Q761" s="3"/>
      <c r="R761" s="3"/>
      <c r="S761" s="2" t="s">
        <v>21</v>
      </c>
      <c r="T761" s="4">
        <v>44955</v>
      </c>
      <c r="U761" s="2" t="s">
        <v>2655</v>
      </c>
      <c r="V761" s="6">
        <f>(Sales[[#This Row],[Price_retail]]-Sales[[#This Row],[Price_current]])/Sales[[#This Row],[Price_retail]]</f>
        <v>0.37733773377337732</v>
      </c>
      <c r="W761" s="3" t="str" cm="1">
        <f t="array" ref="W76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62" spans="1:23" x14ac:dyDescent="0.35">
      <c r="A762" s="2" t="s">
        <v>2656</v>
      </c>
      <c r="B762" s="2" t="s">
        <v>2657</v>
      </c>
      <c r="C762" s="2" t="s">
        <v>65</v>
      </c>
      <c r="D762" s="2" t="s">
        <v>49</v>
      </c>
      <c r="E762" s="2" t="s">
        <v>4</v>
      </c>
      <c r="F762" s="2" t="s">
        <v>17</v>
      </c>
      <c r="G762" s="2" t="s">
        <v>18</v>
      </c>
      <c r="H762" s="2" t="s">
        <v>51</v>
      </c>
      <c r="I762" s="2" t="s">
        <v>3395</v>
      </c>
      <c r="J762" s="3">
        <v>35.44</v>
      </c>
      <c r="K762" s="3">
        <v>21.07</v>
      </c>
      <c r="L762" s="2" t="s">
        <v>8</v>
      </c>
      <c r="M762" s="2" t="s">
        <v>9</v>
      </c>
      <c r="N762" s="3">
        <v>593</v>
      </c>
      <c r="O762" s="2" t="s">
        <v>10</v>
      </c>
      <c r="P762" s="2" t="s">
        <v>44</v>
      </c>
      <c r="Q762" s="3"/>
      <c r="R762" s="3"/>
      <c r="S762" s="2" t="s">
        <v>12</v>
      </c>
      <c r="T762" s="4">
        <v>44955</v>
      </c>
      <c r="U762" s="2" t="s">
        <v>2658</v>
      </c>
      <c r="V762" s="6">
        <f>(Sales[[#This Row],[Price_retail]]-Sales[[#This Row],[Price_current]])/Sales[[#This Row],[Price_retail]]</f>
        <v>0.40547404063205411</v>
      </c>
      <c r="W762" s="3" t="str" cm="1">
        <f t="array" ref="W76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63" spans="1:23" x14ac:dyDescent="0.35">
      <c r="A763" s="2" t="s">
        <v>2659</v>
      </c>
      <c r="B763" s="2" t="s">
        <v>2660</v>
      </c>
      <c r="C763" s="2" t="s">
        <v>367</v>
      </c>
      <c r="D763" s="2" t="s">
        <v>138</v>
      </c>
      <c r="E763" s="2" t="s">
        <v>4</v>
      </c>
      <c r="F763" s="2" t="s">
        <v>5</v>
      </c>
      <c r="G763" s="2" t="s">
        <v>6</v>
      </c>
      <c r="H763" s="2" t="s">
        <v>139</v>
      </c>
      <c r="I763" s="2" t="s">
        <v>3395</v>
      </c>
      <c r="J763" s="3">
        <v>38.53</v>
      </c>
      <c r="K763" s="3">
        <v>38.53</v>
      </c>
      <c r="L763" s="2" t="s">
        <v>3391</v>
      </c>
      <c r="M763" s="2" t="s">
        <v>9</v>
      </c>
      <c r="N763" s="3">
        <v>313</v>
      </c>
      <c r="O763" s="2" t="s">
        <v>36</v>
      </c>
      <c r="P763" s="2" t="s">
        <v>76</v>
      </c>
      <c r="Q763" s="3"/>
      <c r="R763" s="3"/>
      <c r="S763" s="2" t="s">
        <v>21</v>
      </c>
      <c r="T763" s="4">
        <v>44955</v>
      </c>
      <c r="U763" s="2" t="s">
        <v>2661</v>
      </c>
      <c r="V763" s="6">
        <f>(Sales[[#This Row],[Price_retail]]-Sales[[#This Row],[Price_current]])/Sales[[#This Row],[Price_retail]]</f>
        <v>0</v>
      </c>
      <c r="W763" s="3" t="str" cm="1">
        <f t="array" ref="W7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64" spans="1:23" x14ac:dyDescent="0.35">
      <c r="A764" s="2" t="s">
        <v>2662</v>
      </c>
      <c r="B764" s="2" t="s">
        <v>2663</v>
      </c>
      <c r="C764" s="2" t="s">
        <v>65</v>
      </c>
      <c r="D764" s="2" t="s">
        <v>446</v>
      </c>
      <c r="E764" s="2" t="s">
        <v>4</v>
      </c>
      <c r="F764" s="2" t="s">
        <v>17</v>
      </c>
      <c r="G764" s="2" t="s">
        <v>27</v>
      </c>
      <c r="H764" s="2" t="s">
        <v>145</v>
      </c>
      <c r="I764" s="2" t="s">
        <v>3395</v>
      </c>
      <c r="J764" s="3">
        <v>66.27</v>
      </c>
      <c r="K764" s="3">
        <v>66.27</v>
      </c>
      <c r="L764" s="2" t="s">
        <v>3391</v>
      </c>
      <c r="M764" s="2" t="s">
        <v>9</v>
      </c>
      <c r="N764" s="3">
        <v>638</v>
      </c>
      <c r="O764" s="2" t="s">
        <v>261</v>
      </c>
      <c r="P764" s="2" t="s">
        <v>221</v>
      </c>
      <c r="Q764" s="3"/>
      <c r="R764" s="3"/>
      <c r="S764" s="2" t="s">
        <v>21</v>
      </c>
      <c r="T764" s="4">
        <v>44955</v>
      </c>
      <c r="U764" s="2" t="s">
        <v>2664</v>
      </c>
      <c r="V764" s="6">
        <f>(Sales[[#This Row],[Price_retail]]-Sales[[#This Row],[Price_current]])/Sales[[#This Row],[Price_retail]]</f>
        <v>0</v>
      </c>
      <c r="W764" s="3" t="str" cm="1">
        <f t="array" ref="W7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65" spans="1:23" x14ac:dyDescent="0.35">
      <c r="A765" s="2" t="s">
        <v>2665</v>
      </c>
      <c r="B765" s="2" t="s">
        <v>2666</v>
      </c>
      <c r="C765" s="2" t="s">
        <v>1743</v>
      </c>
      <c r="D765" s="2" t="s">
        <v>66</v>
      </c>
      <c r="E765" s="2" t="s">
        <v>4</v>
      </c>
      <c r="F765" s="2" t="s">
        <v>17</v>
      </c>
      <c r="G765" s="2" t="s">
        <v>50</v>
      </c>
      <c r="H765" s="2" t="s">
        <v>68</v>
      </c>
      <c r="I765" s="2" t="s">
        <v>3390</v>
      </c>
      <c r="J765" s="3">
        <v>17.760000000000002</v>
      </c>
      <c r="K765" s="3">
        <v>17.760000000000002</v>
      </c>
      <c r="L765" s="2" t="s">
        <v>3391</v>
      </c>
      <c r="M765" s="2" t="s">
        <v>9</v>
      </c>
      <c r="N765" s="3">
        <v>852</v>
      </c>
      <c r="O765" s="2" t="s">
        <v>191</v>
      </c>
      <c r="P765" s="2" t="s">
        <v>221</v>
      </c>
      <c r="Q765" s="3"/>
      <c r="R765" s="3"/>
      <c r="S765" s="2" t="s">
        <v>12</v>
      </c>
      <c r="T765" s="4">
        <v>44955</v>
      </c>
      <c r="U765" s="2" t="s">
        <v>2667</v>
      </c>
      <c r="V765" s="6">
        <f>(Sales[[#This Row],[Price_retail]]-Sales[[#This Row],[Price_current]])/Sales[[#This Row],[Price_retail]]</f>
        <v>0</v>
      </c>
      <c r="W765" s="3" t="str" cm="1">
        <f t="array" ref="W7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66" spans="1:23" x14ac:dyDescent="0.35">
      <c r="A766" s="2" t="s">
        <v>2668</v>
      </c>
      <c r="B766" s="2" t="s">
        <v>2669</v>
      </c>
      <c r="C766" s="2" t="s">
        <v>1355</v>
      </c>
      <c r="D766" s="2" t="s">
        <v>905</v>
      </c>
      <c r="E766" s="2" t="s">
        <v>4</v>
      </c>
      <c r="F766" s="2" t="s">
        <v>5</v>
      </c>
      <c r="G766" s="2" t="s">
        <v>82</v>
      </c>
      <c r="H766" s="2" t="s">
        <v>28</v>
      </c>
      <c r="I766" s="2" t="s">
        <v>3390</v>
      </c>
      <c r="J766" s="3">
        <v>17.809999999999999</v>
      </c>
      <c r="K766" s="3">
        <v>17.809999999999999</v>
      </c>
      <c r="L766" s="2" t="s">
        <v>3391</v>
      </c>
      <c r="M766" s="2" t="s">
        <v>9</v>
      </c>
      <c r="N766" s="3">
        <v>167</v>
      </c>
      <c r="O766" s="2" t="s">
        <v>163</v>
      </c>
      <c r="P766" s="2" t="s">
        <v>192</v>
      </c>
      <c r="Q766" s="3"/>
      <c r="R766" s="3"/>
      <c r="S766" s="2" t="s">
        <v>21</v>
      </c>
      <c r="T766" s="4">
        <v>44955</v>
      </c>
      <c r="U766" s="2" t="s">
        <v>2670</v>
      </c>
      <c r="V766" s="6">
        <f>(Sales[[#This Row],[Price_retail]]-Sales[[#This Row],[Price_current]])/Sales[[#This Row],[Price_retail]]</f>
        <v>0</v>
      </c>
      <c r="W766" s="3" t="str" cm="1">
        <f t="array" ref="W7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67" spans="1:23" x14ac:dyDescent="0.35">
      <c r="A767" s="2" t="s">
        <v>2671</v>
      </c>
      <c r="B767" s="2" t="s">
        <v>2672</v>
      </c>
      <c r="C767" s="2" t="s">
        <v>3417</v>
      </c>
      <c r="D767" s="2" t="s">
        <v>1101</v>
      </c>
      <c r="E767" s="2" t="s">
        <v>4</v>
      </c>
      <c r="F767" s="2" t="s">
        <v>5</v>
      </c>
      <c r="G767" s="2" t="s">
        <v>6</v>
      </c>
      <c r="H767" s="2" t="s">
        <v>134</v>
      </c>
      <c r="I767" s="2" t="s">
        <v>3393</v>
      </c>
      <c r="J767" s="3">
        <v>24.65</v>
      </c>
      <c r="K767" s="3">
        <v>24.65</v>
      </c>
      <c r="L767" s="2" t="s">
        <v>3391</v>
      </c>
      <c r="M767" s="2" t="s">
        <v>9</v>
      </c>
      <c r="N767" s="3">
        <v>378</v>
      </c>
      <c r="O767" s="2" t="s">
        <v>267</v>
      </c>
      <c r="P767" s="2" t="s">
        <v>53</v>
      </c>
      <c r="Q767" s="3"/>
      <c r="R767" s="3"/>
      <c r="S767" s="2" t="s">
        <v>21</v>
      </c>
      <c r="T767" s="4">
        <v>44955</v>
      </c>
      <c r="U767" s="2" t="s">
        <v>2673</v>
      </c>
      <c r="V767" s="6">
        <f>(Sales[[#This Row],[Price_retail]]-Sales[[#This Row],[Price_current]])/Sales[[#This Row],[Price_retail]]</f>
        <v>0</v>
      </c>
      <c r="W767" s="3" t="str" cm="1">
        <f t="array" ref="W7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68" spans="1:23" x14ac:dyDescent="0.35">
      <c r="A768" s="2" t="s">
        <v>2674</v>
      </c>
      <c r="B768" s="2" t="s">
        <v>2675</v>
      </c>
      <c r="C768" s="2" t="s">
        <v>1615</v>
      </c>
      <c r="D768" s="2" t="s">
        <v>1680</v>
      </c>
      <c r="E768" s="2" t="s">
        <v>4</v>
      </c>
      <c r="F768" s="2" t="s">
        <v>5</v>
      </c>
      <c r="G768" s="2" t="s">
        <v>6</v>
      </c>
      <c r="H768" s="2" t="s">
        <v>51</v>
      </c>
      <c r="I768" s="2" t="s">
        <v>3390</v>
      </c>
      <c r="J768" s="3">
        <v>24.26</v>
      </c>
      <c r="K768" s="3">
        <v>12.91</v>
      </c>
      <c r="L768" s="2" t="s">
        <v>8</v>
      </c>
      <c r="M768" s="2" t="s">
        <v>9</v>
      </c>
      <c r="N768" s="3">
        <v>407</v>
      </c>
      <c r="O768" s="2" t="s">
        <v>43</v>
      </c>
      <c r="P768" s="2" t="s">
        <v>84</v>
      </c>
      <c r="Q768" s="3"/>
      <c r="R768" s="3"/>
      <c r="S768" s="2" t="s">
        <v>12</v>
      </c>
      <c r="T768" s="4">
        <v>44955</v>
      </c>
      <c r="U768" s="2" t="s">
        <v>2676</v>
      </c>
      <c r="V768" s="6">
        <f>(Sales[[#This Row],[Price_retail]]-Sales[[#This Row],[Price_current]])/Sales[[#This Row],[Price_retail]]</f>
        <v>0.46784830997526794</v>
      </c>
      <c r="W768" s="3" t="str" cm="1">
        <f t="array" ref="W76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69" spans="1:23" x14ac:dyDescent="0.35">
      <c r="A769" s="2" t="s">
        <v>2677</v>
      </c>
      <c r="B769" s="2" t="s">
        <v>2678</v>
      </c>
      <c r="C769" s="2" t="s">
        <v>3394</v>
      </c>
      <c r="D769" s="2" t="s">
        <v>913</v>
      </c>
      <c r="E769" s="2" t="s">
        <v>4</v>
      </c>
      <c r="F769" s="2" t="s">
        <v>17</v>
      </c>
      <c r="G769" s="2" t="s">
        <v>67</v>
      </c>
      <c r="H769" s="2" t="s">
        <v>51</v>
      </c>
      <c r="I769" s="2" t="s">
        <v>3393</v>
      </c>
      <c r="J769" s="3">
        <v>29.06</v>
      </c>
      <c r="K769" s="3">
        <v>17.47</v>
      </c>
      <c r="L769" s="2" t="s">
        <v>8</v>
      </c>
      <c r="M769" s="2" t="s">
        <v>9</v>
      </c>
      <c r="N769" s="3">
        <v>1</v>
      </c>
      <c r="O769" s="2" t="s">
        <v>267</v>
      </c>
      <c r="P769" s="2" t="s">
        <v>215</v>
      </c>
      <c r="Q769" s="3"/>
      <c r="R769" s="3"/>
      <c r="S769" s="2" t="s">
        <v>21</v>
      </c>
      <c r="T769" s="4">
        <v>44955</v>
      </c>
      <c r="U769" s="2" t="s">
        <v>2679</v>
      </c>
      <c r="V769" s="6">
        <f>(Sales[[#This Row],[Price_retail]]-Sales[[#This Row],[Price_current]])/Sales[[#This Row],[Price_retail]]</f>
        <v>0.39883000688231246</v>
      </c>
      <c r="W769" s="3" t="str" cm="1">
        <f t="array" ref="W76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70" spans="1:23" x14ac:dyDescent="0.35">
      <c r="A770" s="2" t="s">
        <v>2680</v>
      </c>
      <c r="B770" s="2" t="s">
        <v>2681</v>
      </c>
      <c r="C770" s="2" t="s">
        <v>25</v>
      </c>
      <c r="D770" s="2" t="s">
        <v>725</v>
      </c>
      <c r="E770" s="2" t="s">
        <v>4</v>
      </c>
      <c r="F770" s="2" t="s">
        <v>17</v>
      </c>
      <c r="G770" s="2" t="s">
        <v>27</v>
      </c>
      <c r="H770" s="2" t="s">
        <v>110</v>
      </c>
      <c r="I770" s="2" t="s">
        <v>3395</v>
      </c>
      <c r="J770" s="3">
        <v>24.08</v>
      </c>
      <c r="K770" s="3">
        <v>24.08</v>
      </c>
      <c r="L770" s="2" t="s">
        <v>3391</v>
      </c>
      <c r="M770" s="2" t="s">
        <v>9</v>
      </c>
      <c r="N770" s="3">
        <v>198</v>
      </c>
      <c r="O770" s="2" t="s">
        <v>664</v>
      </c>
      <c r="P770" s="2" t="s">
        <v>3392</v>
      </c>
      <c r="Q770" s="3"/>
      <c r="R770" s="3"/>
      <c r="S770" s="2" t="s">
        <v>21</v>
      </c>
      <c r="T770" s="4">
        <v>44955</v>
      </c>
      <c r="U770" s="2" t="s">
        <v>2682</v>
      </c>
      <c r="V770" s="6">
        <f>(Sales[[#This Row],[Price_retail]]-Sales[[#This Row],[Price_current]])/Sales[[#This Row],[Price_retail]]</f>
        <v>0</v>
      </c>
      <c r="W770" s="3" t="str" cm="1">
        <f t="array" ref="W7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71" spans="1:23" x14ac:dyDescent="0.35">
      <c r="A771" s="2" t="s">
        <v>2683</v>
      </c>
      <c r="B771" s="2" t="s">
        <v>2684</v>
      </c>
      <c r="C771" s="2" t="s">
        <v>750</v>
      </c>
      <c r="D771" s="2" t="s">
        <v>1147</v>
      </c>
      <c r="E771" s="2" t="s">
        <v>4</v>
      </c>
      <c r="F771" s="2" t="s">
        <v>5</v>
      </c>
      <c r="G771" s="2" t="s">
        <v>121</v>
      </c>
      <c r="H771" s="2" t="s">
        <v>51</v>
      </c>
      <c r="I771" s="2" t="s">
        <v>3393</v>
      </c>
      <c r="J771" s="3">
        <v>22.27</v>
      </c>
      <c r="K771" s="3">
        <v>22.27</v>
      </c>
      <c r="L771" s="2" t="s">
        <v>3391</v>
      </c>
      <c r="M771" s="2" t="s">
        <v>9</v>
      </c>
      <c r="N771" s="3">
        <v>423</v>
      </c>
      <c r="O771" s="2" t="s">
        <v>104</v>
      </c>
      <c r="P771" s="2" t="s">
        <v>44</v>
      </c>
      <c r="Q771" s="3"/>
      <c r="R771" s="3"/>
      <c r="S771" s="2" t="s">
        <v>21</v>
      </c>
      <c r="T771" s="4">
        <v>44955</v>
      </c>
      <c r="U771" s="2" t="s">
        <v>2685</v>
      </c>
      <c r="V771" s="6">
        <f>(Sales[[#This Row],[Price_retail]]-Sales[[#This Row],[Price_current]])/Sales[[#This Row],[Price_retail]]</f>
        <v>0</v>
      </c>
      <c r="W771" s="3" t="str" cm="1">
        <f t="array" ref="W77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72" spans="1:23" x14ac:dyDescent="0.35">
      <c r="A772" s="2" t="s">
        <v>2686</v>
      </c>
      <c r="B772" s="2" t="s">
        <v>2687</v>
      </c>
      <c r="C772" s="2" t="s">
        <v>306</v>
      </c>
      <c r="D772" s="2" t="s">
        <v>358</v>
      </c>
      <c r="E772" s="2" t="s">
        <v>4</v>
      </c>
      <c r="F772" s="2" t="s">
        <v>5</v>
      </c>
      <c r="G772" s="2" t="s">
        <v>6</v>
      </c>
      <c r="H772" s="2" t="s">
        <v>333</v>
      </c>
      <c r="I772" s="2" t="s">
        <v>3390</v>
      </c>
      <c r="J772" s="3">
        <v>30.63</v>
      </c>
      <c r="K772" s="3">
        <v>18.05</v>
      </c>
      <c r="L772" s="2" t="s">
        <v>8</v>
      </c>
      <c r="M772" s="2" t="s">
        <v>9</v>
      </c>
      <c r="N772" s="3">
        <v>96</v>
      </c>
      <c r="O772" s="2" t="s">
        <v>664</v>
      </c>
      <c r="P772" s="2" t="s">
        <v>44</v>
      </c>
      <c r="Q772" s="3"/>
      <c r="R772" s="3"/>
      <c r="S772" s="2" t="s">
        <v>21</v>
      </c>
      <c r="T772" s="4">
        <v>44955</v>
      </c>
      <c r="U772" s="2" t="s">
        <v>2688</v>
      </c>
      <c r="V772" s="6">
        <f>(Sales[[#This Row],[Price_retail]]-Sales[[#This Row],[Price_current]])/Sales[[#This Row],[Price_retail]]</f>
        <v>0.41070845576232445</v>
      </c>
      <c r="W772" s="3" t="str" cm="1">
        <f t="array" ref="W77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73" spans="1:23" x14ac:dyDescent="0.35">
      <c r="A773" s="2" t="s">
        <v>2689</v>
      </c>
      <c r="B773" s="2" t="s">
        <v>2690</v>
      </c>
      <c r="C773" s="2" t="s">
        <v>252</v>
      </c>
      <c r="D773" s="2" t="s">
        <v>1482</v>
      </c>
      <c r="E773" s="2" t="s">
        <v>4</v>
      </c>
      <c r="F773" s="2" t="s">
        <v>17</v>
      </c>
      <c r="G773" s="2" t="s">
        <v>18</v>
      </c>
      <c r="H773" s="2" t="s">
        <v>185</v>
      </c>
      <c r="I773" s="2" t="s">
        <v>3393</v>
      </c>
      <c r="J773" s="3">
        <v>8.99</v>
      </c>
      <c r="K773" s="3">
        <v>8.99</v>
      </c>
      <c r="L773" s="2" t="s">
        <v>3391</v>
      </c>
      <c r="M773" s="2" t="s">
        <v>9</v>
      </c>
      <c r="N773" s="3">
        <v>104</v>
      </c>
      <c r="O773" s="2" t="s">
        <v>36</v>
      </c>
      <c r="P773" s="2" t="s">
        <v>128</v>
      </c>
      <c r="Q773" s="3"/>
      <c r="R773" s="3"/>
      <c r="S773" s="2" t="s">
        <v>12</v>
      </c>
      <c r="T773" s="4">
        <v>44955</v>
      </c>
      <c r="U773" s="2" t="s">
        <v>2691</v>
      </c>
      <c r="V773" s="6">
        <f>(Sales[[#This Row],[Price_retail]]-Sales[[#This Row],[Price_current]])/Sales[[#This Row],[Price_retail]]</f>
        <v>0</v>
      </c>
      <c r="W773" s="3" t="str" cm="1">
        <f t="array" ref="W7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74" spans="1:23" x14ac:dyDescent="0.35">
      <c r="A774" s="2" t="s">
        <v>2692</v>
      </c>
      <c r="B774" s="2" t="s">
        <v>2693</v>
      </c>
      <c r="C774" s="2" t="s">
        <v>1743</v>
      </c>
      <c r="D774" s="2" t="s">
        <v>674</v>
      </c>
      <c r="E774" s="2" t="s">
        <v>4</v>
      </c>
      <c r="F774" s="2" t="s">
        <v>5</v>
      </c>
      <c r="G774" s="2" t="s">
        <v>82</v>
      </c>
      <c r="H774" s="2" t="s">
        <v>333</v>
      </c>
      <c r="I774" s="2" t="s">
        <v>3390</v>
      </c>
      <c r="J774" s="3">
        <v>15.69</v>
      </c>
      <c r="K774" s="3">
        <v>10.82</v>
      </c>
      <c r="L774" s="2" t="s">
        <v>8</v>
      </c>
      <c r="M774" s="2" t="s">
        <v>9</v>
      </c>
      <c r="N774" s="3">
        <v>194</v>
      </c>
      <c r="O774" s="2" t="s">
        <v>3392</v>
      </c>
      <c r="P774" s="2" t="s">
        <v>76</v>
      </c>
      <c r="Q774" s="3"/>
      <c r="R774" s="3"/>
      <c r="S774" s="2" t="s">
        <v>12</v>
      </c>
      <c r="T774" s="4">
        <v>44955</v>
      </c>
      <c r="U774" s="2" t="s">
        <v>2694</v>
      </c>
      <c r="V774" s="6">
        <f>(Sales[[#This Row],[Price_retail]]-Sales[[#This Row],[Price_current]])/Sales[[#This Row],[Price_retail]]</f>
        <v>0.31038878266411724</v>
      </c>
      <c r="W774" s="3" t="str" cm="1">
        <f t="array" ref="W77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75" spans="1:23" x14ac:dyDescent="0.35">
      <c r="A775" s="2" t="s">
        <v>2695</v>
      </c>
      <c r="B775" s="2" t="s">
        <v>2696</v>
      </c>
      <c r="C775" s="2" t="s">
        <v>108</v>
      </c>
      <c r="D775" s="2" t="s">
        <v>417</v>
      </c>
      <c r="E775" s="2" t="s">
        <v>4</v>
      </c>
      <c r="F775" s="2" t="s">
        <v>17</v>
      </c>
      <c r="G775" s="2" t="s">
        <v>18</v>
      </c>
      <c r="H775" s="2" t="s">
        <v>418</v>
      </c>
      <c r="I775" s="2" t="s">
        <v>3390</v>
      </c>
      <c r="J775" s="3">
        <v>36.97</v>
      </c>
      <c r="K775" s="3">
        <v>3697</v>
      </c>
      <c r="L775" s="2" t="s">
        <v>3391</v>
      </c>
      <c r="M775" s="2" t="s">
        <v>9</v>
      </c>
      <c r="N775" s="3">
        <v>88</v>
      </c>
      <c r="O775" s="2" t="s">
        <v>75</v>
      </c>
      <c r="P775" s="2" t="s">
        <v>192</v>
      </c>
      <c r="Q775" s="3"/>
      <c r="R775" s="3"/>
      <c r="S775" s="2" t="s">
        <v>21</v>
      </c>
      <c r="T775" s="4">
        <v>44955</v>
      </c>
      <c r="U775" s="2" t="s">
        <v>2697</v>
      </c>
      <c r="V775" s="6">
        <f>(Sales[[#This Row],[Price_retail]]-Sales[[#This Row],[Price_current]])/Sales[[#This Row],[Price_retail]]</f>
        <v>-99.000000000000014</v>
      </c>
      <c r="W775" s="3" t="str" cm="1">
        <f t="array" ref="W775">_xlfn.IFS(Sales[[#This Row],[Discount]]=0%,"No Discount",Sales[[#This Row],[Discount]]&lt;=20%,"Light",Sales[[#This Row],[Discount]]&lt;=50%,"Moderate",Sales[[#This Row],[Discount]]&lt;=80%,"High",
TRUE,"Very High")</f>
        <v>Light</v>
      </c>
    </row>
    <row r="776" spans="1:23" x14ac:dyDescent="0.35">
      <c r="A776" s="2" t="s">
        <v>2698</v>
      </c>
      <c r="B776" s="2" t="s">
        <v>2699</v>
      </c>
      <c r="C776" s="2" t="s">
        <v>242</v>
      </c>
      <c r="D776" s="2" t="s">
        <v>474</v>
      </c>
      <c r="E776" s="2" t="s">
        <v>4</v>
      </c>
      <c r="F776" s="2" t="s">
        <v>17</v>
      </c>
      <c r="G776" s="2" t="s">
        <v>50</v>
      </c>
      <c r="H776" s="2" t="s">
        <v>83</v>
      </c>
      <c r="I776" s="2" t="s">
        <v>3390</v>
      </c>
      <c r="J776" s="3">
        <v>8.99</v>
      </c>
      <c r="K776" s="3">
        <v>8.99</v>
      </c>
      <c r="L776" s="2" t="s">
        <v>3391</v>
      </c>
      <c r="M776" s="2" t="s">
        <v>9</v>
      </c>
      <c r="N776" s="3">
        <v>489</v>
      </c>
      <c r="O776" s="2" t="s">
        <v>140</v>
      </c>
      <c r="P776" s="2" t="s">
        <v>221</v>
      </c>
      <c r="Q776" s="3"/>
      <c r="R776" s="3"/>
      <c r="S776" s="2" t="s">
        <v>21</v>
      </c>
      <c r="T776" s="4">
        <v>44955</v>
      </c>
      <c r="U776" s="2" t="s">
        <v>2700</v>
      </c>
      <c r="V776" s="6">
        <f>(Sales[[#This Row],[Price_retail]]-Sales[[#This Row],[Price_current]])/Sales[[#This Row],[Price_retail]]</f>
        <v>0</v>
      </c>
      <c r="W776" s="3" t="str" cm="1">
        <f t="array" ref="W77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77" spans="1:23" x14ac:dyDescent="0.35">
      <c r="A777" s="2" t="s">
        <v>2701</v>
      </c>
      <c r="B777" s="2" t="s">
        <v>2702</v>
      </c>
      <c r="C777" s="2" t="s">
        <v>65</v>
      </c>
      <c r="D777" s="2" t="s">
        <v>3428</v>
      </c>
      <c r="E777" s="2" t="s">
        <v>4</v>
      </c>
      <c r="F777" s="2" t="s">
        <v>17</v>
      </c>
      <c r="G777" s="2" t="s">
        <v>18</v>
      </c>
      <c r="H777" s="2" t="s">
        <v>35</v>
      </c>
      <c r="I777" s="2" t="s">
        <v>3393</v>
      </c>
      <c r="J777" s="3">
        <v>10.78</v>
      </c>
      <c r="K777" s="3">
        <v>10.78</v>
      </c>
      <c r="L777" s="2" t="s">
        <v>3391</v>
      </c>
      <c r="M777" s="2" t="s">
        <v>9</v>
      </c>
      <c r="N777" s="3">
        <v>81</v>
      </c>
      <c r="O777" s="2" t="s">
        <v>140</v>
      </c>
      <c r="P777" s="2" t="s">
        <v>70</v>
      </c>
      <c r="Q777" s="3"/>
      <c r="R777" s="3"/>
      <c r="S777" s="2" t="s">
        <v>12</v>
      </c>
      <c r="T777" s="4">
        <v>44955</v>
      </c>
      <c r="U777" s="2" t="s">
        <v>2703</v>
      </c>
      <c r="V777" s="6">
        <f>(Sales[[#This Row],[Price_retail]]-Sales[[#This Row],[Price_current]])/Sales[[#This Row],[Price_retail]]</f>
        <v>0</v>
      </c>
      <c r="W777" s="3" t="str" cm="1">
        <f t="array" ref="W77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78" spans="1:23" x14ac:dyDescent="0.35">
      <c r="A778" s="2" t="s">
        <v>2704</v>
      </c>
      <c r="B778" s="2" t="s">
        <v>2705</v>
      </c>
      <c r="C778" s="2" t="s">
        <v>423</v>
      </c>
      <c r="D778" s="2" t="s">
        <v>372</v>
      </c>
      <c r="E778" s="2" t="s">
        <v>4</v>
      </c>
      <c r="F778" s="2" t="s">
        <v>5</v>
      </c>
      <c r="G778" s="2" t="s">
        <v>82</v>
      </c>
      <c r="H778" s="2" t="s">
        <v>134</v>
      </c>
      <c r="I778" s="2" t="s">
        <v>3390</v>
      </c>
      <c r="J778" s="3">
        <v>22.63</v>
      </c>
      <c r="K778" s="3">
        <v>22.63</v>
      </c>
      <c r="L778" s="2" t="s">
        <v>3391</v>
      </c>
      <c r="M778" s="2" t="s">
        <v>9</v>
      </c>
      <c r="N778" s="3">
        <v>563</v>
      </c>
      <c r="O778" s="2" t="s">
        <v>287</v>
      </c>
      <c r="P778" s="2" t="s">
        <v>30</v>
      </c>
      <c r="Q778" s="3"/>
      <c r="R778" s="3"/>
      <c r="S778" s="2" t="s">
        <v>21</v>
      </c>
      <c r="T778" s="4">
        <v>44955</v>
      </c>
      <c r="U778" s="2" t="s">
        <v>2706</v>
      </c>
      <c r="V778" s="6">
        <f>(Sales[[#This Row],[Price_retail]]-Sales[[#This Row],[Price_current]])/Sales[[#This Row],[Price_retail]]</f>
        <v>0</v>
      </c>
      <c r="W778" s="3" t="str" cm="1">
        <f t="array" ref="W7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79" spans="1:23" x14ac:dyDescent="0.35">
      <c r="A779" s="2" t="s">
        <v>2707</v>
      </c>
      <c r="B779" s="2" t="s">
        <v>2708</v>
      </c>
      <c r="C779" s="2" t="s">
        <v>3433</v>
      </c>
      <c r="D779" s="2" t="s">
        <v>633</v>
      </c>
      <c r="E779" s="2" t="s">
        <v>4</v>
      </c>
      <c r="F779" s="2" t="s">
        <v>5</v>
      </c>
      <c r="G779" s="2" t="s">
        <v>6</v>
      </c>
      <c r="H779" s="2" t="s">
        <v>90</v>
      </c>
      <c r="I779" s="2" t="s">
        <v>3393</v>
      </c>
      <c r="J779" s="3">
        <v>19.43</v>
      </c>
      <c r="K779" s="3">
        <v>19.43</v>
      </c>
      <c r="L779" s="2" t="s">
        <v>3391</v>
      </c>
      <c r="M779" s="2" t="s">
        <v>9</v>
      </c>
      <c r="N779" s="3">
        <v>729</v>
      </c>
      <c r="O779" s="2" t="s">
        <v>69</v>
      </c>
      <c r="P779" s="2" t="s">
        <v>92</v>
      </c>
      <c r="Q779" s="3"/>
      <c r="R779" s="3"/>
      <c r="S779" s="2" t="s">
        <v>21</v>
      </c>
      <c r="T779" s="4">
        <v>44955</v>
      </c>
      <c r="U779" s="2" t="s">
        <v>2709</v>
      </c>
      <c r="V779" s="6">
        <f>(Sales[[#This Row],[Price_retail]]-Sales[[#This Row],[Price_current]])/Sales[[#This Row],[Price_retail]]</f>
        <v>0</v>
      </c>
      <c r="W779" s="3" t="str" cm="1">
        <f t="array" ref="W77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80" spans="1:23" x14ac:dyDescent="0.35">
      <c r="A780" s="2" t="s">
        <v>2710</v>
      </c>
      <c r="B780" s="2" t="s">
        <v>2711</v>
      </c>
      <c r="C780" s="2" t="s">
        <v>3433</v>
      </c>
      <c r="D780" s="2" t="s">
        <v>446</v>
      </c>
      <c r="E780" s="2" t="s">
        <v>4</v>
      </c>
      <c r="F780" s="2" t="s">
        <v>17</v>
      </c>
      <c r="G780" s="2" t="s">
        <v>18</v>
      </c>
      <c r="H780" s="2" t="s">
        <v>145</v>
      </c>
      <c r="I780" s="2" t="s">
        <v>3390</v>
      </c>
      <c r="J780" s="3">
        <v>9.67</v>
      </c>
      <c r="K780" s="3">
        <v>6.05</v>
      </c>
      <c r="L780" s="2" t="s">
        <v>8</v>
      </c>
      <c r="M780" s="2" t="s">
        <v>9</v>
      </c>
      <c r="N780" s="3">
        <v>191</v>
      </c>
      <c r="O780" s="2" t="s">
        <v>261</v>
      </c>
      <c r="P780" s="2" t="s">
        <v>76</v>
      </c>
      <c r="Q780" s="3"/>
      <c r="R780" s="3"/>
      <c r="S780" s="2" t="s">
        <v>21</v>
      </c>
      <c r="T780" s="4">
        <v>44955</v>
      </c>
      <c r="U780" s="2" t="s">
        <v>2712</v>
      </c>
      <c r="V780" s="6">
        <f>(Sales[[#This Row],[Price_retail]]-Sales[[#This Row],[Price_current]])/Sales[[#This Row],[Price_retail]]</f>
        <v>0.37435367114788004</v>
      </c>
      <c r="W780" s="3" t="str" cm="1">
        <f t="array" ref="W78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81" spans="1:23" x14ac:dyDescent="0.35">
      <c r="A781" s="2" t="s">
        <v>2713</v>
      </c>
      <c r="B781" s="2" t="s">
        <v>2714</v>
      </c>
      <c r="C781" s="2" t="s">
        <v>80</v>
      </c>
      <c r="D781" s="2" t="s">
        <v>608</v>
      </c>
      <c r="E781" s="2" t="s">
        <v>4</v>
      </c>
      <c r="F781" s="2" t="s">
        <v>17</v>
      </c>
      <c r="G781" s="2" t="s">
        <v>50</v>
      </c>
      <c r="H781" s="2" t="s">
        <v>51</v>
      </c>
      <c r="I781" s="2" t="s">
        <v>3393</v>
      </c>
      <c r="J781" s="3">
        <v>12.44</v>
      </c>
      <c r="K781" s="3">
        <v>9.2100000000000009</v>
      </c>
      <c r="L781" s="2" t="s">
        <v>8</v>
      </c>
      <c r="M781" s="2" t="s">
        <v>9</v>
      </c>
      <c r="N781" s="3">
        <v>806</v>
      </c>
      <c r="O781" s="2" t="s">
        <v>302</v>
      </c>
      <c r="P781" s="2" t="s">
        <v>3392</v>
      </c>
      <c r="Q781" s="3"/>
      <c r="R781" s="3"/>
      <c r="S781" s="2" t="s">
        <v>12</v>
      </c>
      <c r="T781" s="4">
        <v>44955</v>
      </c>
      <c r="U781" s="2" t="s">
        <v>2715</v>
      </c>
      <c r="V781" s="6">
        <f>(Sales[[#This Row],[Price_retail]]-Sales[[#This Row],[Price_current]])/Sales[[#This Row],[Price_retail]]</f>
        <v>0.25964630225080376</v>
      </c>
      <c r="W781" s="3" t="str" cm="1">
        <f t="array" ref="W78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82" spans="1:23" x14ac:dyDescent="0.35">
      <c r="A782" s="2" t="s">
        <v>2716</v>
      </c>
      <c r="B782" s="2" t="s">
        <v>2717</v>
      </c>
      <c r="C782" s="2" t="s">
        <v>423</v>
      </c>
      <c r="D782" s="2" t="s">
        <v>734</v>
      </c>
      <c r="E782" s="2" t="s">
        <v>4</v>
      </c>
      <c r="F782" s="2" t="s">
        <v>5</v>
      </c>
      <c r="G782" s="2" t="s">
        <v>6</v>
      </c>
      <c r="H782" s="2" t="s">
        <v>19</v>
      </c>
      <c r="I782" s="2" t="s">
        <v>3393</v>
      </c>
      <c r="J782" s="3">
        <v>8.99</v>
      </c>
      <c r="K782" s="3">
        <v>8.99</v>
      </c>
      <c r="L782" s="2" t="s">
        <v>3391</v>
      </c>
      <c r="M782" s="2" t="s">
        <v>9</v>
      </c>
      <c r="N782" s="3">
        <v>102</v>
      </c>
      <c r="O782" s="2" t="s">
        <v>104</v>
      </c>
      <c r="P782" s="2" t="s">
        <v>92</v>
      </c>
      <c r="Q782" s="3"/>
      <c r="R782" s="3"/>
      <c r="S782" s="2" t="s">
        <v>21</v>
      </c>
      <c r="T782" s="4">
        <v>44955</v>
      </c>
      <c r="U782" s="2" t="s">
        <v>2718</v>
      </c>
      <c r="V782" s="6">
        <f>(Sales[[#This Row],[Price_retail]]-Sales[[#This Row],[Price_current]])/Sales[[#This Row],[Price_retail]]</f>
        <v>0</v>
      </c>
      <c r="W782" s="3" t="str" cm="1">
        <f t="array" ref="W78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83" spans="1:23" x14ac:dyDescent="0.35">
      <c r="A783" s="2" t="s">
        <v>2719</v>
      </c>
      <c r="B783" s="2" t="s">
        <v>2720</v>
      </c>
      <c r="C783" s="2" t="s">
        <v>412</v>
      </c>
      <c r="D783" s="2" t="s">
        <v>16</v>
      </c>
      <c r="E783" s="2" t="s">
        <v>4</v>
      </c>
      <c r="F783" s="2" t="s">
        <v>17</v>
      </c>
      <c r="G783" s="2" t="s">
        <v>67</v>
      </c>
      <c r="H783" s="2" t="s">
        <v>19</v>
      </c>
      <c r="I783" s="2" t="s">
        <v>3395</v>
      </c>
      <c r="J783" s="3">
        <v>26.82</v>
      </c>
      <c r="K783" s="3">
        <v>26.82</v>
      </c>
      <c r="L783" s="2" t="s">
        <v>3391</v>
      </c>
      <c r="M783" s="2" t="s">
        <v>9</v>
      </c>
      <c r="N783" s="3">
        <v>635</v>
      </c>
      <c r="O783" s="2" t="s">
        <v>36</v>
      </c>
      <c r="P783" s="2" t="s">
        <v>53</v>
      </c>
      <c r="Q783" s="3"/>
      <c r="R783" s="3"/>
      <c r="S783" s="2" t="s">
        <v>21</v>
      </c>
      <c r="T783" s="4">
        <v>44955</v>
      </c>
      <c r="U783" s="2" t="s">
        <v>2721</v>
      </c>
      <c r="V783" s="6">
        <f>(Sales[[#This Row],[Price_retail]]-Sales[[#This Row],[Price_current]])/Sales[[#This Row],[Price_retail]]</f>
        <v>0</v>
      </c>
      <c r="W783" s="3" t="str" cm="1">
        <f t="array" ref="W7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84" spans="1:23" x14ac:dyDescent="0.35">
      <c r="A784" s="2" t="s">
        <v>2722</v>
      </c>
      <c r="B784" s="2" t="s">
        <v>2723</v>
      </c>
      <c r="C784" s="2" t="s">
        <v>1237</v>
      </c>
      <c r="D784" s="2" t="s">
        <v>424</v>
      </c>
      <c r="E784" s="2" t="s">
        <v>4</v>
      </c>
      <c r="F784" s="2" t="s">
        <v>5</v>
      </c>
      <c r="G784" s="2" t="s">
        <v>6</v>
      </c>
      <c r="H784" s="2" t="s">
        <v>59</v>
      </c>
      <c r="I784" s="2" t="s">
        <v>3395</v>
      </c>
      <c r="J784" s="3">
        <v>13.59</v>
      </c>
      <c r="K784" s="3">
        <v>9.67</v>
      </c>
      <c r="L784" s="2" t="s">
        <v>8</v>
      </c>
      <c r="M784" s="2" t="s">
        <v>9</v>
      </c>
      <c r="N784" s="3">
        <v>153</v>
      </c>
      <c r="O784" s="2" t="s">
        <v>98</v>
      </c>
      <c r="P784" s="2" t="s">
        <v>238</v>
      </c>
      <c r="Q784" s="3"/>
      <c r="R784" s="3"/>
      <c r="S784" s="2" t="s">
        <v>12</v>
      </c>
      <c r="T784" s="4">
        <v>44955</v>
      </c>
      <c r="U784" s="2" t="s">
        <v>2724</v>
      </c>
      <c r="V784" s="6">
        <f>(Sales[[#This Row],[Price_retail]]-Sales[[#This Row],[Price_current]])/Sales[[#This Row],[Price_retail]]</f>
        <v>0.28844738778513612</v>
      </c>
      <c r="W784" s="3" t="str" cm="1">
        <f t="array" ref="W78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85" spans="1:23" x14ac:dyDescent="0.35">
      <c r="A785" s="2" t="s">
        <v>2725</v>
      </c>
      <c r="B785" s="2" t="s">
        <v>2726</v>
      </c>
      <c r="C785" s="2" t="s">
        <v>126</v>
      </c>
      <c r="D785" s="2" t="s">
        <v>640</v>
      </c>
      <c r="E785" s="2" t="s">
        <v>4</v>
      </c>
      <c r="F785" s="2" t="s">
        <v>17</v>
      </c>
      <c r="G785" s="2" t="s">
        <v>50</v>
      </c>
      <c r="H785" s="2" t="s">
        <v>139</v>
      </c>
      <c r="I785" s="2" t="s">
        <v>3390</v>
      </c>
      <c r="J785" s="3">
        <v>41.92</v>
      </c>
      <c r="K785" s="3">
        <v>18.2</v>
      </c>
      <c r="L785" s="2" t="s">
        <v>8</v>
      </c>
      <c r="M785" s="2" t="s">
        <v>9</v>
      </c>
      <c r="N785" s="3">
        <v>111</v>
      </c>
      <c r="O785" s="2" t="s">
        <v>3392</v>
      </c>
      <c r="P785" s="2" t="s">
        <v>61</v>
      </c>
      <c r="Q785" s="3"/>
      <c r="R785" s="3"/>
      <c r="S785" s="2" t="s">
        <v>21</v>
      </c>
      <c r="T785" s="4">
        <v>44955</v>
      </c>
      <c r="U785" s="2" t="s">
        <v>2727</v>
      </c>
      <c r="V785" s="6">
        <f>(Sales[[#This Row],[Price_retail]]-Sales[[#This Row],[Price_current]])/Sales[[#This Row],[Price_retail]]</f>
        <v>0.56583969465648853</v>
      </c>
      <c r="W785" s="3" t="str" cm="1">
        <f t="array" ref="W785">_xlfn.IFS(Sales[[#This Row],[Discount]]=0%,"No Discount",Sales[[#This Row],[Discount]]&lt;=20%,"Light",Sales[[#This Row],[Discount]]&lt;=50%,"Moderate",Sales[[#This Row],[Discount]]&lt;=80%,"High",
TRUE,"Very High")</f>
        <v>High</v>
      </c>
    </row>
    <row r="786" spans="1:23" x14ac:dyDescent="0.35">
      <c r="A786" s="2" t="s">
        <v>2728</v>
      </c>
      <c r="B786" s="2" t="s">
        <v>2729</v>
      </c>
      <c r="C786" s="2" t="s">
        <v>65</v>
      </c>
      <c r="D786" s="2" t="s">
        <v>97</v>
      </c>
      <c r="E786" s="2" t="s">
        <v>4</v>
      </c>
      <c r="F786" s="2" t="s">
        <v>5</v>
      </c>
      <c r="G786" s="2" t="s">
        <v>6</v>
      </c>
      <c r="H786" s="2" t="s">
        <v>90</v>
      </c>
      <c r="I786" s="2" t="s">
        <v>3393</v>
      </c>
      <c r="J786" s="3">
        <v>16.36</v>
      </c>
      <c r="K786" s="3">
        <v>12.55</v>
      </c>
      <c r="L786" s="2" t="s">
        <v>8</v>
      </c>
      <c r="M786" s="2" t="s">
        <v>9</v>
      </c>
      <c r="N786" s="3">
        <v>436</v>
      </c>
      <c r="O786" s="2" t="s">
        <v>3392</v>
      </c>
      <c r="P786" s="2" t="s">
        <v>553</v>
      </c>
      <c r="Q786" s="3"/>
      <c r="R786" s="3"/>
      <c r="S786" s="2" t="s">
        <v>12</v>
      </c>
      <c r="T786" s="4">
        <v>44955</v>
      </c>
      <c r="U786" s="2" t="s">
        <v>2730</v>
      </c>
      <c r="V786" s="6">
        <f>(Sales[[#This Row],[Price_retail]]-Sales[[#This Row],[Price_current]])/Sales[[#This Row],[Price_retail]]</f>
        <v>0.23288508557457205</v>
      </c>
      <c r="W786" s="3" t="str" cm="1">
        <f t="array" ref="W78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87" spans="1:23" x14ac:dyDescent="0.35">
      <c r="A787" s="2" t="s">
        <v>2731</v>
      </c>
      <c r="B787" s="2" t="s">
        <v>2732</v>
      </c>
      <c r="C787" s="2" t="s">
        <v>383</v>
      </c>
      <c r="D787" s="2" t="s">
        <v>338</v>
      </c>
      <c r="E787" s="2" t="s">
        <v>4</v>
      </c>
      <c r="F787" s="2" t="s">
        <v>17</v>
      </c>
      <c r="G787" s="2" t="s">
        <v>18</v>
      </c>
      <c r="H787" s="2" t="s">
        <v>90</v>
      </c>
      <c r="I787" s="2" t="s">
        <v>3393</v>
      </c>
      <c r="J787" s="3">
        <v>13.86</v>
      </c>
      <c r="K787" s="3">
        <v>13.86</v>
      </c>
      <c r="L787" s="2" t="s">
        <v>3391</v>
      </c>
      <c r="M787" s="2" t="s">
        <v>9</v>
      </c>
      <c r="N787" s="3">
        <v>560</v>
      </c>
      <c r="O787" s="2" t="s">
        <v>3392</v>
      </c>
      <c r="P787" s="2" t="s">
        <v>44</v>
      </c>
      <c r="Q787" s="3"/>
      <c r="R787" s="3"/>
      <c r="S787" s="2" t="s">
        <v>21</v>
      </c>
      <c r="T787" s="4">
        <v>44955</v>
      </c>
      <c r="U787" s="2" t="s">
        <v>2733</v>
      </c>
      <c r="V787" s="6">
        <f>(Sales[[#This Row],[Price_retail]]-Sales[[#This Row],[Price_current]])/Sales[[#This Row],[Price_retail]]</f>
        <v>0</v>
      </c>
      <c r="W787" s="3" t="str" cm="1">
        <f t="array" ref="W78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88" spans="1:23" x14ac:dyDescent="0.35">
      <c r="A788" s="2" t="s">
        <v>2734</v>
      </c>
      <c r="B788" s="2" t="s">
        <v>2735</v>
      </c>
      <c r="C788" s="2" t="s">
        <v>132</v>
      </c>
      <c r="D788" s="2" t="s">
        <v>392</v>
      </c>
      <c r="E788" s="2" t="s">
        <v>4</v>
      </c>
      <c r="F788" s="2" t="s">
        <v>17</v>
      </c>
      <c r="G788" s="2" t="s">
        <v>27</v>
      </c>
      <c r="H788" s="2" t="s">
        <v>19</v>
      </c>
      <c r="I788" s="2" t="s">
        <v>3390</v>
      </c>
      <c r="J788" s="3">
        <v>13.14</v>
      </c>
      <c r="K788" s="3">
        <v>8.56</v>
      </c>
      <c r="L788" s="2" t="s">
        <v>8</v>
      </c>
      <c r="M788" s="2" t="s">
        <v>9</v>
      </c>
      <c r="N788" s="3">
        <v>785</v>
      </c>
      <c r="O788" s="2" t="s">
        <v>75</v>
      </c>
      <c r="P788" s="2" t="s">
        <v>215</v>
      </c>
      <c r="Q788" s="3"/>
      <c r="R788" s="3"/>
      <c r="S788" s="2" t="s">
        <v>12</v>
      </c>
      <c r="T788" s="4">
        <v>44955</v>
      </c>
      <c r="U788" s="2" t="s">
        <v>2736</v>
      </c>
      <c r="V788" s="6">
        <f>(Sales[[#This Row],[Price_retail]]-Sales[[#This Row],[Price_current]])/Sales[[#This Row],[Price_retail]]</f>
        <v>0.34855403348554032</v>
      </c>
      <c r="W788" s="3" t="str" cm="1">
        <f t="array" ref="W78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89" spans="1:23" x14ac:dyDescent="0.35">
      <c r="A789" s="2" t="s">
        <v>2737</v>
      </c>
      <c r="B789" s="2" t="s">
        <v>2738</v>
      </c>
      <c r="C789" s="2" t="s">
        <v>1143</v>
      </c>
      <c r="D789" s="2" t="s">
        <v>3429</v>
      </c>
      <c r="E789" s="2" t="s">
        <v>4</v>
      </c>
      <c r="F789" s="2" t="s">
        <v>5</v>
      </c>
      <c r="G789" s="2" t="s">
        <v>82</v>
      </c>
      <c r="H789" s="2" t="s">
        <v>110</v>
      </c>
      <c r="I789" s="2" t="s">
        <v>3393</v>
      </c>
      <c r="J789" s="3">
        <v>13.68</v>
      </c>
      <c r="K789" s="3">
        <v>13.68</v>
      </c>
      <c r="L789" s="2" t="s">
        <v>3391</v>
      </c>
      <c r="M789" s="2" t="s">
        <v>9</v>
      </c>
      <c r="N789" s="3">
        <v>881</v>
      </c>
      <c r="O789" s="2" t="s">
        <v>347</v>
      </c>
      <c r="P789" s="2" t="s">
        <v>128</v>
      </c>
      <c r="Q789" s="3"/>
      <c r="R789" s="3"/>
      <c r="S789" s="2" t="s">
        <v>21</v>
      </c>
      <c r="T789" s="4">
        <v>44955</v>
      </c>
      <c r="U789" s="2" t="s">
        <v>2739</v>
      </c>
      <c r="V789" s="6">
        <f>(Sales[[#This Row],[Price_retail]]-Sales[[#This Row],[Price_current]])/Sales[[#This Row],[Price_retail]]</f>
        <v>0</v>
      </c>
      <c r="W789" s="3" t="str" cm="1">
        <f t="array" ref="W78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0" spans="1:23" x14ac:dyDescent="0.35">
      <c r="A790" s="2" t="s">
        <v>2740</v>
      </c>
      <c r="B790" s="2" t="s">
        <v>2741</v>
      </c>
      <c r="C790" s="2" t="s">
        <v>1549</v>
      </c>
      <c r="D790" s="2" t="s">
        <v>857</v>
      </c>
      <c r="E790" s="2" t="s">
        <v>4</v>
      </c>
      <c r="F790" s="2" t="s">
        <v>5</v>
      </c>
      <c r="G790" s="2" t="s">
        <v>121</v>
      </c>
      <c r="H790" s="2" t="s">
        <v>51</v>
      </c>
      <c r="I790" s="2" t="s">
        <v>3390</v>
      </c>
      <c r="J790" s="3">
        <v>16.63</v>
      </c>
      <c r="K790" s="3">
        <v>10.92</v>
      </c>
      <c r="L790" s="2" t="s">
        <v>8</v>
      </c>
      <c r="M790" s="2" t="s">
        <v>9</v>
      </c>
      <c r="N790" s="3">
        <v>726</v>
      </c>
      <c r="O790" s="2" t="s">
        <v>287</v>
      </c>
      <c r="P790" s="2" t="s">
        <v>70</v>
      </c>
      <c r="Q790" s="3"/>
      <c r="R790" s="3"/>
      <c r="S790" s="2" t="s">
        <v>21</v>
      </c>
      <c r="T790" s="4">
        <v>44955</v>
      </c>
      <c r="U790" s="2" t="s">
        <v>2742</v>
      </c>
      <c r="V790" s="6">
        <f>(Sales[[#This Row],[Price_retail]]-Sales[[#This Row],[Price_current]])/Sales[[#This Row],[Price_retail]]</f>
        <v>0.34335538184004805</v>
      </c>
      <c r="W790" s="3" t="str" cm="1">
        <f t="array" ref="W79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91" spans="1:23" x14ac:dyDescent="0.35">
      <c r="A791" s="2" t="s">
        <v>2743</v>
      </c>
      <c r="B791" s="2" t="s">
        <v>2744</v>
      </c>
      <c r="C791" s="2" t="s">
        <v>690</v>
      </c>
      <c r="D791" s="2" t="s">
        <v>432</v>
      </c>
      <c r="E791" s="2" t="s">
        <v>4</v>
      </c>
      <c r="F791" s="2" t="s">
        <v>5</v>
      </c>
      <c r="G791" s="2" t="s">
        <v>82</v>
      </c>
      <c r="H791" s="2" t="s">
        <v>35</v>
      </c>
      <c r="I791" s="2" t="s">
        <v>3393</v>
      </c>
      <c r="J791" s="3">
        <v>62.29</v>
      </c>
      <c r="K791" s="3">
        <v>62.29</v>
      </c>
      <c r="L791" s="2" t="s">
        <v>3391</v>
      </c>
      <c r="M791" s="2" t="s">
        <v>9</v>
      </c>
      <c r="N791" s="3">
        <v>974</v>
      </c>
      <c r="O791" s="2" t="s">
        <v>104</v>
      </c>
      <c r="P791" s="2" t="s">
        <v>30</v>
      </c>
      <c r="Q791" s="3"/>
      <c r="R791" s="3"/>
      <c r="S791" s="2" t="s">
        <v>21</v>
      </c>
      <c r="T791" s="4">
        <v>44955</v>
      </c>
      <c r="U791" s="2" t="s">
        <v>2745</v>
      </c>
      <c r="V791" s="6">
        <f>(Sales[[#This Row],[Price_retail]]-Sales[[#This Row],[Price_current]])/Sales[[#This Row],[Price_retail]]</f>
        <v>0</v>
      </c>
      <c r="W791" s="3" t="str" cm="1">
        <f t="array" ref="W79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2" spans="1:23" x14ac:dyDescent="0.35">
      <c r="A792" s="2" t="s">
        <v>2746</v>
      </c>
      <c r="B792" s="2" t="s">
        <v>2747</v>
      </c>
      <c r="C792" s="2" t="s">
        <v>1355</v>
      </c>
      <c r="D792" s="2" t="s">
        <v>959</v>
      </c>
      <c r="E792" s="2" t="s">
        <v>4</v>
      </c>
      <c r="F792" s="2" t="s">
        <v>17</v>
      </c>
      <c r="G792" s="2" t="s">
        <v>50</v>
      </c>
      <c r="H792" s="2" t="s">
        <v>418</v>
      </c>
      <c r="I792" s="2" t="s">
        <v>3393</v>
      </c>
      <c r="J792" s="3">
        <v>12.98</v>
      </c>
      <c r="K792" s="3">
        <v>12.98</v>
      </c>
      <c r="L792" s="2" t="s">
        <v>3391</v>
      </c>
      <c r="M792" s="2" t="s">
        <v>9</v>
      </c>
      <c r="N792" s="3">
        <v>480</v>
      </c>
      <c r="O792" s="2" t="s">
        <v>60</v>
      </c>
      <c r="P792" s="2" t="s">
        <v>128</v>
      </c>
      <c r="Q792" s="3"/>
      <c r="R792" s="3"/>
      <c r="S792" s="2" t="s">
        <v>12</v>
      </c>
      <c r="T792" s="4">
        <v>44955</v>
      </c>
      <c r="U792" s="2" t="s">
        <v>2748</v>
      </c>
      <c r="V792" s="6">
        <f>(Sales[[#This Row],[Price_retail]]-Sales[[#This Row],[Price_current]])/Sales[[#This Row],[Price_retail]]</f>
        <v>0</v>
      </c>
      <c r="W792" s="3" t="str" cm="1">
        <f t="array" ref="W7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3" spans="1:23" x14ac:dyDescent="0.35">
      <c r="A793" s="2" t="s">
        <v>2749</v>
      </c>
      <c r="B793" s="2" t="s">
        <v>2750</v>
      </c>
      <c r="C793" s="2" t="s">
        <v>616</v>
      </c>
      <c r="D793" s="2" t="s">
        <v>711</v>
      </c>
      <c r="E793" s="2" t="s">
        <v>4</v>
      </c>
      <c r="F793" s="2" t="s">
        <v>17</v>
      </c>
      <c r="G793" s="2" t="s">
        <v>50</v>
      </c>
      <c r="H793" s="2" t="s">
        <v>83</v>
      </c>
      <c r="I793" s="2" t="s">
        <v>3393</v>
      </c>
      <c r="J793" s="3">
        <v>13.22</v>
      </c>
      <c r="K793" s="3">
        <v>9.35</v>
      </c>
      <c r="L793" s="2" t="s">
        <v>8</v>
      </c>
      <c r="M793" s="2" t="s">
        <v>9</v>
      </c>
      <c r="N793" s="3">
        <v>915</v>
      </c>
      <c r="O793" s="2" t="s">
        <v>191</v>
      </c>
      <c r="P793" s="2" t="s">
        <v>238</v>
      </c>
      <c r="Q793" s="3"/>
      <c r="R793" s="3"/>
      <c r="S793" s="2" t="s">
        <v>12</v>
      </c>
      <c r="T793" s="4">
        <v>44955</v>
      </c>
      <c r="U793" s="2" t="s">
        <v>2751</v>
      </c>
      <c r="V793" s="6">
        <f>(Sales[[#This Row],[Price_retail]]-Sales[[#This Row],[Price_current]])/Sales[[#This Row],[Price_retail]]</f>
        <v>0.29273827534039343</v>
      </c>
      <c r="W793" s="3" t="str" cm="1">
        <f t="array" ref="W79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94" spans="1:23" x14ac:dyDescent="0.35">
      <c r="A794" s="2" t="s">
        <v>2752</v>
      </c>
      <c r="B794" s="2" t="s">
        <v>2753</v>
      </c>
      <c r="C794" s="2" t="s">
        <v>242</v>
      </c>
      <c r="D794" s="2" t="s">
        <v>1773</v>
      </c>
      <c r="E794" s="2" t="s">
        <v>4</v>
      </c>
      <c r="F794" s="2" t="s">
        <v>17</v>
      </c>
      <c r="G794" s="2" t="s">
        <v>18</v>
      </c>
      <c r="H794" s="2" t="s">
        <v>333</v>
      </c>
      <c r="I794" s="2" t="s">
        <v>3393</v>
      </c>
      <c r="J794" s="3">
        <v>16.22</v>
      </c>
      <c r="K794" s="3">
        <v>16.22</v>
      </c>
      <c r="L794" s="2" t="s">
        <v>248</v>
      </c>
      <c r="M794" s="2" t="s">
        <v>9</v>
      </c>
      <c r="N794" s="3">
        <v>521</v>
      </c>
      <c r="O794" s="2" t="s">
        <v>91</v>
      </c>
      <c r="P794" s="2" t="s">
        <v>53</v>
      </c>
      <c r="Q794" s="3"/>
      <c r="R794" s="3"/>
      <c r="S794" s="2" t="s">
        <v>21</v>
      </c>
      <c r="T794" s="4">
        <v>44955</v>
      </c>
      <c r="U794" s="2" t="s">
        <v>2754</v>
      </c>
      <c r="V794" s="6">
        <f>(Sales[[#This Row],[Price_retail]]-Sales[[#This Row],[Price_current]])/Sales[[#This Row],[Price_retail]]</f>
        <v>0</v>
      </c>
      <c r="W794" s="3" t="str" cm="1">
        <f t="array" ref="W79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5" spans="1:23" x14ac:dyDescent="0.35">
      <c r="A795" s="2" t="s">
        <v>2755</v>
      </c>
      <c r="B795" s="2" t="s">
        <v>2756</v>
      </c>
      <c r="C795" s="2" t="s">
        <v>484</v>
      </c>
      <c r="D795" s="2" t="s">
        <v>432</v>
      </c>
      <c r="E795" s="2" t="s">
        <v>4</v>
      </c>
      <c r="F795" s="2" t="s">
        <v>5</v>
      </c>
      <c r="G795" s="2" t="s">
        <v>6</v>
      </c>
      <c r="H795" s="2" t="s">
        <v>35</v>
      </c>
      <c r="I795" s="2" t="s">
        <v>3393</v>
      </c>
      <c r="J795" s="3">
        <v>28.49</v>
      </c>
      <c r="K795" s="3">
        <v>28.49</v>
      </c>
      <c r="L795" s="2" t="s">
        <v>3391</v>
      </c>
      <c r="M795" s="2" t="s">
        <v>9</v>
      </c>
      <c r="N795" s="3">
        <v>857</v>
      </c>
      <c r="O795" s="2" t="s">
        <v>10</v>
      </c>
      <c r="P795" s="2" t="s">
        <v>221</v>
      </c>
      <c r="Q795" s="3"/>
      <c r="R795" s="3"/>
      <c r="S795" s="2" t="s">
        <v>21</v>
      </c>
      <c r="T795" s="4">
        <v>44955</v>
      </c>
      <c r="U795" s="2" t="s">
        <v>2757</v>
      </c>
      <c r="V795" s="6">
        <f>(Sales[[#This Row],[Price_retail]]-Sales[[#This Row],[Price_current]])/Sales[[#This Row],[Price_retail]]</f>
        <v>0</v>
      </c>
      <c r="W795" s="3" t="str" cm="1">
        <f t="array" ref="W79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6" spans="1:23" x14ac:dyDescent="0.35">
      <c r="A796" s="2" t="s">
        <v>2758</v>
      </c>
      <c r="B796" s="2" t="s">
        <v>2759</v>
      </c>
      <c r="C796" s="2" t="s">
        <v>323</v>
      </c>
      <c r="D796" s="2" t="s">
        <v>327</v>
      </c>
      <c r="E796" s="2" t="s">
        <v>4</v>
      </c>
      <c r="F796" s="2" t="s">
        <v>5</v>
      </c>
      <c r="G796" s="2" t="s">
        <v>121</v>
      </c>
      <c r="H796" s="2" t="s">
        <v>110</v>
      </c>
      <c r="I796" s="2" t="s">
        <v>3390</v>
      </c>
      <c r="J796" s="3">
        <v>8.99</v>
      </c>
      <c r="K796" s="3">
        <v>8.99</v>
      </c>
      <c r="L796" s="2" t="s">
        <v>3391</v>
      </c>
      <c r="M796" s="2" t="s">
        <v>9</v>
      </c>
      <c r="N796" s="3">
        <v>767</v>
      </c>
      <c r="O796" s="2" t="s">
        <v>3392</v>
      </c>
      <c r="P796" s="2" t="s">
        <v>70</v>
      </c>
      <c r="Q796" s="3"/>
      <c r="R796" s="3"/>
      <c r="S796" s="2" t="s">
        <v>21</v>
      </c>
      <c r="T796" s="4">
        <v>44955</v>
      </c>
      <c r="U796" s="2" t="s">
        <v>2760</v>
      </c>
      <c r="V796" s="6">
        <f>(Sales[[#This Row],[Price_retail]]-Sales[[#This Row],[Price_current]])/Sales[[#This Row],[Price_retail]]</f>
        <v>0</v>
      </c>
      <c r="W796" s="3" t="str" cm="1">
        <f t="array" ref="W79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7" spans="1:23" x14ac:dyDescent="0.35">
      <c r="A797" s="2" t="s">
        <v>2761</v>
      </c>
      <c r="B797" s="2" t="s">
        <v>2762</v>
      </c>
      <c r="C797" s="2" t="s">
        <v>3394</v>
      </c>
      <c r="D797" s="2" t="s">
        <v>354</v>
      </c>
      <c r="E797" s="2" t="s">
        <v>4</v>
      </c>
      <c r="F797" s="2" t="s">
        <v>17</v>
      </c>
      <c r="G797" s="2" t="s">
        <v>50</v>
      </c>
      <c r="H797" s="2"/>
      <c r="I797" s="2" t="s">
        <v>3390</v>
      </c>
      <c r="J797" s="3">
        <v>20.09</v>
      </c>
      <c r="K797" s="3">
        <v>20.09</v>
      </c>
      <c r="L797" s="2" t="s">
        <v>3391</v>
      </c>
      <c r="M797" s="2" t="s">
        <v>9</v>
      </c>
      <c r="N797" s="3">
        <v>162</v>
      </c>
      <c r="O797" s="2" t="s">
        <v>60</v>
      </c>
      <c r="P797" s="2" t="s">
        <v>37</v>
      </c>
      <c r="Q797" s="3"/>
      <c r="R797" s="3"/>
      <c r="S797" s="2" t="s">
        <v>12</v>
      </c>
      <c r="T797" s="4">
        <v>44955</v>
      </c>
      <c r="U797" s="2" t="s">
        <v>2763</v>
      </c>
      <c r="V797" s="6">
        <f>(Sales[[#This Row],[Price_retail]]-Sales[[#This Row],[Price_current]])/Sales[[#This Row],[Price_retail]]</f>
        <v>0</v>
      </c>
      <c r="W797" s="3" t="str" cm="1">
        <f t="array" ref="W79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798" spans="1:23" x14ac:dyDescent="0.35">
      <c r="A798" s="2" t="s">
        <v>2764</v>
      </c>
      <c r="B798" s="2" t="s">
        <v>2765</v>
      </c>
      <c r="C798" s="2" t="s">
        <v>412</v>
      </c>
      <c r="D798" s="2" t="s">
        <v>1139</v>
      </c>
      <c r="E798" s="2" t="s">
        <v>4</v>
      </c>
      <c r="F798" s="2" t="s">
        <v>17</v>
      </c>
      <c r="G798" s="2" t="s">
        <v>50</v>
      </c>
      <c r="H798" s="2" t="s">
        <v>418</v>
      </c>
      <c r="I798" s="2" t="s">
        <v>3395</v>
      </c>
      <c r="J798" s="3">
        <v>9.98</v>
      </c>
      <c r="K798" s="3">
        <v>6.07</v>
      </c>
      <c r="L798" s="2" t="s">
        <v>8</v>
      </c>
      <c r="M798" s="2" t="s">
        <v>9</v>
      </c>
      <c r="N798" s="3">
        <v>443</v>
      </c>
      <c r="O798" s="2" t="s">
        <v>60</v>
      </c>
      <c r="P798" s="2" t="s">
        <v>843</v>
      </c>
      <c r="Q798" s="3"/>
      <c r="R798" s="3"/>
      <c r="S798" s="2" t="s">
        <v>12</v>
      </c>
      <c r="T798" s="4">
        <v>44955</v>
      </c>
      <c r="U798" s="2" t="s">
        <v>2766</v>
      </c>
      <c r="V798" s="6">
        <f>(Sales[[#This Row],[Price_retail]]-Sales[[#This Row],[Price_current]])/Sales[[#This Row],[Price_retail]]</f>
        <v>0.39178356713426854</v>
      </c>
      <c r="W798" s="3" t="str" cm="1">
        <f t="array" ref="W79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799" spans="1:23" x14ac:dyDescent="0.35">
      <c r="A799" s="2" t="s">
        <v>2767</v>
      </c>
      <c r="B799" s="2" t="s">
        <v>2768</v>
      </c>
      <c r="C799" s="2" t="s">
        <v>1010</v>
      </c>
      <c r="D799" s="2" t="s">
        <v>58</v>
      </c>
      <c r="E799" s="2" t="s">
        <v>4</v>
      </c>
      <c r="F799" s="2" t="s">
        <v>17</v>
      </c>
      <c r="G799" s="2" t="s">
        <v>18</v>
      </c>
      <c r="H799" s="2" t="s">
        <v>59</v>
      </c>
      <c r="I799" s="2" t="s">
        <v>3393</v>
      </c>
      <c r="J799" s="3">
        <v>21.21</v>
      </c>
      <c r="K799" s="3">
        <v>21.21</v>
      </c>
      <c r="L799" s="2" t="s">
        <v>3391</v>
      </c>
      <c r="M799" s="2" t="s">
        <v>9</v>
      </c>
      <c r="N799" s="3">
        <v>32</v>
      </c>
      <c r="O799" s="2" t="s">
        <v>3392</v>
      </c>
      <c r="P799" s="2" t="s">
        <v>3392</v>
      </c>
      <c r="Q799" s="3"/>
      <c r="R799" s="3"/>
      <c r="S799" s="2" t="s">
        <v>21</v>
      </c>
      <c r="T799" s="4">
        <v>44955</v>
      </c>
      <c r="U799" s="2" t="s">
        <v>2769</v>
      </c>
      <c r="V799" s="6">
        <f>(Sales[[#This Row],[Price_retail]]-Sales[[#This Row],[Price_current]])/Sales[[#This Row],[Price_retail]]</f>
        <v>0</v>
      </c>
      <c r="W799" s="3" t="str" cm="1">
        <f t="array" ref="W79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0" spans="1:23" x14ac:dyDescent="0.35">
      <c r="A800" s="2" t="s">
        <v>2770</v>
      </c>
      <c r="B800" s="2" t="s">
        <v>2771</v>
      </c>
      <c r="C800" s="2" t="s">
        <v>3423</v>
      </c>
      <c r="D800" s="2" t="s">
        <v>474</v>
      </c>
      <c r="E800" s="2" t="s">
        <v>4</v>
      </c>
      <c r="F800" s="2" t="s">
        <v>17</v>
      </c>
      <c r="G800" s="2" t="s">
        <v>18</v>
      </c>
      <c r="H800" s="2" t="s">
        <v>83</v>
      </c>
      <c r="I800" s="2" t="s">
        <v>3393</v>
      </c>
      <c r="J800" s="3">
        <v>11.92</v>
      </c>
      <c r="K800" s="3">
        <v>7.14</v>
      </c>
      <c r="L800" s="2" t="s">
        <v>8</v>
      </c>
      <c r="M800" s="2" t="s">
        <v>9</v>
      </c>
      <c r="N800" s="3">
        <v>202</v>
      </c>
      <c r="O800" s="2" t="s">
        <v>69</v>
      </c>
      <c r="P800" s="2" t="s">
        <v>76</v>
      </c>
      <c r="Q800" s="3"/>
      <c r="R800" s="3"/>
      <c r="S800" s="2" t="s">
        <v>21</v>
      </c>
      <c r="T800" s="4">
        <v>44955</v>
      </c>
      <c r="U800" s="2" t="s">
        <v>2772</v>
      </c>
      <c r="V800" s="6">
        <f>(Sales[[#This Row],[Price_retail]]-Sales[[#This Row],[Price_current]])/Sales[[#This Row],[Price_retail]]</f>
        <v>0.40100671140939598</v>
      </c>
      <c r="W800" s="3" t="str" cm="1">
        <f t="array" ref="W80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01" spans="1:23" x14ac:dyDescent="0.35">
      <c r="A801" s="2" t="s">
        <v>2773</v>
      </c>
      <c r="B801" s="2" t="s">
        <v>2774</v>
      </c>
      <c r="C801" s="2" t="s">
        <v>569</v>
      </c>
      <c r="D801" s="2" t="s">
        <v>857</v>
      </c>
      <c r="E801" s="2" t="s">
        <v>4</v>
      </c>
      <c r="F801" s="2" t="s">
        <v>5</v>
      </c>
      <c r="G801" s="2" t="s">
        <v>82</v>
      </c>
      <c r="H801" s="2" t="s">
        <v>51</v>
      </c>
      <c r="I801" s="2" t="s">
        <v>3395</v>
      </c>
      <c r="J801" s="3">
        <v>8.99</v>
      </c>
      <c r="K801" s="3">
        <v>8.99</v>
      </c>
      <c r="L801" s="2" t="s">
        <v>3391</v>
      </c>
      <c r="M801" s="2" t="s">
        <v>9</v>
      </c>
      <c r="N801" s="3">
        <v>799</v>
      </c>
      <c r="O801" s="2" t="s">
        <v>43</v>
      </c>
      <c r="P801" s="2" t="s">
        <v>177</v>
      </c>
      <c r="Q801" s="3"/>
      <c r="R801" s="3"/>
      <c r="S801" s="2" t="s">
        <v>21</v>
      </c>
      <c r="T801" s="4">
        <v>44955</v>
      </c>
      <c r="U801" s="2" t="s">
        <v>2775</v>
      </c>
      <c r="V801" s="6">
        <f>(Sales[[#This Row],[Price_retail]]-Sales[[#This Row],[Price_current]])/Sales[[#This Row],[Price_retail]]</f>
        <v>0</v>
      </c>
      <c r="W801" s="3" t="str" cm="1">
        <f t="array" ref="W80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2" spans="1:23" x14ac:dyDescent="0.35">
      <c r="A802" s="2" t="s">
        <v>2776</v>
      </c>
      <c r="B802" s="2" t="s">
        <v>2777</v>
      </c>
      <c r="C802" s="2" t="s">
        <v>2915</v>
      </c>
      <c r="D802" s="2" t="s">
        <v>1176</v>
      </c>
      <c r="E802" s="2" t="s">
        <v>4</v>
      </c>
      <c r="F802" s="2" t="s">
        <v>17</v>
      </c>
      <c r="G802" s="2" t="s">
        <v>67</v>
      </c>
      <c r="H802" s="2" t="s">
        <v>83</v>
      </c>
      <c r="I802" s="2" t="s">
        <v>3395</v>
      </c>
      <c r="J802" s="3">
        <v>25.63</v>
      </c>
      <c r="K802" s="3">
        <v>25.63</v>
      </c>
      <c r="L802" s="2" t="s">
        <v>3391</v>
      </c>
      <c r="M802" s="2" t="s">
        <v>9</v>
      </c>
      <c r="N802" s="3">
        <v>571</v>
      </c>
      <c r="O802" s="2" t="s">
        <v>29</v>
      </c>
      <c r="P802" s="2" t="s">
        <v>3392</v>
      </c>
      <c r="Q802" s="3"/>
      <c r="R802" s="3"/>
      <c r="S802" s="2" t="s">
        <v>12</v>
      </c>
      <c r="T802" s="4">
        <v>44955</v>
      </c>
      <c r="U802" s="2" t="s">
        <v>2778</v>
      </c>
      <c r="V802" s="6">
        <f>(Sales[[#This Row],[Price_retail]]-Sales[[#This Row],[Price_current]])/Sales[[#This Row],[Price_retail]]</f>
        <v>0</v>
      </c>
      <c r="W802" s="3" t="str" cm="1">
        <f t="array" ref="W80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3" spans="1:23" x14ac:dyDescent="0.35">
      <c r="A803" s="2" t="s">
        <v>2779</v>
      </c>
      <c r="B803" s="2" t="s">
        <v>2780</v>
      </c>
      <c r="C803" s="2" t="s">
        <v>2781</v>
      </c>
      <c r="D803" s="2" t="s">
        <v>1050</v>
      </c>
      <c r="E803" s="2" t="s">
        <v>4</v>
      </c>
      <c r="F803" s="2" t="s">
        <v>5</v>
      </c>
      <c r="G803" s="2" t="s">
        <v>82</v>
      </c>
      <c r="H803" s="2" t="s">
        <v>68</v>
      </c>
      <c r="I803" s="2" t="s">
        <v>3393</v>
      </c>
      <c r="J803" s="3">
        <v>19.079999999999998</v>
      </c>
      <c r="K803" s="3">
        <v>19.079999999999998</v>
      </c>
      <c r="L803" s="2" t="s">
        <v>3391</v>
      </c>
      <c r="M803" s="2" t="s">
        <v>9</v>
      </c>
      <c r="N803" s="3">
        <v>272</v>
      </c>
      <c r="O803" s="2" t="s">
        <v>104</v>
      </c>
      <c r="P803" s="2" t="s">
        <v>37</v>
      </c>
      <c r="Q803" s="3"/>
      <c r="R803" s="3"/>
      <c r="S803" s="2" t="s">
        <v>12</v>
      </c>
      <c r="T803" s="4">
        <v>44955</v>
      </c>
      <c r="U803" s="2" t="s">
        <v>2782</v>
      </c>
      <c r="V803" s="6">
        <f>(Sales[[#This Row],[Price_retail]]-Sales[[#This Row],[Price_current]])/Sales[[#This Row],[Price_retail]]</f>
        <v>0</v>
      </c>
      <c r="W803" s="3" t="str" cm="1">
        <f t="array" ref="W80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4" spans="1:23" x14ac:dyDescent="0.35">
      <c r="A804" s="2" t="s">
        <v>2783</v>
      </c>
      <c r="B804" s="2" t="s">
        <v>2784</v>
      </c>
      <c r="C804" s="2" t="s">
        <v>3412</v>
      </c>
      <c r="D804" s="2" t="s">
        <v>1598</v>
      </c>
      <c r="E804" s="2" t="s">
        <v>4</v>
      </c>
      <c r="F804" s="2" t="s">
        <v>5</v>
      </c>
      <c r="G804" s="2" t="s">
        <v>82</v>
      </c>
      <c r="H804" s="2" t="s">
        <v>418</v>
      </c>
      <c r="I804" s="2" t="s">
        <v>3395</v>
      </c>
      <c r="J804" s="3">
        <v>11.38</v>
      </c>
      <c r="K804" s="3">
        <v>7.49</v>
      </c>
      <c r="L804" s="2" t="s">
        <v>8</v>
      </c>
      <c r="M804" s="2" t="s">
        <v>9</v>
      </c>
      <c r="N804" s="3">
        <v>960</v>
      </c>
      <c r="O804" s="2" t="s">
        <v>267</v>
      </c>
      <c r="P804" s="2" t="s">
        <v>76</v>
      </c>
      <c r="Q804" s="3"/>
      <c r="R804" s="3"/>
      <c r="S804" s="2" t="s">
        <v>21</v>
      </c>
      <c r="T804" s="4">
        <v>44955</v>
      </c>
      <c r="U804" s="2" t="s">
        <v>2785</v>
      </c>
      <c r="V804" s="6">
        <f>(Sales[[#This Row],[Price_retail]]-Sales[[#This Row],[Price_current]])/Sales[[#This Row],[Price_retail]]</f>
        <v>0.34182776801405979</v>
      </c>
      <c r="W804" s="3" t="str" cm="1">
        <f t="array" ref="W80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05" spans="1:23" x14ac:dyDescent="0.35">
      <c r="A805" s="2" t="s">
        <v>2786</v>
      </c>
      <c r="B805" s="2" t="s">
        <v>2787</v>
      </c>
      <c r="C805" s="2" t="s">
        <v>3414</v>
      </c>
      <c r="D805" s="2" t="s">
        <v>1125</v>
      </c>
      <c r="E805" s="2" t="s">
        <v>4</v>
      </c>
      <c r="F805" s="2" t="s">
        <v>5</v>
      </c>
      <c r="G805" s="2" t="s">
        <v>121</v>
      </c>
      <c r="H805" s="2" t="s">
        <v>333</v>
      </c>
      <c r="I805" s="2" t="s">
        <v>3395</v>
      </c>
      <c r="J805" s="3">
        <v>11.01</v>
      </c>
      <c r="K805" s="3">
        <v>11.01</v>
      </c>
      <c r="L805" s="2" t="s">
        <v>3391</v>
      </c>
      <c r="M805" s="2" t="s">
        <v>9</v>
      </c>
      <c r="N805" s="3">
        <v>913</v>
      </c>
      <c r="O805" s="2" t="s">
        <v>347</v>
      </c>
      <c r="P805" s="2" t="s">
        <v>221</v>
      </c>
      <c r="Q805" s="3"/>
      <c r="R805" s="3"/>
      <c r="S805" s="2" t="s">
        <v>21</v>
      </c>
      <c r="T805" s="4">
        <v>44955</v>
      </c>
      <c r="U805" s="2" t="s">
        <v>2788</v>
      </c>
      <c r="V805" s="6">
        <f>(Sales[[#This Row],[Price_retail]]-Sales[[#This Row],[Price_current]])/Sales[[#This Row],[Price_retail]]</f>
        <v>0</v>
      </c>
      <c r="W805" s="3" t="str" cm="1">
        <f t="array" ref="W80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6" spans="1:23" x14ac:dyDescent="0.35">
      <c r="A806" s="2" t="s">
        <v>2789</v>
      </c>
      <c r="B806" s="2" t="s">
        <v>2790</v>
      </c>
      <c r="C806" s="2" t="s">
        <v>484</v>
      </c>
      <c r="D806" s="2" t="s">
        <v>511</v>
      </c>
      <c r="E806" s="2" t="s">
        <v>4</v>
      </c>
      <c r="F806" s="2" t="s">
        <v>5</v>
      </c>
      <c r="G806" s="2" t="s">
        <v>82</v>
      </c>
      <c r="H806" s="2" t="s">
        <v>7</v>
      </c>
      <c r="I806" s="2" t="s">
        <v>3393</v>
      </c>
      <c r="J806" s="3">
        <v>8.99</v>
      </c>
      <c r="K806" s="3">
        <v>7.19</v>
      </c>
      <c r="L806" s="2" t="s">
        <v>8</v>
      </c>
      <c r="M806" s="2" t="s">
        <v>9</v>
      </c>
      <c r="N806" s="3">
        <v>310</v>
      </c>
      <c r="O806" s="2" t="s">
        <v>287</v>
      </c>
      <c r="P806" s="2" t="s">
        <v>76</v>
      </c>
      <c r="Q806" s="3"/>
      <c r="R806" s="3"/>
      <c r="S806" s="2" t="s">
        <v>21</v>
      </c>
      <c r="T806" s="4">
        <v>44955</v>
      </c>
      <c r="U806" s="2" t="s">
        <v>2791</v>
      </c>
      <c r="V806" s="6">
        <f>(Sales[[#This Row],[Price_retail]]-Sales[[#This Row],[Price_current]])/Sales[[#This Row],[Price_retail]]</f>
        <v>0.20022246941045604</v>
      </c>
      <c r="W806" s="3" t="str" cm="1">
        <f t="array" ref="W80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07" spans="1:23" x14ac:dyDescent="0.35">
      <c r="A807" s="2" t="s">
        <v>2792</v>
      </c>
      <c r="B807" s="2" t="s">
        <v>2793</v>
      </c>
      <c r="C807" s="2" t="s">
        <v>1421</v>
      </c>
      <c r="D807" s="2" t="s">
        <v>537</v>
      </c>
      <c r="E807" s="2" t="s">
        <v>4</v>
      </c>
      <c r="F807" s="2" t="s">
        <v>5</v>
      </c>
      <c r="G807" s="2" t="s">
        <v>121</v>
      </c>
      <c r="H807" s="2" t="s">
        <v>145</v>
      </c>
      <c r="I807" s="2" t="s">
        <v>3390</v>
      </c>
      <c r="J807" s="3">
        <v>23.93</v>
      </c>
      <c r="K807" s="3">
        <v>23.93</v>
      </c>
      <c r="L807" s="2" t="s">
        <v>3391</v>
      </c>
      <c r="M807" s="2" t="s">
        <v>9</v>
      </c>
      <c r="N807" s="3">
        <v>213</v>
      </c>
      <c r="O807" s="2" t="s">
        <v>75</v>
      </c>
      <c r="P807" s="2" t="s">
        <v>3392</v>
      </c>
      <c r="Q807" s="3"/>
      <c r="R807" s="3"/>
      <c r="S807" s="2" t="s">
        <v>12</v>
      </c>
      <c r="T807" s="4">
        <v>44955</v>
      </c>
      <c r="U807" s="2" t="s">
        <v>2794</v>
      </c>
      <c r="V807" s="6">
        <f>(Sales[[#This Row],[Price_retail]]-Sales[[#This Row],[Price_current]])/Sales[[#This Row],[Price_retail]]</f>
        <v>0</v>
      </c>
      <c r="W807" s="3" t="str" cm="1">
        <f t="array" ref="W80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8" spans="1:23" x14ac:dyDescent="0.35">
      <c r="A808" s="2" t="s">
        <v>2795</v>
      </c>
      <c r="B808" s="2" t="s">
        <v>2796</v>
      </c>
      <c r="C808" s="2" t="s">
        <v>541</v>
      </c>
      <c r="D808" s="2" t="s">
        <v>621</v>
      </c>
      <c r="E808" s="2" t="s">
        <v>4</v>
      </c>
      <c r="F808" s="2" t="s">
        <v>17</v>
      </c>
      <c r="G808" s="2" t="s">
        <v>50</v>
      </c>
      <c r="H808" s="2" t="s">
        <v>68</v>
      </c>
      <c r="I808" s="2" t="s">
        <v>3393</v>
      </c>
      <c r="J808" s="3">
        <v>25.41</v>
      </c>
      <c r="K808" s="3">
        <v>25.41</v>
      </c>
      <c r="L808" s="2" t="s">
        <v>3391</v>
      </c>
      <c r="M808" s="2" t="s">
        <v>9</v>
      </c>
      <c r="N808" s="3">
        <v>22</v>
      </c>
      <c r="O808" s="2" t="s">
        <v>52</v>
      </c>
      <c r="P808" s="2" t="s">
        <v>169</v>
      </c>
      <c r="Q808" s="3"/>
      <c r="R808" s="3"/>
      <c r="S808" s="2" t="s">
        <v>21</v>
      </c>
      <c r="T808" s="4">
        <v>44955</v>
      </c>
      <c r="U808" s="2" t="s">
        <v>2797</v>
      </c>
      <c r="V808" s="6">
        <f>(Sales[[#This Row],[Price_retail]]-Sales[[#This Row],[Price_current]])/Sales[[#This Row],[Price_retail]]</f>
        <v>0</v>
      </c>
      <c r="W808" s="3" t="str" cm="1">
        <f t="array" ref="W80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09" spans="1:23" x14ac:dyDescent="0.35">
      <c r="A809" s="2" t="s">
        <v>2798</v>
      </c>
      <c r="B809" s="2" t="s">
        <v>2799</v>
      </c>
      <c r="C809" s="2" t="s">
        <v>1154</v>
      </c>
      <c r="D809" s="2" t="s">
        <v>1379</v>
      </c>
      <c r="E809" s="2" t="s">
        <v>4</v>
      </c>
      <c r="F809" s="2" t="s">
        <v>17</v>
      </c>
      <c r="G809" s="2" t="s">
        <v>27</v>
      </c>
      <c r="H809" s="2" t="s">
        <v>28</v>
      </c>
      <c r="I809" s="2" t="s">
        <v>3393</v>
      </c>
      <c r="J809" s="3">
        <v>9.65</v>
      </c>
      <c r="K809" s="3">
        <v>9.65</v>
      </c>
      <c r="L809" s="2" t="s">
        <v>3391</v>
      </c>
      <c r="M809" s="2" t="s">
        <v>9</v>
      </c>
      <c r="N809" s="3">
        <v>504</v>
      </c>
      <c r="O809" s="2" t="s">
        <v>347</v>
      </c>
      <c r="P809" s="2" t="s">
        <v>288</v>
      </c>
      <c r="Q809" s="3"/>
      <c r="R809" s="3"/>
      <c r="S809" s="2" t="s">
        <v>21</v>
      </c>
      <c r="T809" s="4">
        <v>44955</v>
      </c>
      <c r="U809" s="2" t="s">
        <v>2800</v>
      </c>
      <c r="V809" s="6">
        <f>(Sales[[#This Row],[Price_retail]]-Sales[[#This Row],[Price_current]])/Sales[[#This Row],[Price_retail]]</f>
        <v>0</v>
      </c>
      <c r="W809" s="3" t="str" cm="1">
        <f t="array" ref="W80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0" spans="1:23" x14ac:dyDescent="0.35">
      <c r="A810" s="2" t="s">
        <v>2801</v>
      </c>
      <c r="B810" s="2" t="s">
        <v>2802</v>
      </c>
      <c r="C810" s="2" t="s">
        <v>978</v>
      </c>
      <c r="D810" s="2" t="s">
        <v>144</v>
      </c>
      <c r="E810" s="2" t="s">
        <v>4</v>
      </c>
      <c r="F810" s="2" t="s">
        <v>17</v>
      </c>
      <c r="G810" s="2" t="s">
        <v>50</v>
      </c>
      <c r="H810" s="2" t="s">
        <v>145</v>
      </c>
      <c r="I810" s="2" t="s">
        <v>3393</v>
      </c>
      <c r="J810" s="3">
        <v>11.62</v>
      </c>
      <c r="K810" s="3">
        <v>11.62</v>
      </c>
      <c r="L810" s="2" t="s">
        <v>3391</v>
      </c>
      <c r="M810" s="2" t="s">
        <v>9</v>
      </c>
      <c r="N810" s="3">
        <v>528</v>
      </c>
      <c r="O810" s="2" t="s">
        <v>3392</v>
      </c>
      <c r="P810" s="2" t="s">
        <v>186</v>
      </c>
      <c r="Q810" s="3"/>
      <c r="R810" s="3"/>
      <c r="S810" s="2" t="s">
        <v>21</v>
      </c>
      <c r="T810" s="4">
        <v>44955</v>
      </c>
      <c r="U810" s="2" t="s">
        <v>2803</v>
      </c>
      <c r="V810" s="6">
        <f>(Sales[[#This Row],[Price_retail]]-Sales[[#This Row],[Price_current]])/Sales[[#This Row],[Price_retail]]</f>
        <v>0</v>
      </c>
      <c r="W810" s="3" t="str" cm="1">
        <f t="array" ref="W81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1" spans="1:23" x14ac:dyDescent="0.35">
      <c r="A811" s="2" t="s">
        <v>2804</v>
      </c>
      <c r="B811" s="2" t="s">
        <v>2805</v>
      </c>
      <c r="C811" s="2" t="s">
        <v>41</v>
      </c>
      <c r="D811" s="2" t="s">
        <v>660</v>
      </c>
      <c r="E811" s="2" t="s">
        <v>4</v>
      </c>
      <c r="F811" s="2" t="s">
        <v>5</v>
      </c>
      <c r="G811" s="2" t="s">
        <v>121</v>
      </c>
      <c r="H811" s="2" t="s">
        <v>237</v>
      </c>
      <c r="I811" s="2" t="s">
        <v>3390</v>
      </c>
      <c r="J811" s="3">
        <v>15.11</v>
      </c>
      <c r="K811" s="3">
        <v>15.11</v>
      </c>
      <c r="L811" s="2" t="s">
        <v>3391</v>
      </c>
      <c r="M811" s="2" t="s">
        <v>9</v>
      </c>
      <c r="N811" s="3">
        <v>551</v>
      </c>
      <c r="O811" s="2" t="s">
        <v>191</v>
      </c>
      <c r="P811" s="2" t="s">
        <v>2806</v>
      </c>
      <c r="Q811" s="3"/>
      <c r="R811" s="3"/>
      <c r="S811" s="2" t="s">
        <v>21</v>
      </c>
      <c r="T811" s="4">
        <v>44955</v>
      </c>
      <c r="U811" s="2" t="s">
        <v>2807</v>
      </c>
      <c r="V811" s="6">
        <f>(Sales[[#This Row],[Price_retail]]-Sales[[#This Row],[Price_current]])/Sales[[#This Row],[Price_retail]]</f>
        <v>0</v>
      </c>
      <c r="W811" s="3" t="str" cm="1">
        <f t="array" ref="W81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2" spans="1:23" x14ac:dyDescent="0.35">
      <c r="A812" s="2" t="s">
        <v>2808</v>
      </c>
      <c r="B812" s="2" t="s">
        <v>2809</v>
      </c>
      <c r="C812" s="2" t="s">
        <v>65</v>
      </c>
      <c r="D812" s="2" t="s">
        <v>392</v>
      </c>
      <c r="E812" s="2" t="s">
        <v>4</v>
      </c>
      <c r="F812" s="2" t="s">
        <v>17</v>
      </c>
      <c r="G812" s="2" t="s">
        <v>18</v>
      </c>
      <c r="H812" s="2" t="s">
        <v>19</v>
      </c>
      <c r="I812" s="2" t="s">
        <v>3390</v>
      </c>
      <c r="J812" s="3">
        <v>54.54</v>
      </c>
      <c r="K812" s="3">
        <v>31.38</v>
      </c>
      <c r="L812" s="2" t="s">
        <v>8</v>
      </c>
      <c r="M812" s="2" t="s">
        <v>9</v>
      </c>
      <c r="N812" s="3">
        <v>973</v>
      </c>
      <c r="O812" s="2" t="s">
        <v>3392</v>
      </c>
      <c r="P812" s="2" t="s">
        <v>328</v>
      </c>
      <c r="Q812" s="3"/>
      <c r="R812" s="3"/>
      <c r="S812" s="2" t="s">
        <v>12</v>
      </c>
      <c r="T812" s="4">
        <v>44955</v>
      </c>
      <c r="U812" s="2" t="s">
        <v>2810</v>
      </c>
      <c r="V812" s="6">
        <f>(Sales[[#This Row],[Price_retail]]-Sales[[#This Row],[Price_current]])/Sales[[#This Row],[Price_retail]]</f>
        <v>0.42464246424642466</v>
      </c>
      <c r="W812" s="3" t="str" cm="1">
        <f t="array" ref="W81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13" spans="1:23" x14ac:dyDescent="0.35">
      <c r="A813" s="2" t="s">
        <v>2811</v>
      </c>
      <c r="B813" s="2" t="s">
        <v>2812</v>
      </c>
      <c r="C813" s="2" t="s">
        <v>41</v>
      </c>
      <c r="D813" s="2" t="s">
        <v>1165</v>
      </c>
      <c r="E813" s="2" t="s">
        <v>4</v>
      </c>
      <c r="F813" s="2" t="s">
        <v>17</v>
      </c>
      <c r="G813" s="2" t="s">
        <v>18</v>
      </c>
      <c r="H813" s="2" t="s">
        <v>185</v>
      </c>
      <c r="I813" s="2" t="s">
        <v>3390</v>
      </c>
      <c r="J813" s="3">
        <v>21.11</v>
      </c>
      <c r="K813" s="3">
        <v>13.7</v>
      </c>
      <c r="L813" s="2" t="s">
        <v>8</v>
      </c>
      <c r="M813" s="2" t="s">
        <v>9</v>
      </c>
      <c r="N813" s="3">
        <v>47</v>
      </c>
      <c r="O813" s="2" t="s">
        <v>52</v>
      </c>
      <c r="P813" s="2" t="s">
        <v>44</v>
      </c>
      <c r="Q813" s="3"/>
      <c r="R813" s="3"/>
      <c r="S813" s="2" t="s">
        <v>21</v>
      </c>
      <c r="T813" s="4">
        <v>44955</v>
      </c>
      <c r="U813" s="2" t="s">
        <v>2813</v>
      </c>
      <c r="V813" s="6">
        <f>(Sales[[#This Row],[Price_retail]]-Sales[[#This Row],[Price_current]])/Sales[[#This Row],[Price_retail]]</f>
        <v>0.35101847465656089</v>
      </c>
      <c r="W813" s="3" t="str" cm="1">
        <f t="array" ref="W81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14" spans="1:23" x14ac:dyDescent="0.35">
      <c r="A814" s="2" t="s">
        <v>2814</v>
      </c>
      <c r="B814" s="2" t="s">
        <v>2815</v>
      </c>
      <c r="C814" s="2" t="s">
        <v>242</v>
      </c>
      <c r="D814" s="2" t="s">
        <v>236</v>
      </c>
      <c r="E814" s="2" t="s">
        <v>4</v>
      </c>
      <c r="F814" s="2" t="s">
        <v>17</v>
      </c>
      <c r="G814" s="2" t="s">
        <v>67</v>
      </c>
      <c r="H814" s="2" t="s">
        <v>237</v>
      </c>
      <c r="I814" s="2" t="s">
        <v>3395</v>
      </c>
      <c r="J814" s="3">
        <v>9.31</v>
      </c>
      <c r="K814" s="3">
        <v>9.31</v>
      </c>
      <c r="L814" s="2" t="s">
        <v>3391</v>
      </c>
      <c r="M814" s="2" t="s">
        <v>9</v>
      </c>
      <c r="N814" s="3">
        <v>379</v>
      </c>
      <c r="O814" s="2" t="s">
        <v>29</v>
      </c>
      <c r="P814" s="2" t="s">
        <v>70</v>
      </c>
      <c r="Q814" s="3"/>
      <c r="R814" s="3"/>
      <c r="S814" s="2" t="s">
        <v>21</v>
      </c>
      <c r="T814" s="4">
        <v>44955</v>
      </c>
      <c r="U814" s="2" t="s">
        <v>2816</v>
      </c>
      <c r="V814" s="6">
        <f>(Sales[[#This Row],[Price_retail]]-Sales[[#This Row],[Price_current]])/Sales[[#This Row],[Price_retail]]</f>
        <v>0</v>
      </c>
      <c r="W814" s="3" t="str" cm="1">
        <f t="array" ref="W8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5" spans="1:23" x14ac:dyDescent="0.35">
      <c r="A815" s="2" t="s">
        <v>2817</v>
      </c>
      <c r="B815" s="2" t="s">
        <v>2818</v>
      </c>
      <c r="C815" s="2" t="s">
        <v>252</v>
      </c>
      <c r="D815" s="2" t="s">
        <v>474</v>
      </c>
      <c r="E815" s="2" t="s">
        <v>4</v>
      </c>
      <c r="F815" s="2" t="s">
        <v>17</v>
      </c>
      <c r="G815" s="2" t="s">
        <v>50</v>
      </c>
      <c r="H815" s="2" t="s">
        <v>83</v>
      </c>
      <c r="I815" s="2" t="s">
        <v>3390</v>
      </c>
      <c r="J815" s="3">
        <v>18.489999999999998</v>
      </c>
      <c r="K815" s="3">
        <v>12.21</v>
      </c>
      <c r="L815" s="2" t="s">
        <v>8</v>
      </c>
      <c r="M815" s="2" t="s">
        <v>9</v>
      </c>
      <c r="N815" s="3">
        <v>496</v>
      </c>
      <c r="O815" s="2" t="s">
        <v>267</v>
      </c>
      <c r="P815" s="2" t="s">
        <v>92</v>
      </c>
      <c r="Q815" s="3"/>
      <c r="R815" s="3"/>
      <c r="S815" s="2" t="s">
        <v>21</v>
      </c>
      <c r="T815" s="4">
        <v>44955</v>
      </c>
      <c r="U815" s="2" t="s">
        <v>2819</v>
      </c>
      <c r="V815" s="6">
        <f>(Sales[[#This Row],[Price_retail]]-Sales[[#This Row],[Price_current]])/Sales[[#This Row],[Price_retail]]</f>
        <v>0.339643050297458</v>
      </c>
      <c r="W815" s="3" t="str" cm="1">
        <f t="array" ref="W81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16" spans="1:23" x14ac:dyDescent="0.35">
      <c r="A816" s="2" t="s">
        <v>2820</v>
      </c>
      <c r="B816" s="2" t="s">
        <v>2821</v>
      </c>
      <c r="C816" s="2" t="s">
        <v>25</v>
      </c>
      <c r="D816" s="2" t="s">
        <v>526</v>
      </c>
      <c r="E816" s="2" t="s">
        <v>4</v>
      </c>
      <c r="F816" s="2" t="s">
        <v>5</v>
      </c>
      <c r="G816" s="2" t="s">
        <v>82</v>
      </c>
      <c r="H816" s="2"/>
      <c r="I816" s="2" t="s">
        <v>3393</v>
      </c>
      <c r="J816" s="3">
        <v>8.99</v>
      </c>
      <c r="K816" s="3">
        <v>8.99</v>
      </c>
      <c r="L816" s="2" t="s">
        <v>3391</v>
      </c>
      <c r="M816" s="2" t="s">
        <v>9</v>
      </c>
      <c r="N816" s="3">
        <v>382</v>
      </c>
      <c r="O816" s="2" t="s">
        <v>191</v>
      </c>
      <c r="P816" s="2" t="s">
        <v>238</v>
      </c>
      <c r="Q816" s="3"/>
      <c r="R816" s="3"/>
      <c r="S816" s="2" t="s">
        <v>12</v>
      </c>
      <c r="T816" s="4">
        <v>44955</v>
      </c>
      <c r="U816" s="2" t="s">
        <v>2822</v>
      </c>
      <c r="V816" s="6">
        <f>(Sales[[#This Row],[Price_retail]]-Sales[[#This Row],[Price_current]])/Sales[[#This Row],[Price_retail]]</f>
        <v>0</v>
      </c>
      <c r="W816" s="3" t="str" cm="1">
        <f t="array" ref="W81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7" spans="1:23" x14ac:dyDescent="0.35">
      <c r="A817" s="2" t="s">
        <v>2823</v>
      </c>
      <c r="B817" s="2" t="s">
        <v>2824</v>
      </c>
      <c r="C817" s="2" t="s">
        <v>242</v>
      </c>
      <c r="D817" s="2" t="s">
        <v>887</v>
      </c>
      <c r="E817" s="2" t="s">
        <v>4</v>
      </c>
      <c r="F817" s="2" t="s">
        <v>5</v>
      </c>
      <c r="G817" s="2" t="s">
        <v>6</v>
      </c>
      <c r="H817" s="2" t="s">
        <v>185</v>
      </c>
      <c r="I817" s="2" t="s">
        <v>3390</v>
      </c>
      <c r="J817" s="3">
        <v>23.22</v>
      </c>
      <c r="K817" s="3">
        <v>23.22</v>
      </c>
      <c r="L817" s="2" t="s">
        <v>3391</v>
      </c>
      <c r="M817" s="2" t="s">
        <v>9</v>
      </c>
      <c r="N817" s="3">
        <v>185</v>
      </c>
      <c r="O817" s="2" t="s">
        <v>3392</v>
      </c>
      <c r="P817" s="2" t="s">
        <v>334</v>
      </c>
      <c r="Q817" s="3"/>
      <c r="R817" s="3"/>
      <c r="S817" s="2" t="s">
        <v>12</v>
      </c>
      <c r="T817" s="4">
        <v>44955</v>
      </c>
      <c r="U817" s="2" t="s">
        <v>2825</v>
      </c>
      <c r="V817" s="6">
        <f>(Sales[[#This Row],[Price_retail]]-Sales[[#This Row],[Price_current]])/Sales[[#This Row],[Price_retail]]</f>
        <v>0</v>
      </c>
      <c r="W817" s="3" t="str" cm="1">
        <f t="array" ref="W81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8" spans="1:23" x14ac:dyDescent="0.35">
      <c r="A818" s="2" t="s">
        <v>2826</v>
      </c>
      <c r="B818" s="2" t="s">
        <v>2827</v>
      </c>
      <c r="C818" s="2" t="s">
        <v>412</v>
      </c>
      <c r="D818" s="2" t="s">
        <v>674</v>
      </c>
      <c r="E818" s="2" t="s">
        <v>4</v>
      </c>
      <c r="F818" s="2" t="s">
        <v>5</v>
      </c>
      <c r="G818" s="2" t="s">
        <v>121</v>
      </c>
      <c r="H818" s="2" t="s">
        <v>333</v>
      </c>
      <c r="I818" s="2" t="s">
        <v>3395</v>
      </c>
      <c r="J818" s="3">
        <v>39.31</v>
      </c>
      <c r="K818" s="3">
        <v>39.31</v>
      </c>
      <c r="L818" s="2" t="s">
        <v>3391</v>
      </c>
      <c r="M818" s="2" t="s">
        <v>9</v>
      </c>
      <c r="N818" s="3">
        <v>206</v>
      </c>
      <c r="O818" s="2" t="s">
        <v>60</v>
      </c>
      <c r="P818" s="2" t="s">
        <v>44</v>
      </c>
      <c r="Q818" s="3"/>
      <c r="R818" s="3"/>
      <c r="S818" s="2" t="s">
        <v>21</v>
      </c>
      <c r="T818" s="4">
        <v>44955</v>
      </c>
      <c r="U818" s="2" t="s">
        <v>2828</v>
      </c>
      <c r="V818" s="6">
        <f>(Sales[[#This Row],[Price_retail]]-Sales[[#This Row],[Price_current]])/Sales[[#This Row],[Price_retail]]</f>
        <v>0</v>
      </c>
      <c r="W818" s="3" t="str" cm="1">
        <f t="array" ref="W8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19" spans="1:23" x14ac:dyDescent="0.35">
      <c r="A819" s="2" t="s">
        <v>2829</v>
      </c>
      <c r="B819" s="2" t="s">
        <v>2830</v>
      </c>
      <c r="C819" s="2" t="s">
        <v>2915</v>
      </c>
      <c r="D819" s="2" t="s">
        <v>758</v>
      </c>
      <c r="E819" s="2" t="s">
        <v>4</v>
      </c>
      <c r="F819" s="2" t="s">
        <v>5</v>
      </c>
      <c r="G819" s="2" t="s">
        <v>121</v>
      </c>
      <c r="H819" s="2" t="s">
        <v>168</v>
      </c>
      <c r="I819" s="2" t="s">
        <v>3390</v>
      </c>
      <c r="J819" s="3">
        <v>39.4</v>
      </c>
      <c r="K819" s="3">
        <v>23.28</v>
      </c>
      <c r="L819" s="2" t="s">
        <v>8</v>
      </c>
      <c r="M819" s="2" t="s">
        <v>9</v>
      </c>
      <c r="N819" s="3">
        <v>411</v>
      </c>
      <c r="O819" s="2" t="s">
        <v>43</v>
      </c>
      <c r="P819" s="2" t="s">
        <v>3392</v>
      </c>
      <c r="Q819" s="3"/>
      <c r="R819" s="3"/>
      <c r="S819" s="2" t="s">
        <v>21</v>
      </c>
      <c r="T819" s="4">
        <v>44955</v>
      </c>
      <c r="U819" s="2" t="s">
        <v>2831</v>
      </c>
      <c r="V819" s="6">
        <f>(Sales[[#This Row],[Price_retail]]-Sales[[#This Row],[Price_current]])/Sales[[#This Row],[Price_retail]]</f>
        <v>0.40913705583756338</v>
      </c>
      <c r="W819" s="3" t="str" cm="1">
        <f t="array" ref="W81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20" spans="1:23" x14ac:dyDescent="0.35">
      <c r="A820" s="2" t="s">
        <v>2832</v>
      </c>
      <c r="B820" s="2" t="s">
        <v>2833</v>
      </c>
      <c r="C820" s="2" t="s">
        <v>541</v>
      </c>
      <c r="D820" s="2" t="s">
        <v>49</v>
      </c>
      <c r="E820" s="2" t="s">
        <v>4</v>
      </c>
      <c r="F820" s="2" t="s">
        <v>17</v>
      </c>
      <c r="G820" s="2" t="s">
        <v>27</v>
      </c>
      <c r="H820" s="2" t="s">
        <v>51</v>
      </c>
      <c r="I820" s="2" t="s">
        <v>3395</v>
      </c>
      <c r="J820" s="3">
        <v>23.43</v>
      </c>
      <c r="K820" s="3">
        <v>16.47</v>
      </c>
      <c r="L820" s="2" t="s">
        <v>8</v>
      </c>
      <c r="M820" s="2" t="s">
        <v>9</v>
      </c>
      <c r="N820" s="3">
        <v>885</v>
      </c>
      <c r="O820" s="2" t="s">
        <v>98</v>
      </c>
      <c r="P820" s="2" t="s">
        <v>186</v>
      </c>
      <c r="Q820" s="3"/>
      <c r="R820" s="3"/>
      <c r="S820" s="2" t="s">
        <v>21</v>
      </c>
      <c r="T820" s="4">
        <v>44955</v>
      </c>
      <c r="U820" s="2" t="s">
        <v>2834</v>
      </c>
      <c r="V820" s="6">
        <f>(Sales[[#This Row],[Price_retail]]-Sales[[#This Row],[Price_current]])/Sales[[#This Row],[Price_retail]]</f>
        <v>0.29705505761843792</v>
      </c>
      <c r="W820" s="3" t="str" cm="1">
        <f t="array" ref="W82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21" spans="1:23" x14ac:dyDescent="0.35">
      <c r="A821" s="2" t="s">
        <v>2835</v>
      </c>
      <c r="B821" s="2" t="s">
        <v>2836</v>
      </c>
      <c r="C821" s="2" t="s">
        <v>242</v>
      </c>
      <c r="D821" s="2" t="s">
        <v>413</v>
      </c>
      <c r="E821" s="2" t="s">
        <v>4</v>
      </c>
      <c r="F821" s="2" t="s">
        <v>17</v>
      </c>
      <c r="G821" s="2" t="s">
        <v>50</v>
      </c>
      <c r="H821" s="2" t="s">
        <v>19</v>
      </c>
      <c r="I821" s="2" t="s">
        <v>3393</v>
      </c>
      <c r="J821" s="3">
        <v>11.35</v>
      </c>
      <c r="K821" s="3">
        <v>11.35</v>
      </c>
      <c r="L821" s="2" t="s">
        <v>3391</v>
      </c>
      <c r="M821" s="2" t="s">
        <v>9</v>
      </c>
      <c r="N821" s="3">
        <v>537</v>
      </c>
      <c r="O821" s="2" t="s">
        <v>20</v>
      </c>
      <c r="P821" s="2" t="s">
        <v>553</v>
      </c>
      <c r="Q821" s="3"/>
      <c r="R821" s="3"/>
      <c r="S821" s="2" t="s">
        <v>21</v>
      </c>
      <c r="T821" s="4">
        <v>44955</v>
      </c>
      <c r="U821" s="2" t="s">
        <v>2837</v>
      </c>
      <c r="V821" s="6">
        <f>(Sales[[#This Row],[Price_retail]]-Sales[[#This Row],[Price_current]])/Sales[[#This Row],[Price_retail]]</f>
        <v>0</v>
      </c>
      <c r="W821" s="3" t="str" cm="1">
        <f t="array" ref="W8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22" spans="1:23" x14ac:dyDescent="0.35">
      <c r="A822" s="2" t="s">
        <v>2838</v>
      </c>
      <c r="B822" s="2" t="s">
        <v>2839</v>
      </c>
      <c r="C822" s="2" t="s">
        <v>750</v>
      </c>
      <c r="D822" s="2" t="s">
        <v>153</v>
      </c>
      <c r="E822" s="2" t="s">
        <v>4</v>
      </c>
      <c r="F822" s="2" t="s">
        <v>17</v>
      </c>
      <c r="G822" s="2" t="s">
        <v>27</v>
      </c>
      <c r="H822" s="2" t="s">
        <v>28</v>
      </c>
      <c r="I822" s="2" t="s">
        <v>3395</v>
      </c>
      <c r="J822" s="3">
        <v>8.99</v>
      </c>
      <c r="K822" s="3">
        <v>5.04</v>
      </c>
      <c r="L822" s="2" t="s">
        <v>8</v>
      </c>
      <c r="M822" s="2" t="s">
        <v>9</v>
      </c>
      <c r="N822" s="3">
        <v>702</v>
      </c>
      <c r="O822" s="2" t="s">
        <v>3392</v>
      </c>
      <c r="P822" s="2" t="s">
        <v>37</v>
      </c>
      <c r="Q822" s="3"/>
      <c r="R822" s="3"/>
      <c r="S822" s="2" t="s">
        <v>21</v>
      </c>
      <c r="T822" s="4">
        <v>44955</v>
      </c>
      <c r="U822" s="2" t="s">
        <v>2840</v>
      </c>
      <c r="V822" s="6">
        <f>(Sales[[#This Row],[Price_retail]]-Sales[[#This Row],[Price_current]])/Sales[[#This Row],[Price_retail]]</f>
        <v>0.43937708565072303</v>
      </c>
      <c r="W822" s="3" t="str" cm="1">
        <f t="array" ref="W82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23" spans="1:23" x14ac:dyDescent="0.35">
      <c r="A823" s="2" t="s">
        <v>2841</v>
      </c>
      <c r="B823" s="2" t="s">
        <v>2842</v>
      </c>
      <c r="C823" s="2" t="s">
        <v>3410</v>
      </c>
      <c r="D823" s="2" t="s">
        <v>1247</v>
      </c>
      <c r="E823" s="2" t="s">
        <v>4</v>
      </c>
      <c r="F823" s="2" t="s">
        <v>5</v>
      </c>
      <c r="G823" s="2" t="s">
        <v>6</v>
      </c>
      <c r="H823" s="2" t="s">
        <v>237</v>
      </c>
      <c r="I823" s="2" t="s">
        <v>3393</v>
      </c>
      <c r="J823" s="3">
        <v>8.99</v>
      </c>
      <c r="K823" s="3">
        <v>7.05</v>
      </c>
      <c r="L823" s="2" t="s">
        <v>8</v>
      </c>
      <c r="M823" s="2" t="s">
        <v>9</v>
      </c>
      <c r="N823" s="3">
        <v>542</v>
      </c>
      <c r="O823" s="2" t="s">
        <v>43</v>
      </c>
      <c r="P823" s="2" t="s">
        <v>128</v>
      </c>
      <c r="Q823" s="3"/>
      <c r="R823" s="3"/>
      <c r="S823" s="2" t="s">
        <v>21</v>
      </c>
      <c r="T823" s="4">
        <v>44955</v>
      </c>
      <c r="U823" s="2" t="s">
        <v>2843</v>
      </c>
      <c r="V823" s="6">
        <f>(Sales[[#This Row],[Price_retail]]-Sales[[#This Row],[Price_current]])/Sales[[#This Row],[Price_retail]]</f>
        <v>0.21579532814238045</v>
      </c>
      <c r="W823" s="3" t="str" cm="1">
        <f t="array" ref="W82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24" spans="1:23" x14ac:dyDescent="0.35">
      <c r="A824" s="2" t="s">
        <v>2844</v>
      </c>
      <c r="B824" s="2" t="s">
        <v>2845</v>
      </c>
      <c r="C824" s="2" t="s">
        <v>3394</v>
      </c>
      <c r="D824" s="2" t="s">
        <v>149</v>
      </c>
      <c r="E824" s="2" t="s">
        <v>4</v>
      </c>
      <c r="F824" s="2" t="s">
        <v>5</v>
      </c>
      <c r="G824" s="2" t="s">
        <v>121</v>
      </c>
      <c r="H824" s="2" t="s">
        <v>28</v>
      </c>
      <c r="I824" s="2" t="s">
        <v>3390</v>
      </c>
      <c r="J824" s="3">
        <v>8.99</v>
      </c>
      <c r="K824" s="3">
        <v>8.99</v>
      </c>
      <c r="L824" s="2" t="s">
        <v>3391</v>
      </c>
      <c r="M824" s="2" t="s">
        <v>9</v>
      </c>
      <c r="N824" s="3">
        <v>306</v>
      </c>
      <c r="O824" s="2" t="s">
        <v>104</v>
      </c>
      <c r="P824" s="2" t="s">
        <v>53</v>
      </c>
      <c r="Q824" s="3"/>
      <c r="R824" s="3"/>
      <c r="S824" s="2" t="s">
        <v>12</v>
      </c>
      <c r="T824" s="4">
        <v>44955</v>
      </c>
      <c r="U824" s="2" t="s">
        <v>2846</v>
      </c>
      <c r="V824" s="6">
        <f>(Sales[[#This Row],[Price_retail]]-Sales[[#This Row],[Price_current]])/Sales[[#This Row],[Price_retail]]</f>
        <v>0</v>
      </c>
      <c r="W824" s="3" t="str" cm="1">
        <f t="array" ref="W82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25" spans="1:23" x14ac:dyDescent="0.35">
      <c r="A825" s="2" t="s">
        <v>2847</v>
      </c>
      <c r="B825" s="2" t="s">
        <v>2848</v>
      </c>
      <c r="C825" s="2" t="s">
        <v>65</v>
      </c>
      <c r="D825" s="2" t="s">
        <v>301</v>
      </c>
      <c r="E825" s="2" t="s">
        <v>4</v>
      </c>
      <c r="F825" s="2" t="s">
        <v>17</v>
      </c>
      <c r="G825" s="2" t="s">
        <v>50</v>
      </c>
      <c r="H825" s="2" t="s">
        <v>145</v>
      </c>
      <c r="I825" s="2" t="s">
        <v>3393</v>
      </c>
      <c r="J825" s="3">
        <v>22.91</v>
      </c>
      <c r="K825" s="3">
        <v>22.91</v>
      </c>
      <c r="L825" s="2" t="s">
        <v>3391</v>
      </c>
      <c r="M825" s="2" t="s">
        <v>9</v>
      </c>
      <c r="N825" s="3">
        <v>826</v>
      </c>
      <c r="O825" s="2" t="s">
        <v>60</v>
      </c>
      <c r="P825" s="2" t="s">
        <v>238</v>
      </c>
      <c r="Q825" s="3"/>
      <c r="R825" s="3"/>
      <c r="S825" s="2" t="s">
        <v>21</v>
      </c>
      <c r="T825" s="4">
        <v>44955</v>
      </c>
      <c r="U825" s="2" t="s">
        <v>2849</v>
      </c>
      <c r="V825" s="6">
        <f>(Sales[[#This Row],[Price_retail]]-Sales[[#This Row],[Price_current]])/Sales[[#This Row],[Price_retail]]</f>
        <v>0</v>
      </c>
      <c r="W825" s="3" t="str" cm="1">
        <f t="array" ref="W82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26" spans="1:23" x14ac:dyDescent="0.35">
      <c r="A826" s="2" t="s">
        <v>2850</v>
      </c>
      <c r="B826" s="2" t="s">
        <v>2851</v>
      </c>
      <c r="C826" s="2" t="s">
        <v>3430</v>
      </c>
      <c r="D826" s="2" t="s">
        <v>490</v>
      </c>
      <c r="E826" s="2" t="s">
        <v>4</v>
      </c>
      <c r="F826" s="2" t="s">
        <v>17</v>
      </c>
      <c r="G826" s="2" t="s">
        <v>27</v>
      </c>
      <c r="H826" s="2" t="s">
        <v>185</v>
      </c>
      <c r="I826" s="2" t="s">
        <v>3395</v>
      </c>
      <c r="J826" s="3">
        <v>14.78</v>
      </c>
      <c r="K826" s="3">
        <v>7.4</v>
      </c>
      <c r="L826" s="2" t="s">
        <v>8</v>
      </c>
      <c r="M826" s="2" t="s">
        <v>9</v>
      </c>
      <c r="N826" s="3">
        <v>343</v>
      </c>
      <c r="O826" s="2" t="s">
        <v>302</v>
      </c>
      <c r="P826" s="2" t="s">
        <v>84</v>
      </c>
      <c r="Q826" s="3"/>
      <c r="R826" s="3"/>
      <c r="S826" s="2" t="s">
        <v>21</v>
      </c>
      <c r="T826" s="4">
        <v>44955</v>
      </c>
      <c r="U826" s="2" t="s">
        <v>2852</v>
      </c>
      <c r="V826" s="6">
        <f>(Sales[[#This Row],[Price_retail]]-Sales[[#This Row],[Price_current]])/Sales[[#This Row],[Price_retail]]</f>
        <v>0.49932341001353175</v>
      </c>
      <c r="W826" s="3" t="str" cm="1">
        <f t="array" ref="W82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27" spans="1:23" x14ac:dyDescent="0.35">
      <c r="A827" s="2" t="s">
        <v>2853</v>
      </c>
      <c r="B827" s="2" t="s">
        <v>2854</v>
      </c>
      <c r="C827" s="2" t="s">
        <v>585</v>
      </c>
      <c r="D827" s="2" t="s">
        <v>490</v>
      </c>
      <c r="E827" s="2" t="s">
        <v>4</v>
      </c>
      <c r="F827" s="2" t="s">
        <v>17</v>
      </c>
      <c r="G827" s="2" t="s">
        <v>67</v>
      </c>
      <c r="H827" s="2" t="s">
        <v>185</v>
      </c>
      <c r="I827" s="2" t="s">
        <v>3393</v>
      </c>
      <c r="J827" s="3">
        <v>25.79</v>
      </c>
      <c r="K827" s="3">
        <v>25.79</v>
      </c>
      <c r="L827" s="2" t="s">
        <v>3391</v>
      </c>
      <c r="M827" s="2" t="s">
        <v>9</v>
      </c>
      <c r="N827" s="3">
        <v>169</v>
      </c>
      <c r="O827" s="2" t="s">
        <v>140</v>
      </c>
      <c r="P827" s="2" t="s">
        <v>238</v>
      </c>
      <c r="Q827" s="3"/>
      <c r="R827" s="3"/>
      <c r="S827" s="2" t="s">
        <v>21</v>
      </c>
      <c r="T827" s="4">
        <v>44955</v>
      </c>
      <c r="U827" s="2" t="s">
        <v>2855</v>
      </c>
      <c r="V827" s="6">
        <f>(Sales[[#This Row],[Price_retail]]-Sales[[#This Row],[Price_current]])/Sales[[#This Row],[Price_retail]]</f>
        <v>0</v>
      </c>
      <c r="W827" s="3" t="str" cm="1">
        <f t="array" ref="W8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28" spans="1:23" x14ac:dyDescent="0.35">
      <c r="A828" s="2" t="s">
        <v>2856</v>
      </c>
      <c r="B828" s="2" t="s">
        <v>2857</v>
      </c>
      <c r="C828" s="2" t="s">
        <v>65</v>
      </c>
      <c r="D828" s="2" t="s">
        <v>314</v>
      </c>
      <c r="E828" s="2" t="s">
        <v>4</v>
      </c>
      <c r="F828" s="2" t="s">
        <v>17</v>
      </c>
      <c r="G828" s="2" t="s">
        <v>50</v>
      </c>
      <c r="H828" s="2" t="s">
        <v>59</v>
      </c>
      <c r="I828" s="2" t="s">
        <v>3393</v>
      </c>
      <c r="J828" s="3">
        <v>34.31</v>
      </c>
      <c r="K828" s="3">
        <v>34.31</v>
      </c>
      <c r="L828" s="2" t="s">
        <v>3391</v>
      </c>
      <c r="M828" s="2" t="s">
        <v>9</v>
      </c>
      <c r="N828" s="3">
        <v>751</v>
      </c>
      <c r="O828" s="2" t="s">
        <v>36</v>
      </c>
      <c r="P828" s="2" t="s">
        <v>215</v>
      </c>
      <c r="Q828" s="3"/>
      <c r="R828" s="3"/>
      <c r="S828" s="2" t="s">
        <v>21</v>
      </c>
      <c r="T828" s="4">
        <v>44955</v>
      </c>
      <c r="U828" s="2" t="s">
        <v>2858</v>
      </c>
      <c r="V828" s="6">
        <f>(Sales[[#This Row],[Price_retail]]-Sales[[#This Row],[Price_current]])/Sales[[#This Row],[Price_retail]]</f>
        <v>0</v>
      </c>
      <c r="W828" s="3" t="str" cm="1">
        <f t="array" ref="W82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29" spans="1:23" x14ac:dyDescent="0.35">
      <c r="A829" s="2" t="s">
        <v>2859</v>
      </c>
      <c r="B829" s="2" t="s">
        <v>2860</v>
      </c>
      <c r="C829" s="2" t="s">
        <v>1747</v>
      </c>
      <c r="D829" s="2" t="s">
        <v>81</v>
      </c>
      <c r="E829" s="2" t="s">
        <v>4</v>
      </c>
      <c r="F829" s="2" t="s">
        <v>5</v>
      </c>
      <c r="G829" s="2" t="s">
        <v>82</v>
      </c>
      <c r="H829" s="2" t="s">
        <v>83</v>
      </c>
      <c r="I829" s="2" t="s">
        <v>3390</v>
      </c>
      <c r="J829" s="3">
        <v>16.53</v>
      </c>
      <c r="K829" s="3">
        <v>12.17</v>
      </c>
      <c r="L829" s="2" t="s">
        <v>8</v>
      </c>
      <c r="M829" s="2" t="s">
        <v>9</v>
      </c>
      <c r="N829" s="3">
        <v>420</v>
      </c>
      <c r="O829" s="2" t="s">
        <v>267</v>
      </c>
      <c r="P829" s="2" t="s">
        <v>553</v>
      </c>
      <c r="Q829" s="3"/>
      <c r="R829" s="3"/>
      <c r="S829" s="2" t="s">
        <v>21</v>
      </c>
      <c r="T829" s="4">
        <v>44955</v>
      </c>
      <c r="U829" s="2" t="s">
        <v>2861</v>
      </c>
      <c r="V829" s="6">
        <f>(Sales[[#This Row],[Price_retail]]-Sales[[#This Row],[Price_current]])/Sales[[#This Row],[Price_retail]]</f>
        <v>0.26376285541439815</v>
      </c>
      <c r="W829" s="3" t="str" cm="1">
        <f t="array" ref="W82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30" spans="1:23" x14ac:dyDescent="0.35">
      <c r="A830" s="2" t="s">
        <v>2862</v>
      </c>
      <c r="B830" s="2" t="s">
        <v>2863</v>
      </c>
      <c r="C830" s="2" t="s">
        <v>2409</v>
      </c>
      <c r="D830" s="2" t="s">
        <v>400</v>
      </c>
      <c r="E830" s="2" t="s">
        <v>4</v>
      </c>
      <c r="F830" s="2" t="s">
        <v>5</v>
      </c>
      <c r="G830" s="2" t="s">
        <v>121</v>
      </c>
      <c r="H830" s="2" t="s">
        <v>185</v>
      </c>
      <c r="I830" s="2" t="s">
        <v>3390</v>
      </c>
      <c r="J830" s="3">
        <v>29.67</v>
      </c>
      <c r="K830" s="3">
        <v>29.67</v>
      </c>
      <c r="L830" s="2" t="s">
        <v>3391</v>
      </c>
      <c r="M830" s="2" t="s">
        <v>9</v>
      </c>
      <c r="N830" s="3">
        <v>511</v>
      </c>
      <c r="O830" s="2" t="s">
        <v>3392</v>
      </c>
      <c r="P830" s="2" t="s">
        <v>92</v>
      </c>
      <c r="Q830" s="3"/>
      <c r="R830" s="3"/>
      <c r="S830" s="2" t="s">
        <v>21</v>
      </c>
      <c r="T830" s="4">
        <v>44955</v>
      </c>
      <c r="U830" s="2" t="s">
        <v>2864</v>
      </c>
      <c r="V830" s="6">
        <f>(Sales[[#This Row],[Price_retail]]-Sales[[#This Row],[Price_current]])/Sales[[#This Row],[Price_retail]]</f>
        <v>0</v>
      </c>
      <c r="W830" s="3" t="str" cm="1">
        <f t="array" ref="W83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31" spans="1:23" x14ac:dyDescent="0.35">
      <c r="A831" s="2" t="s">
        <v>2865</v>
      </c>
      <c r="B831" s="2" t="s">
        <v>2866</v>
      </c>
      <c r="C831" s="2" t="s">
        <v>1242</v>
      </c>
      <c r="D831" s="2" t="s">
        <v>1602</v>
      </c>
      <c r="E831" s="2" t="s">
        <v>4</v>
      </c>
      <c r="F831" s="2" t="s">
        <v>5</v>
      </c>
      <c r="G831" s="2" t="s">
        <v>6</v>
      </c>
      <c r="H831" s="2" t="s">
        <v>418</v>
      </c>
      <c r="I831" s="2" t="s">
        <v>3390</v>
      </c>
      <c r="J831" s="3">
        <v>12.12</v>
      </c>
      <c r="K831" s="3">
        <v>12.12</v>
      </c>
      <c r="L831" s="2" t="s">
        <v>3391</v>
      </c>
      <c r="M831" s="2" t="s">
        <v>9</v>
      </c>
      <c r="N831" s="3">
        <v>38</v>
      </c>
      <c r="O831" s="2" t="s">
        <v>98</v>
      </c>
      <c r="P831" s="2" t="s">
        <v>221</v>
      </c>
      <c r="Q831" s="3"/>
      <c r="R831" s="3"/>
      <c r="S831" s="2" t="s">
        <v>12</v>
      </c>
      <c r="T831" s="4">
        <v>44955</v>
      </c>
      <c r="U831" s="2" t="s">
        <v>2867</v>
      </c>
      <c r="V831" s="6">
        <f>(Sales[[#This Row],[Price_retail]]-Sales[[#This Row],[Price_current]])/Sales[[#This Row],[Price_retail]]</f>
        <v>0</v>
      </c>
      <c r="W831" s="3" t="str" cm="1">
        <f t="array" ref="W83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32" spans="1:23" x14ac:dyDescent="0.35">
      <c r="A832" s="2" t="s">
        <v>2868</v>
      </c>
      <c r="B832" s="2" t="s">
        <v>2869</v>
      </c>
      <c r="C832" s="2" t="s">
        <v>469</v>
      </c>
      <c r="D832" s="2" t="s">
        <v>686</v>
      </c>
      <c r="E832" s="2" t="s">
        <v>4</v>
      </c>
      <c r="F832" s="2" t="s">
        <v>5</v>
      </c>
      <c r="G832" s="2" t="s">
        <v>82</v>
      </c>
      <c r="H832" s="2" t="s">
        <v>7</v>
      </c>
      <c r="I832" s="2" t="s">
        <v>3390</v>
      </c>
      <c r="J832" s="3">
        <v>12.93</v>
      </c>
      <c r="K832" s="3">
        <v>12.93</v>
      </c>
      <c r="L832" s="2" t="s">
        <v>3391</v>
      </c>
      <c r="M832" s="2" t="s">
        <v>9</v>
      </c>
      <c r="N832" s="3">
        <v>815</v>
      </c>
      <c r="O832" s="2" t="s">
        <v>287</v>
      </c>
      <c r="P832" s="2" t="s">
        <v>44</v>
      </c>
      <c r="Q832" s="3"/>
      <c r="R832" s="3"/>
      <c r="S832" s="2" t="s">
        <v>21</v>
      </c>
      <c r="T832" s="4">
        <v>44955</v>
      </c>
      <c r="U832" s="2" t="s">
        <v>2870</v>
      </c>
      <c r="V832" s="6">
        <f>(Sales[[#This Row],[Price_retail]]-Sales[[#This Row],[Price_current]])/Sales[[#This Row],[Price_retail]]</f>
        <v>0</v>
      </c>
      <c r="W832" s="3" t="str" cm="1">
        <f t="array" ref="W83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33" spans="1:23" x14ac:dyDescent="0.35">
      <c r="A833" s="2" t="s">
        <v>2871</v>
      </c>
      <c r="B833" s="2" t="s">
        <v>2872</v>
      </c>
      <c r="C833" s="2" t="s">
        <v>65</v>
      </c>
      <c r="D833" s="2" t="s">
        <v>363</v>
      </c>
      <c r="E833" s="2" t="s">
        <v>4</v>
      </c>
      <c r="F833" s="2" t="s">
        <v>17</v>
      </c>
      <c r="G833" s="2" t="s">
        <v>27</v>
      </c>
      <c r="H833" s="2" t="s">
        <v>59</v>
      </c>
      <c r="I833" s="2" t="s">
        <v>3390</v>
      </c>
      <c r="J833" s="3">
        <v>23.35</v>
      </c>
      <c r="K833" s="3">
        <v>16.57</v>
      </c>
      <c r="L833" s="2" t="s">
        <v>8</v>
      </c>
      <c r="M833" s="2" t="s">
        <v>9</v>
      </c>
      <c r="N833" s="3">
        <v>342</v>
      </c>
      <c r="O833" s="2" t="s">
        <v>140</v>
      </c>
      <c r="P833" s="2" t="s">
        <v>169</v>
      </c>
      <c r="Q833" s="3"/>
      <c r="R833" s="3"/>
      <c r="S833" s="2" t="s">
        <v>21</v>
      </c>
      <c r="T833" s="4">
        <v>44955</v>
      </c>
      <c r="U833" s="2" t="s">
        <v>2873</v>
      </c>
      <c r="V833" s="6">
        <f>(Sales[[#This Row],[Price_retail]]-Sales[[#This Row],[Price_current]])/Sales[[#This Row],[Price_retail]]</f>
        <v>0.2903640256959315</v>
      </c>
      <c r="W833" s="3" t="str" cm="1">
        <f t="array" ref="W83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34" spans="1:23" x14ac:dyDescent="0.35">
      <c r="A834" s="2" t="s">
        <v>2874</v>
      </c>
      <c r="B834" s="2" t="s">
        <v>2875</v>
      </c>
      <c r="C834" s="2" t="s">
        <v>721</v>
      </c>
      <c r="D834" s="2" t="s">
        <v>1602</v>
      </c>
      <c r="E834" s="2" t="s">
        <v>4</v>
      </c>
      <c r="F834" s="2" t="s">
        <v>5</v>
      </c>
      <c r="G834" s="2" t="s">
        <v>82</v>
      </c>
      <c r="H834" s="2" t="s">
        <v>418</v>
      </c>
      <c r="I834" s="2" t="s">
        <v>3390</v>
      </c>
      <c r="J834" s="3">
        <v>30.75</v>
      </c>
      <c r="K834" s="3">
        <v>30.75</v>
      </c>
      <c r="L834" s="2" t="s">
        <v>3391</v>
      </c>
      <c r="M834" s="2" t="s">
        <v>9</v>
      </c>
      <c r="N834" s="3">
        <v>691</v>
      </c>
      <c r="O834" s="2" t="s">
        <v>69</v>
      </c>
      <c r="P834" s="2" t="s">
        <v>92</v>
      </c>
      <c r="Q834" s="3"/>
      <c r="R834" s="3"/>
      <c r="S834" s="2" t="s">
        <v>12</v>
      </c>
      <c r="T834" s="4">
        <v>44955</v>
      </c>
      <c r="U834" s="2" t="s">
        <v>2876</v>
      </c>
      <c r="V834" s="6">
        <f>(Sales[[#This Row],[Price_retail]]-Sales[[#This Row],[Price_current]])/Sales[[#This Row],[Price_retail]]</f>
        <v>0</v>
      </c>
      <c r="W834" s="3" t="str" cm="1">
        <f t="array" ref="W83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35" spans="1:23" x14ac:dyDescent="0.35">
      <c r="A835" s="2" t="s">
        <v>2877</v>
      </c>
      <c r="B835" s="2" t="s">
        <v>2878</v>
      </c>
      <c r="C835" s="2" t="s">
        <v>963</v>
      </c>
      <c r="D835" s="2" t="s">
        <v>465</v>
      </c>
      <c r="E835" s="2" t="s">
        <v>4</v>
      </c>
      <c r="F835" s="2" t="s">
        <v>17</v>
      </c>
      <c r="G835" s="2" t="s">
        <v>50</v>
      </c>
      <c r="H835" s="2" t="s">
        <v>139</v>
      </c>
      <c r="I835" s="2" t="s">
        <v>3393</v>
      </c>
      <c r="J835" s="3">
        <v>13.13</v>
      </c>
      <c r="K835" s="3">
        <v>9.49</v>
      </c>
      <c r="L835" s="2" t="s">
        <v>8</v>
      </c>
      <c r="M835" s="2" t="s">
        <v>9</v>
      </c>
      <c r="N835" s="3">
        <v>384</v>
      </c>
      <c r="O835" s="2" t="s">
        <v>60</v>
      </c>
      <c r="P835" s="2" t="s">
        <v>76</v>
      </c>
      <c r="Q835" s="3"/>
      <c r="R835" s="3"/>
      <c r="S835" s="2" t="s">
        <v>21</v>
      </c>
      <c r="T835" s="4">
        <v>44955</v>
      </c>
      <c r="U835" s="2" t="s">
        <v>2879</v>
      </c>
      <c r="V835" s="6">
        <f>(Sales[[#This Row],[Price_retail]]-Sales[[#This Row],[Price_current]])/Sales[[#This Row],[Price_retail]]</f>
        <v>0.27722772277227725</v>
      </c>
      <c r="W835" s="3" t="str" cm="1">
        <f t="array" ref="W83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36" spans="1:23" x14ac:dyDescent="0.35">
      <c r="A836" s="2" t="s">
        <v>2880</v>
      </c>
      <c r="B836" s="2" t="s">
        <v>2881</v>
      </c>
      <c r="C836" s="2" t="s">
        <v>2915</v>
      </c>
      <c r="D836" s="2" t="s">
        <v>1598</v>
      </c>
      <c r="E836" s="2" t="s">
        <v>4</v>
      </c>
      <c r="F836" s="2" t="s">
        <v>5</v>
      </c>
      <c r="G836" s="2" t="s">
        <v>6</v>
      </c>
      <c r="H836" s="2" t="s">
        <v>418</v>
      </c>
      <c r="I836" s="2" t="s">
        <v>3390</v>
      </c>
      <c r="J836" s="3">
        <v>15.49</v>
      </c>
      <c r="K836" s="3">
        <v>11</v>
      </c>
      <c r="L836" s="2" t="s">
        <v>8</v>
      </c>
      <c r="M836" s="2" t="s">
        <v>9</v>
      </c>
      <c r="N836" s="3">
        <v>515</v>
      </c>
      <c r="O836" s="2" t="s">
        <v>3392</v>
      </c>
      <c r="P836" s="2" t="s">
        <v>3392</v>
      </c>
      <c r="Q836" s="3"/>
      <c r="R836" s="3"/>
      <c r="S836" s="2" t="s">
        <v>21</v>
      </c>
      <c r="T836" s="4">
        <v>44955</v>
      </c>
      <c r="U836" s="2" t="s">
        <v>2882</v>
      </c>
      <c r="V836" s="6">
        <f>(Sales[[#This Row],[Price_retail]]-Sales[[#This Row],[Price_current]])/Sales[[#This Row],[Price_retail]]</f>
        <v>0.28986442866365397</v>
      </c>
      <c r="W836" s="3" t="str" cm="1">
        <f t="array" ref="W83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37" spans="1:23" x14ac:dyDescent="0.35">
      <c r="A837" s="2" t="s">
        <v>2883</v>
      </c>
      <c r="B837" s="2" t="s">
        <v>2884</v>
      </c>
      <c r="C837" s="2" t="s">
        <v>242</v>
      </c>
      <c r="D837" s="2" t="s">
        <v>577</v>
      </c>
      <c r="E837" s="2" t="s">
        <v>4</v>
      </c>
      <c r="F837" s="2" t="s">
        <v>5</v>
      </c>
      <c r="G837" s="2" t="s">
        <v>121</v>
      </c>
      <c r="H837" s="2" t="s">
        <v>168</v>
      </c>
      <c r="I837" s="2" t="s">
        <v>3390</v>
      </c>
      <c r="J837" s="3">
        <v>25.47</v>
      </c>
      <c r="K837" s="3">
        <v>16.36</v>
      </c>
      <c r="L837" s="2" t="s">
        <v>8</v>
      </c>
      <c r="M837" s="2" t="s">
        <v>9</v>
      </c>
      <c r="N837" s="3">
        <v>212</v>
      </c>
      <c r="O837" s="2" t="s">
        <v>69</v>
      </c>
      <c r="P837" s="2" t="s">
        <v>553</v>
      </c>
      <c r="Q837" s="3"/>
      <c r="R837" s="3"/>
      <c r="S837" s="2" t="s">
        <v>21</v>
      </c>
      <c r="T837" s="4">
        <v>44955</v>
      </c>
      <c r="U837" s="2" t="s">
        <v>2885</v>
      </c>
      <c r="V837" s="6">
        <f>(Sales[[#This Row],[Price_retail]]-Sales[[#This Row],[Price_current]])/Sales[[#This Row],[Price_retail]]</f>
        <v>0.35767569689831175</v>
      </c>
      <c r="W837" s="3" t="str" cm="1">
        <f t="array" ref="W83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38" spans="1:23" x14ac:dyDescent="0.35">
      <c r="A838" s="2" t="s">
        <v>2886</v>
      </c>
      <c r="B838" s="2" t="s">
        <v>2887</v>
      </c>
      <c r="C838" s="2" t="s">
        <v>461</v>
      </c>
      <c r="D838" s="2" t="s">
        <v>1000</v>
      </c>
      <c r="E838" s="2" t="s">
        <v>4</v>
      </c>
      <c r="F838" s="2" t="s">
        <v>17</v>
      </c>
      <c r="G838" s="2" t="s">
        <v>50</v>
      </c>
      <c r="H838" s="2" t="s">
        <v>68</v>
      </c>
      <c r="I838" s="2" t="s">
        <v>3393</v>
      </c>
      <c r="J838" s="3">
        <v>10.69</v>
      </c>
      <c r="K838" s="3">
        <v>10.69</v>
      </c>
      <c r="L838" s="2" t="s">
        <v>3391</v>
      </c>
      <c r="M838" s="2" t="s">
        <v>9</v>
      </c>
      <c r="N838" s="3">
        <v>317</v>
      </c>
      <c r="O838" s="2" t="s">
        <v>347</v>
      </c>
      <c r="P838" s="2" t="s">
        <v>37</v>
      </c>
      <c r="Q838" s="3"/>
      <c r="R838" s="3"/>
      <c r="S838" s="2" t="s">
        <v>21</v>
      </c>
      <c r="T838" s="4">
        <v>44955</v>
      </c>
      <c r="U838" s="2" t="s">
        <v>2888</v>
      </c>
      <c r="V838" s="6">
        <f>(Sales[[#This Row],[Price_retail]]-Sales[[#This Row],[Price_current]])/Sales[[#This Row],[Price_retail]]</f>
        <v>0</v>
      </c>
      <c r="W838" s="3" t="str" cm="1">
        <f t="array" ref="W8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39" spans="1:23" x14ac:dyDescent="0.35">
      <c r="A839" s="2" t="s">
        <v>2889</v>
      </c>
      <c r="B839" s="2" t="s">
        <v>2890</v>
      </c>
      <c r="C839" s="2" t="s">
        <v>3394</v>
      </c>
      <c r="D839" s="2" t="s">
        <v>319</v>
      </c>
      <c r="E839" s="2" t="s">
        <v>4</v>
      </c>
      <c r="F839" s="2" t="s">
        <v>5</v>
      </c>
      <c r="G839" s="2" t="s">
        <v>121</v>
      </c>
      <c r="H839" s="2" t="s">
        <v>90</v>
      </c>
      <c r="I839" s="2" t="s">
        <v>3390</v>
      </c>
      <c r="J839" s="3">
        <v>15.08</v>
      </c>
      <c r="K839" s="3">
        <v>8.1199999999999992</v>
      </c>
      <c r="L839" s="2" t="s">
        <v>8</v>
      </c>
      <c r="M839" s="2" t="s">
        <v>9</v>
      </c>
      <c r="N839" s="3">
        <v>85</v>
      </c>
      <c r="O839" s="2" t="s">
        <v>36</v>
      </c>
      <c r="P839" s="2" t="s">
        <v>37</v>
      </c>
      <c r="Q839" s="3"/>
      <c r="R839" s="3"/>
      <c r="S839" s="2" t="s">
        <v>21</v>
      </c>
      <c r="T839" s="4">
        <v>44955</v>
      </c>
      <c r="U839" s="2" t="s">
        <v>2891</v>
      </c>
      <c r="V839" s="6">
        <f>(Sales[[#This Row],[Price_retail]]-Sales[[#This Row],[Price_current]])/Sales[[#This Row],[Price_retail]]</f>
        <v>0.46153846153846162</v>
      </c>
      <c r="W839" s="3" t="str" cm="1">
        <f t="array" ref="W83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40" spans="1:23" x14ac:dyDescent="0.35">
      <c r="A840" s="2" t="s">
        <v>2892</v>
      </c>
      <c r="B840" s="2" t="s">
        <v>2893</v>
      </c>
      <c r="C840" s="2" t="s">
        <v>469</v>
      </c>
      <c r="D840" s="2" t="s">
        <v>506</v>
      </c>
      <c r="E840" s="2" t="s">
        <v>4</v>
      </c>
      <c r="F840" s="2" t="s">
        <v>5</v>
      </c>
      <c r="G840" s="2" t="s">
        <v>82</v>
      </c>
      <c r="H840" s="2" t="s">
        <v>237</v>
      </c>
      <c r="I840" s="2" t="s">
        <v>3390</v>
      </c>
      <c r="J840" s="3">
        <v>17.899999999999999</v>
      </c>
      <c r="K840" s="3">
        <v>17.899999999999999</v>
      </c>
      <c r="L840" s="2" t="s">
        <v>3391</v>
      </c>
      <c r="M840" s="2" t="s">
        <v>9</v>
      </c>
      <c r="N840" s="3">
        <v>884</v>
      </c>
      <c r="O840" s="2" t="s">
        <v>359</v>
      </c>
      <c r="P840" s="2" t="s">
        <v>186</v>
      </c>
      <c r="Q840" s="3"/>
      <c r="R840" s="3"/>
      <c r="S840" s="2" t="s">
        <v>12</v>
      </c>
      <c r="T840" s="4">
        <v>44955</v>
      </c>
      <c r="U840" s="2" t="s">
        <v>2894</v>
      </c>
      <c r="V840" s="6">
        <f>(Sales[[#This Row],[Price_retail]]-Sales[[#This Row],[Price_current]])/Sales[[#This Row],[Price_retail]]</f>
        <v>0</v>
      </c>
      <c r="W840" s="3" t="str" cm="1">
        <f t="array" ref="W84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1" spans="1:23" x14ac:dyDescent="0.35">
      <c r="A841" s="2" t="s">
        <v>2895</v>
      </c>
      <c r="B841" s="2" t="s">
        <v>2896</v>
      </c>
      <c r="C841" s="2" t="s">
        <v>3433</v>
      </c>
      <c r="D841" s="2" t="s">
        <v>929</v>
      </c>
      <c r="E841" s="2" t="s">
        <v>4</v>
      </c>
      <c r="F841" s="2" t="s">
        <v>5</v>
      </c>
      <c r="G841" s="2" t="s">
        <v>6</v>
      </c>
      <c r="H841" s="2" t="s">
        <v>51</v>
      </c>
      <c r="I841" s="2" t="s">
        <v>3395</v>
      </c>
      <c r="J841" s="3">
        <v>29.61</v>
      </c>
      <c r="K841" s="3">
        <v>29.61</v>
      </c>
      <c r="L841" s="2" t="s">
        <v>3391</v>
      </c>
      <c r="M841" s="2" t="s">
        <v>9</v>
      </c>
      <c r="N841" s="3">
        <v>391</v>
      </c>
      <c r="O841" s="2" t="s">
        <v>69</v>
      </c>
      <c r="P841" s="2" t="s">
        <v>44</v>
      </c>
      <c r="Q841" s="3"/>
      <c r="R841" s="3"/>
      <c r="S841" s="2" t="s">
        <v>21</v>
      </c>
      <c r="T841" s="4">
        <v>44955</v>
      </c>
      <c r="U841" s="2" t="s">
        <v>2897</v>
      </c>
      <c r="V841" s="6">
        <f>(Sales[[#This Row],[Price_retail]]-Sales[[#This Row],[Price_current]])/Sales[[#This Row],[Price_retail]]</f>
        <v>0</v>
      </c>
      <c r="W841" s="3" t="str" cm="1">
        <f t="array" ref="W8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2" spans="1:23" x14ac:dyDescent="0.35">
      <c r="A842" s="2" t="s">
        <v>2898</v>
      </c>
      <c r="B842" s="2" t="s">
        <v>2899</v>
      </c>
      <c r="C842" s="2" t="s">
        <v>541</v>
      </c>
      <c r="D842" s="2" t="s">
        <v>376</v>
      </c>
      <c r="E842" s="2" t="s">
        <v>4</v>
      </c>
      <c r="F842" s="2" t="s">
        <v>17</v>
      </c>
      <c r="G842" s="2" t="s">
        <v>18</v>
      </c>
      <c r="H842" s="2" t="s">
        <v>168</v>
      </c>
      <c r="I842" s="2" t="s">
        <v>3390</v>
      </c>
      <c r="J842" s="3">
        <v>13.71</v>
      </c>
      <c r="K842" s="3">
        <v>9.5</v>
      </c>
      <c r="L842" s="2" t="s">
        <v>8</v>
      </c>
      <c r="M842" s="2" t="s">
        <v>9</v>
      </c>
      <c r="N842" s="3">
        <v>680</v>
      </c>
      <c r="O842" s="2" t="s">
        <v>20</v>
      </c>
      <c r="P842" s="2" t="s">
        <v>192</v>
      </c>
      <c r="Q842" s="3"/>
      <c r="R842" s="3"/>
      <c r="S842" s="2" t="s">
        <v>12</v>
      </c>
      <c r="T842" s="4">
        <v>44955</v>
      </c>
      <c r="U842" s="2" t="s">
        <v>2900</v>
      </c>
      <c r="V842" s="6">
        <f>(Sales[[#This Row],[Price_retail]]-Sales[[#This Row],[Price_current]])/Sales[[#This Row],[Price_retail]]</f>
        <v>0.30707512764405548</v>
      </c>
      <c r="W842" s="3" t="str" cm="1">
        <f t="array" ref="W84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43" spans="1:23" x14ac:dyDescent="0.35">
      <c r="A843" s="2" t="s">
        <v>2901</v>
      </c>
      <c r="B843" s="2" t="s">
        <v>2902</v>
      </c>
      <c r="C843" s="2" t="s">
        <v>242</v>
      </c>
      <c r="D843" s="2" t="s">
        <v>392</v>
      </c>
      <c r="E843" s="2" t="s">
        <v>4</v>
      </c>
      <c r="F843" s="2" t="s">
        <v>17</v>
      </c>
      <c r="G843" s="2" t="s">
        <v>50</v>
      </c>
      <c r="H843" s="2" t="s">
        <v>19</v>
      </c>
      <c r="I843" s="2" t="s">
        <v>3393</v>
      </c>
      <c r="J843" s="3">
        <v>10.54</v>
      </c>
      <c r="K843" s="3">
        <v>7.94</v>
      </c>
      <c r="L843" s="2" t="s">
        <v>8</v>
      </c>
      <c r="M843" s="2" t="s">
        <v>9</v>
      </c>
      <c r="N843" s="3">
        <v>650</v>
      </c>
      <c r="O843" s="2" t="s">
        <v>36</v>
      </c>
      <c r="P843" s="2" t="s">
        <v>177</v>
      </c>
      <c r="Q843" s="3"/>
      <c r="R843" s="3"/>
      <c r="S843" s="2" t="s">
        <v>21</v>
      </c>
      <c r="T843" s="4">
        <v>44955</v>
      </c>
      <c r="U843" s="2" t="s">
        <v>2903</v>
      </c>
      <c r="V843" s="6">
        <f>(Sales[[#This Row],[Price_retail]]-Sales[[#This Row],[Price_current]])/Sales[[#This Row],[Price_retail]]</f>
        <v>0.24667931688804545</v>
      </c>
      <c r="W843" s="3" t="str" cm="1">
        <f t="array" ref="W84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44" spans="1:23" x14ac:dyDescent="0.35">
      <c r="A844" s="2" t="s">
        <v>2904</v>
      </c>
      <c r="B844" s="2" t="s">
        <v>2905</v>
      </c>
      <c r="C844" s="2" t="s">
        <v>3417</v>
      </c>
      <c r="D844" s="2" t="s">
        <v>2312</v>
      </c>
      <c r="E844" s="2" t="s">
        <v>4</v>
      </c>
      <c r="F844" s="2" t="s">
        <v>5</v>
      </c>
      <c r="G844" s="2" t="s">
        <v>82</v>
      </c>
      <c r="H844" s="2" t="s">
        <v>145</v>
      </c>
      <c r="I844" s="2" t="s">
        <v>3390</v>
      </c>
      <c r="J844" s="3">
        <v>11.98</v>
      </c>
      <c r="K844" s="3">
        <v>9.65</v>
      </c>
      <c r="L844" s="2" t="s">
        <v>8</v>
      </c>
      <c r="M844" s="2" t="s">
        <v>9</v>
      </c>
      <c r="N844" s="3">
        <v>853</v>
      </c>
      <c r="O844" s="2" t="s">
        <v>302</v>
      </c>
      <c r="P844" s="2" t="s">
        <v>177</v>
      </c>
      <c r="Q844" s="3"/>
      <c r="R844" s="3"/>
      <c r="S844" s="2" t="s">
        <v>12</v>
      </c>
      <c r="T844" s="4">
        <v>44955</v>
      </c>
      <c r="U844" s="2" t="s">
        <v>2906</v>
      </c>
      <c r="V844" s="6">
        <f>(Sales[[#This Row],[Price_retail]]-Sales[[#This Row],[Price_current]])/Sales[[#This Row],[Price_retail]]</f>
        <v>0.19449081803005008</v>
      </c>
      <c r="W844" s="3" t="str" cm="1">
        <f t="array" ref="W844">_xlfn.IFS(Sales[[#This Row],[Discount]]=0%,"No Discount",Sales[[#This Row],[Discount]]&lt;=20%,"Light",Sales[[#This Row],[Discount]]&lt;=50%,"Moderate",Sales[[#This Row],[Discount]]&lt;=80%,"High",
TRUE,"Very High")</f>
        <v>Light</v>
      </c>
    </row>
    <row r="845" spans="1:23" x14ac:dyDescent="0.35">
      <c r="A845" s="2" t="s">
        <v>2907</v>
      </c>
      <c r="B845" s="2" t="s">
        <v>2908</v>
      </c>
      <c r="C845" s="2" t="s">
        <v>3394</v>
      </c>
      <c r="D845" s="2" t="s">
        <v>1495</v>
      </c>
      <c r="E845" s="2" t="s">
        <v>4</v>
      </c>
      <c r="F845" s="2" t="s">
        <v>5</v>
      </c>
      <c r="G845" s="2" t="s">
        <v>6</v>
      </c>
      <c r="H845" s="2" t="s">
        <v>35</v>
      </c>
      <c r="I845" s="2" t="s">
        <v>3395</v>
      </c>
      <c r="J845" s="3">
        <v>27.92</v>
      </c>
      <c r="K845" s="3">
        <v>27.92</v>
      </c>
      <c r="L845" s="2" t="s">
        <v>3391</v>
      </c>
      <c r="M845" s="2" t="s">
        <v>9</v>
      </c>
      <c r="N845" s="3">
        <v>357</v>
      </c>
      <c r="O845" s="2" t="s">
        <v>98</v>
      </c>
      <c r="P845" s="2" t="s">
        <v>30</v>
      </c>
      <c r="Q845" s="3"/>
      <c r="R845" s="3"/>
      <c r="S845" s="2" t="s">
        <v>21</v>
      </c>
      <c r="T845" s="4">
        <v>44955</v>
      </c>
      <c r="U845" s="2" t="s">
        <v>2909</v>
      </c>
      <c r="V845" s="6">
        <f>(Sales[[#This Row],[Price_retail]]-Sales[[#This Row],[Price_current]])/Sales[[#This Row],[Price_retail]]</f>
        <v>0</v>
      </c>
      <c r="W845" s="3" t="str" cm="1">
        <f t="array" ref="W8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6" spans="1:23" x14ac:dyDescent="0.35">
      <c r="A846" s="2" t="s">
        <v>2910</v>
      </c>
      <c r="B846" s="2" t="s">
        <v>2911</v>
      </c>
      <c r="C846" s="2" t="s">
        <v>387</v>
      </c>
      <c r="D846" s="2" t="s">
        <v>674</v>
      </c>
      <c r="E846" s="2" t="s">
        <v>4</v>
      </c>
      <c r="F846" s="2" t="s">
        <v>5</v>
      </c>
      <c r="G846" s="2" t="s">
        <v>121</v>
      </c>
      <c r="H846" s="2" t="s">
        <v>333</v>
      </c>
      <c r="I846" s="2" t="s">
        <v>3393</v>
      </c>
      <c r="J846" s="3">
        <v>47.86</v>
      </c>
      <c r="K846" s="3">
        <v>47.86</v>
      </c>
      <c r="L846" s="2" t="s">
        <v>3391</v>
      </c>
      <c r="M846" s="2" t="s">
        <v>9</v>
      </c>
      <c r="N846" s="3">
        <v>326</v>
      </c>
      <c r="O846" s="2" t="s">
        <v>29</v>
      </c>
      <c r="P846" s="2" t="s">
        <v>169</v>
      </c>
      <c r="Q846" s="3"/>
      <c r="R846" s="3"/>
      <c r="S846" s="2" t="s">
        <v>21</v>
      </c>
      <c r="T846" s="4">
        <v>44955</v>
      </c>
      <c r="U846" s="2" t="s">
        <v>2912</v>
      </c>
      <c r="V846" s="6">
        <f>(Sales[[#This Row],[Price_retail]]-Sales[[#This Row],[Price_current]])/Sales[[#This Row],[Price_retail]]</f>
        <v>0</v>
      </c>
      <c r="W846" s="3" t="str" cm="1">
        <f t="array" ref="W84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7" spans="1:23" x14ac:dyDescent="0.35">
      <c r="A847" s="2" t="s">
        <v>2913</v>
      </c>
      <c r="B847" s="2" t="s">
        <v>2914</v>
      </c>
      <c r="C847" s="2" t="s">
        <v>2915</v>
      </c>
      <c r="D847" s="2" t="s">
        <v>1247</v>
      </c>
      <c r="E847" s="2" t="s">
        <v>4</v>
      </c>
      <c r="F847" s="2" t="s">
        <v>5</v>
      </c>
      <c r="G847" s="2" t="s">
        <v>82</v>
      </c>
      <c r="H847" s="2" t="s">
        <v>237</v>
      </c>
      <c r="I847" s="2" t="s">
        <v>3390</v>
      </c>
      <c r="J847" s="3">
        <v>8.99</v>
      </c>
      <c r="K847" s="3">
        <v>8.99</v>
      </c>
      <c r="L847" s="2" t="s">
        <v>3391</v>
      </c>
      <c r="M847" s="2" t="s">
        <v>9</v>
      </c>
      <c r="N847" s="3">
        <v>566</v>
      </c>
      <c r="O847" s="2" t="s">
        <v>140</v>
      </c>
      <c r="P847" s="2" t="s">
        <v>163</v>
      </c>
      <c r="Q847" s="3"/>
      <c r="R847" s="3"/>
      <c r="S847" s="2" t="s">
        <v>21</v>
      </c>
      <c r="T847" s="4">
        <v>44955</v>
      </c>
      <c r="U847" s="2" t="s">
        <v>2916</v>
      </c>
      <c r="V847" s="6">
        <f>(Sales[[#This Row],[Price_retail]]-Sales[[#This Row],[Price_current]])/Sales[[#This Row],[Price_retail]]</f>
        <v>0</v>
      </c>
      <c r="W847" s="3" t="str" cm="1">
        <f t="array" ref="W8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8" spans="1:23" x14ac:dyDescent="0.35">
      <c r="A848" s="2" t="s">
        <v>2917</v>
      </c>
      <c r="B848" s="2" t="s">
        <v>2918</v>
      </c>
      <c r="C848" s="2" t="s">
        <v>2781</v>
      </c>
      <c r="D848" s="2" t="s">
        <v>842</v>
      </c>
      <c r="E848" s="2" t="s">
        <v>4</v>
      </c>
      <c r="F848" s="2" t="s">
        <v>5</v>
      </c>
      <c r="G848" s="2" t="s">
        <v>82</v>
      </c>
      <c r="H848" s="2" t="s">
        <v>7</v>
      </c>
      <c r="I848" s="2" t="s">
        <v>3393</v>
      </c>
      <c r="J848" s="3">
        <v>8.99</v>
      </c>
      <c r="K848" s="3">
        <v>8.99</v>
      </c>
      <c r="L848" s="2" t="s">
        <v>3391</v>
      </c>
      <c r="M848" s="2" t="s">
        <v>9</v>
      </c>
      <c r="N848" s="3">
        <v>906</v>
      </c>
      <c r="O848" s="2" t="s">
        <v>359</v>
      </c>
      <c r="P848" s="2" t="s">
        <v>419</v>
      </c>
      <c r="Q848" s="3"/>
      <c r="R848" s="3"/>
      <c r="S848" s="2" t="s">
        <v>21</v>
      </c>
      <c r="T848" s="4">
        <v>44955</v>
      </c>
      <c r="U848" s="2" t="s">
        <v>2919</v>
      </c>
      <c r="V848" s="6">
        <f>(Sales[[#This Row],[Price_retail]]-Sales[[#This Row],[Price_current]])/Sales[[#This Row],[Price_retail]]</f>
        <v>0</v>
      </c>
      <c r="W848" s="3" t="str" cm="1">
        <f t="array" ref="W84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49" spans="1:23" x14ac:dyDescent="0.35">
      <c r="A849" s="2" t="s">
        <v>2920</v>
      </c>
      <c r="B849" s="2" t="s">
        <v>2921</v>
      </c>
      <c r="C849" s="2" t="s">
        <v>25</v>
      </c>
      <c r="D849" s="2" t="s">
        <v>1101</v>
      </c>
      <c r="E849" s="2" t="s">
        <v>4</v>
      </c>
      <c r="F849" s="2" t="s">
        <v>5</v>
      </c>
      <c r="G849" s="2" t="s">
        <v>6</v>
      </c>
      <c r="H849" s="2" t="s">
        <v>134</v>
      </c>
      <c r="I849" s="2" t="s">
        <v>3393</v>
      </c>
      <c r="J849" s="3">
        <v>14.26</v>
      </c>
      <c r="K849" s="3">
        <v>10.36</v>
      </c>
      <c r="L849" s="2" t="s">
        <v>8</v>
      </c>
      <c r="M849" s="2" t="s">
        <v>9</v>
      </c>
      <c r="N849" s="3">
        <v>761</v>
      </c>
      <c r="O849" s="2" t="s">
        <v>75</v>
      </c>
      <c r="P849" s="2" t="s">
        <v>92</v>
      </c>
      <c r="Q849" s="3"/>
      <c r="R849" s="3"/>
      <c r="S849" s="2" t="s">
        <v>21</v>
      </c>
      <c r="T849" s="4">
        <v>44955</v>
      </c>
      <c r="U849" s="2" t="s">
        <v>2922</v>
      </c>
      <c r="V849" s="6">
        <f>(Sales[[#This Row],[Price_retail]]-Sales[[#This Row],[Price_current]])/Sales[[#This Row],[Price_retail]]</f>
        <v>0.27349228611500703</v>
      </c>
      <c r="W849" s="3" t="str" cm="1">
        <f t="array" ref="W84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50" spans="1:23" x14ac:dyDescent="0.35">
      <c r="A850" s="2" t="s">
        <v>2923</v>
      </c>
      <c r="B850" s="2" t="s">
        <v>2924</v>
      </c>
      <c r="C850" s="2" t="s">
        <v>65</v>
      </c>
      <c r="D850" s="2" t="s">
        <v>1482</v>
      </c>
      <c r="E850" s="2" t="s">
        <v>4</v>
      </c>
      <c r="F850" s="2" t="s">
        <v>17</v>
      </c>
      <c r="G850" s="2" t="s">
        <v>18</v>
      </c>
      <c r="H850" s="2" t="s">
        <v>185</v>
      </c>
      <c r="I850" s="2" t="s">
        <v>3393</v>
      </c>
      <c r="J850" s="3">
        <v>29.63</v>
      </c>
      <c r="K850" s="3">
        <v>29.63</v>
      </c>
      <c r="L850" s="2" t="s">
        <v>3391</v>
      </c>
      <c r="M850" s="2" t="s">
        <v>9</v>
      </c>
      <c r="N850" s="3">
        <v>509</v>
      </c>
      <c r="O850" s="2" t="s">
        <v>75</v>
      </c>
      <c r="P850" s="2" t="s">
        <v>221</v>
      </c>
      <c r="Q850" s="3"/>
      <c r="R850" s="3"/>
      <c r="S850" s="2" t="s">
        <v>21</v>
      </c>
      <c r="T850" s="4">
        <v>44955</v>
      </c>
      <c r="U850" s="2" t="s">
        <v>2925</v>
      </c>
      <c r="V850" s="6">
        <f>(Sales[[#This Row],[Price_retail]]-Sales[[#This Row],[Price_current]])/Sales[[#This Row],[Price_retail]]</f>
        <v>0</v>
      </c>
      <c r="W850" s="3" t="str" cm="1">
        <f t="array" ref="W85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51" spans="1:23" x14ac:dyDescent="0.35">
      <c r="A851" s="2" t="s">
        <v>2926</v>
      </c>
      <c r="B851" s="2" t="s">
        <v>2927</v>
      </c>
      <c r="C851" s="2" t="s">
        <v>3394</v>
      </c>
      <c r="D851" s="2" t="s">
        <v>465</v>
      </c>
      <c r="E851" s="2" t="s">
        <v>4</v>
      </c>
      <c r="F851" s="2" t="s">
        <v>17</v>
      </c>
      <c r="G851" s="2" t="s">
        <v>50</v>
      </c>
      <c r="H851" s="2" t="s">
        <v>139</v>
      </c>
      <c r="I851" s="2" t="s">
        <v>3395</v>
      </c>
      <c r="J851" s="3">
        <v>24.11</v>
      </c>
      <c r="K851" s="3">
        <v>18.25</v>
      </c>
      <c r="L851" s="2" t="s">
        <v>8</v>
      </c>
      <c r="M851" s="2" t="s">
        <v>9</v>
      </c>
      <c r="N851" s="3">
        <v>825</v>
      </c>
      <c r="O851" s="2" t="s">
        <v>98</v>
      </c>
      <c r="P851" s="2" t="s">
        <v>37</v>
      </c>
      <c r="Q851" s="3"/>
      <c r="R851" s="3"/>
      <c r="S851" s="2" t="s">
        <v>21</v>
      </c>
      <c r="T851" s="4">
        <v>44955</v>
      </c>
      <c r="U851" s="2" t="s">
        <v>2928</v>
      </c>
      <c r="V851" s="6">
        <f>(Sales[[#This Row],[Price_retail]]-Sales[[#This Row],[Price_current]])/Sales[[#This Row],[Price_retail]]</f>
        <v>0.24305267523849022</v>
      </c>
      <c r="W851" s="3" t="str" cm="1">
        <f t="array" ref="W85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52" spans="1:23" x14ac:dyDescent="0.35">
      <c r="A852" s="2" t="s">
        <v>2929</v>
      </c>
      <c r="B852" s="2" t="s">
        <v>2930</v>
      </c>
      <c r="C852" s="2" t="s">
        <v>1797</v>
      </c>
      <c r="D852" s="2" t="s">
        <v>253</v>
      </c>
      <c r="E852" s="2" t="s">
        <v>4</v>
      </c>
      <c r="F852" s="2" t="s">
        <v>5</v>
      </c>
      <c r="G852" s="2" t="s">
        <v>6</v>
      </c>
      <c r="H852" s="2" t="s">
        <v>35</v>
      </c>
      <c r="I852" s="2" t="s">
        <v>3390</v>
      </c>
      <c r="J852" s="3">
        <v>9.58</v>
      </c>
      <c r="K852" s="3">
        <v>9.58</v>
      </c>
      <c r="L852" s="2" t="s">
        <v>3391</v>
      </c>
      <c r="M852" s="2" t="s">
        <v>9</v>
      </c>
      <c r="N852" s="3">
        <v>681</v>
      </c>
      <c r="O852" s="2" t="s">
        <v>191</v>
      </c>
      <c r="P852" s="2" t="s">
        <v>70</v>
      </c>
      <c r="Q852" s="3"/>
      <c r="R852" s="3"/>
      <c r="S852" s="2" t="s">
        <v>21</v>
      </c>
      <c r="T852" s="4">
        <v>44955</v>
      </c>
      <c r="U852" s="2" t="s">
        <v>2931</v>
      </c>
      <c r="V852" s="6">
        <f>(Sales[[#This Row],[Price_retail]]-Sales[[#This Row],[Price_current]])/Sales[[#This Row],[Price_retail]]</f>
        <v>0</v>
      </c>
      <c r="W852" s="3" t="str" cm="1">
        <f t="array" ref="W85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53" spans="1:23" x14ac:dyDescent="0.35">
      <c r="A853" s="2" t="s">
        <v>2932</v>
      </c>
      <c r="B853" s="2" t="s">
        <v>2933</v>
      </c>
      <c r="C853" s="2" t="s">
        <v>585</v>
      </c>
      <c r="D853" s="2" t="s">
        <v>115</v>
      </c>
      <c r="E853" s="2" t="s">
        <v>4</v>
      </c>
      <c r="F853" s="2" t="s">
        <v>17</v>
      </c>
      <c r="G853" s="2" t="s">
        <v>18</v>
      </c>
      <c r="H853" s="2" t="s">
        <v>90</v>
      </c>
      <c r="I853" s="2" t="s">
        <v>3393</v>
      </c>
      <c r="J853" s="3">
        <v>8.99</v>
      </c>
      <c r="K853" s="3">
        <v>8.99</v>
      </c>
      <c r="L853" s="2" t="s">
        <v>3391</v>
      </c>
      <c r="M853" s="2" t="s">
        <v>9</v>
      </c>
      <c r="N853" s="3">
        <v>830</v>
      </c>
      <c r="O853" s="2" t="s">
        <v>91</v>
      </c>
      <c r="P853" s="2" t="s">
        <v>92</v>
      </c>
      <c r="Q853" s="3"/>
      <c r="R853" s="3"/>
      <c r="S853" s="2" t="s">
        <v>21</v>
      </c>
      <c r="T853" s="4">
        <v>44955</v>
      </c>
      <c r="U853" s="2" t="s">
        <v>2934</v>
      </c>
      <c r="V853" s="6">
        <f>(Sales[[#This Row],[Price_retail]]-Sales[[#This Row],[Price_current]])/Sales[[#This Row],[Price_retail]]</f>
        <v>0</v>
      </c>
      <c r="W853" s="3" t="str" cm="1">
        <f t="array" ref="W85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54" spans="1:23" x14ac:dyDescent="0.35">
      <c r="A854" s="2" t="s">
        <v>2935</v>
      </c>
      <c r="B854" s="2" t="s">
        <v>2936</v>
      </c>
      <c r="C854" s="2" t="s">
        <v>306</v>
      </c>
      <c r="D854" s="2" t="s">
        <v>2370</v>
      </c>
      <c r="E854" s="2" t="s">
        <v>4</v>
      </c>
      <c r="F854" s="2" t="s">
        <v>5</v>
      </c>
      <c r="G854" s="2" t="s">
        <v>82</v>
      </c>
      <c r="H854" s="2" t="s">
        <v>185</v>
      </c>
      <c r="I854" s="2" t="s">
        <v>3390</v>
      </c>
      <c r="J854" s="3">
        <v>16.88</v>
      </c>
      <c r="K854" s="3">
        <v>16.88</v>
      </c>
      <c r="L854" s="2" t="s">
        <v>3391</v>
      </c>
      <c r="M854" s="2" t="s">
        <v>9</v>
      </c>
      <c r="N854" s="3">
        <v>862</v>
      </c>
      <c r="O854" s="2" t="s">
        <v>43</v>
      </c>
      <c r="P854" s="2" t="s">
        <v>37</v>
      </c>
      <c r="Q854" s="3"/>
      <c r="R854" s="3"/>
      <c r="S854" s="2" t="s">
        <v>12</v>
      </c>
      <c r="T854" s="4">
        <v>44955</v>
      </c>
      <c r="U854" s="2" t="s">
        <v>2937</v>
      </c>
      <c r="V854" s="6">
        <f>(Sales[[#This Row],[Price_retail]]-Sales[[#This Row],[Price_current]])/Sales[[#This Row],[Price_retail]]</f>
        <v>0</v>
      </c>
      <c r="W854" s="3" t="str" cm="1">
        <f t="array" ref="W85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55" spans="1:23" x14ac:dyDescent="0.35">
      <c r="A855" s="2" t="s">
        <v>2938</v>
      </c>
      <c r="B855" s="2" t="s">
        <v>2939</v>
      </c>
      <c r="C855" s="2" t="s">
        <v>65</v>
      </c>
      <c r="D855" s="2" t="s">
        <v>144</v>
      </c>
      <c r="E855" s="2" t="s">
        <v>4</v>
      </c>
      <c r="F855" s="2" t="s">
        <v>17</v>
      </c>
      <c r="G855" s="2" t="s">
        <v>27</v>
      </c>
      <c r="H855" s="2" t="s">
        <v>145</v>
      </c>
      <c r="I855" s="2" t="s">
        <v>3393</v>
      </c>
      <c r="J855" s="3">
        <v>13.57</v>
      </c>
      <c r="K855" s="3">
        <v>7.07</v>
      </c>
      <c r="L855" s="2" t="s">
        <v>8</v>
      </c>
      <c r="M855" s="2" t="s">
        <v>9</v>
      </c>
      <c r="N855" s="3">
        <v>254</v>
      </c>
      <c r="O855" s="2" t="s">
        <v>267</v>
      </c>
      <c r="P855" s="2" t="s">
        <v>186</v>
      </c>
      <c r="Q855" s="3"/>
      <c r="R855" s="3"/>
      <c r="S855" s="2" t="s">
        <v>12</v>
      </c>
      <c r="T855" s="4">
        <v>44955</v>
      </c>
      <c r="U855" s="2" t="s">
        <v>2940</v>
      </c>
      <c r="V855" s="6">
        <f>(Sales[[#This Row],[Price_retail]]-Sales[[#This Row],[Price_current]])/Sales[[#This Row],[Price_retail]]</f>
        <v>0.47899778924097275</v>
      </c>
      <c r="W855" s="3" t="str" cm="1">
        <f t="array" ref="W85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56" spans="1:23" x14ac:dyDescent="0.35">
      <c r="A856" s="2" t="s">
        <v>2941</v>
      </c>
      <c r="B856" s="2" t="s">
        <v>2942</v>
      </c>
      <c r="C856" s="2" t="s">
        <v>2781</v>
      </c>
      <c r="D856" s="2" t="s">
        <v>292</v>
      </c>
      <c r="E856" s="2" t="s">
        <v>4</v>
      </c>
      <c r="F856" s="2" t="s">
        <v>17</v>
      </c>
      <c r="G856" s="2" t="s">
        <v>27</v>
      </c>
      <c r="H856" s="2" t="s">
        <v>145</v>
      </c>
      <c r="I856" s="2" t="s">
        <v>3390</v>
      </c>
      <c r="J856" s="3">
        <v>26.04</v>
      </c>
      <c r="K856" s="3">
        <v>26.04</v>
      </c>
      <c r="L856" s="2" t="s">
        <v>248</v>
      </c>
      <c r="M856" s="2" t="s">
        <v>9</v>
      </c>
      <c r="N856" s="3">
        <v>581</v>
      </c>
      <c r="O856" s="2" t="s">
        <v>664</v>
      </c>
      <c r="P856" s="2" t="s">
        <v>553</v>
      </c>
      <c r="Q856" s="3"/>
      <c r="R856" s="3"/>
      <c r="S856" s="2" t="s">
        <v>21</v>
      </c>
      <c r="T856" s="4">
        <v>44955</v>
      </c>
      <c r="U856" s="2" t="s">
        <v>2943</v>
      </c>
      <c r="V856" s="6">
        <f>(Sales[[#This Row],[Price_retail]]-Sales[[#This Row],[Price_current]])/Sales[[#This Row],[Price_retail]]</f>
        <v>0</v>
      </c>
      <c r="W856" s="3" t="str" cm="1">
        <f t="array" ref="W85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57" spans="1:23" x14ac:dyDescent="0.35">
      <c r="A857" s="2" t="s">
        <v>2944</v>
      </c>
      <c r="B857" s="2" t="s">
        <v>2945</v>
      </c>
      <c r="C857" s="2" t="s">
        <v>721</v>
      </c>
      <c r="D857" s="2" t="s">
        <v>2064</v>
      </c>
      <c r="E857" s="2" t="s">
        <v>4</v>
      </c>
      <c r="F857" s="2" t="s">
        <v>5</v>
      </c>
      <c r="G857" s="2" t="s">
        <v>82</v>
      </c>
      <c r="H857" s="2" t="s">
        <v>139</v>
      </c>
      <c r="I857" s="2" t="s">
        <v>3390</v>
      </c>
      <c r="J857" s="3">
        <v>20.45</v>
      </c>
      <c r="K857" s="3">
        <v>15.72</v>
      </c>
      <c r="L857" s="2" t="s">
        <v>8</v>
      </c>
      <c r="M857" s="2" t="s">
        <v>9</v>
      </c>
      <c r="N857" s="3">
        <v>279</v>
      </c>
      <c r="O857" s="2" t="s">
        <v>347</v>
      </c>
      <c r="P857" s="2" t="s">
        <v>238</v>
      </c>
      <c r="Q857" s="3"/>
      <c r="R857" s="3"/>
      <c r="S857" s="2" t="s">
        <v>12</v>
      </c>
      <c r="T857" s="4">
        <v>44955</v>
      </c>
      <c r="U857" s="2" t="s">
        <v>2946</v>
      </c>
      <c r="V857" s="6">
        <f>(Sales[[#This Row],[Price_retail]]-Sales[[#This Row],[Price_current]])/Sales[[#This Row],[Price_retail]]</f>
        <v>0.23129584352078233</v>
      </c>
      <c r="W857" s="3" t="str" cm="1">
        <f t="array" ref="W85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58" spans="1:23" x14ac:dyDescent="0.35">
      <c r="A858" s="2" t="s">
        <v>2947</v>
      </c>
      <c r="B858" s="2" t="s">
        <v>2948</v>
      </c>
      <c r="C858" s="2" t="s">
        <v>25</v>
      </c>
      <c r="D858" s="2" t="s">
        <v>971</v>
      </c>
      <c r="E858" s="2" t="s">
        <v>4</v>
      </c>
      <c r="F858" s="2" t="s">
        <v>5</v>
      </c>
      <c r="G858" s="2" t="s">
        <v>6</v>
      </c>
      <c r="H858" s="2" t="s">
        <v>134</v>
      </c>
      <c r="I858" s="2" t="s">
        <v>3390</v>
      </c>
      <c r="J858" s="3">
        <v>21.23</v>
      </c>
      <c r="K858" s="3">
        <v>21.23</v>
      </c>
      <c r="L858" s="2" t="s">
        <v>3391</v>
      </c>
      <c r="M858" s="2" t="s">
        <v>9</v>
      </c>
      <c r="N858" s="3">
        <v>891</v>
      </c>
      <c r="O858" s="2" t="s">
        <v>36</v>
      </c>
      <c r="P858" s="2" t="s">
        <v>53</v>
      </c>
      <c r="Q858" s="3"/>
      <c r="R858" s="3"/>
      <c r="S858" s="2" t="s">
        <v>21</v>
      </c>
      <c r="T858" s="4">
        <v>44955</v>
      </c>
      <c r="U858" s="2" t="s">
        <v>2949</v>
      </c>
      <c r="V858" s="6">
        <f>(Sales[[#This Row],[Price_retail]]-Sales[[#This Row],[Price_current]])/Sales[[#This Row],[Price_retail]]</f>
        <v>0</v>
      </c>
      <c r="W858" s="3" t="str" cm="1">
        <f t="array" ref="W85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59" spans="1:23" x14ac:dyDescent="0.35">
      <c r="A859" s="2" t="s">
        <v>2950</v>
      </c>
      <c r="B859" s="2" t="s">
        <v>2951</v>
      </c>
      <c r="C859" s="2" t="s">
        <v>48</v>
      </c>
      <c r="D859" s="2" t="s">
        <v>814</v>
      </c>
      <c r="E859" s="2" t="s">
        <v>4</v>
      </c>
      <c r="F859" s="2" t="s">
        <v>5</v>
      </c>
      <c r="G859" s="2" t="s">
        <v>6</v>
      </c>
      <c r="H859" s="2" t="s">
        <v>418</v>
      </c>
      <c r="I859" s="2" t="s">
        <v>3393</v>
      </c>
      <c r="J859" s="3">
        <v>30.57</v>
      </c>
      <c r="K859" s="3">
        <v>30.57</v>
      </c>
      <c r="L859" s="2" t="s">
        <v>3391</v>
      </c>
      <c r="M859" s="2" t="s">
        <v>9</v>
      </c>
      <c r="N859" s="3">
        <v>248</v>
      </c>
      <c r="O859" s="2" t="s">
        <v>261</v>
      </c>
      <c r="P859" s="2" t="s">
        <v>177</v>
      </c>
      <c r="Q859" s="3"/>
      <c r="R859" s="3"/>
      <c r="S859" s="2" t="s">
        <v>12</v>
      </c>
      <c r="T859" s="4">
        <v>44955</v>
      </c>
      <c r="U859" s="2" t="s">
        <v>2952</v>
      </c>
      <c r="V859" s="6">
        <f>(Sales[[#This Row],[Price_retail]]-Sales[[#This Row],[Price_current]])/Sales[[#This Row],[Price_retail]]</f>
        <v>0</v>
      </c>
      <c r="W859" s="3" t="str" cm="1">
        <f t="array" ref="W85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0" spans="1:23" x14ac:dyDescent="0.35">
      <c r="A860" s="2" t="s">
        <v>2953</v>
      </c>
      <c r="B860" s="2" t="s">
        <v>2954</v>
      </c>
      <c r="C860" s="2" t="s">
        <v>995</v>
      </c>
      <c r="D860" s="2" t="s">
        <v>1050</v>
      </c>
      <c r="E860" s="2" t="s">
        <v>4</v>
      </c>
      <c r="F860" s="2" t="s">
        <v>5</v>
      </c>
      <c r="G860" s="2" t="s">
        <v>121</v>
      </c>
      <c r="H860" s="2" t="s">
        <v>68</v>
      </c>
      <c r="I860" s="2" t="s">
        <v>3390</v>
      </c>
      <c r="J860" s="3">
        <v>57.14</v>
      </c>
      <c r="K860" s="3">
        <v>57.14</v>
      </c>
      <c r="L860" s="2" t="s">
        <v>3391</v>
      </c>
      <c r="M860" s="2" t="s">
        <v>9</v>
      </c>
      <c r="N860" s="3">
        <v>181</v>
      </c>
      <c r="O860" s="2" t="s">
        <v>3392</v>
      </c>
      <c r="P860" s="2" t="s">
        <v>92</v>
      </c>
      <c r="Q860" s="3"/>
      <c r="R860" s="3"/>
      <c r="S860" s="2" t="s">
        <v>12</v>
      </c>
      <c r="T860" s="4">
        <v>44955</v>
      </c>
      <c r="U860" s="2" t="s">
        <v>2955</v>
      </c>
      <c r="V860" s="6">
        <f>(Sales[[#This Row],[Price_retail]]-Sales[[#This Row],[Price_current]])/Sales[[#This Row],[Price_retail]]</f>
        <v>0</v>
      </c>
      <c r="W860" s="3" t="str" cm="1">
        <f t="array" ref="W86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1" spans="1:23" x14ac:dyDescent="0.35">
      <c r="A861" s="2" t="s">
        <v>2956</v>
      </c>
      <c r="B861" s="2" t="s">
        <v>2957</v>
      </c>
      <c r="C861" s="2" t="s">
        <v>219</v>
      </c>
      <c r="D861" s="2" t="s">
        <v>417</v>
      </c>
      <c r="E861" s="2" t="s">
        <v>4</v>
      </c>
      <c r="F861" s="2" t="s">
        <v>17</v>
      </c>
      <c r="G861" s="2" t="s">
        <v>67</v>
      </c>
      <c r="H861" s="2" t="s">
        <v>418</v>
      </c>
      <c r="I861" s="2" t="s">
        <v>3393</v>
      </c>
      <c r="J861" s="3">
        <v>9.8699999999999992</v>
      </c>
      <c r="K861" s="3">
        <v>9.8699999999999992</v>
      </c>
      <c r="L861" s="2" t="s">
        <v>3391</v>
      </c>
      <c r="M861" s="2" t="s">
        <v>9</v>
      </c>
      <c r="N861" s="3">
        <v>471</v>
      </c>
      <c r="O861" s="2" t="s">
        <v>191</v>
      </c>
      <c r="P861" s="2" t="s">
        <v>629</v>
      </c>
      <c r="Q861" s="3"/>
      <c r="R861" s="3"/>
      <c r="S861" s="2" t="s">
        <v>21</v>
      </c>
      <c r="T861" s="4">
        <v>44955</v>
      </c>
      <c r="U861" s="2" t="s">
        <v>2958</v>
      </c>
      <c r="V861" s="6">
        <f>(Sales[[#This Row],[Price_retail]]-Sales[[#This Row],[Price_current]])/Sales[[#This Row],[Price_retail]]</f>
        <v>0</v>
      </c>
      <c r="W861" s="3" t="str" cm="1">
        <f t="array" ref="W86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2" spans="1:23" x14ac:dyDescent="0.35">
      <c r="A862" s="2" t="s">
        <v>2959</v>
      </c>
      <c r="B862" s="2" t="s">
        <v>2960</v>
      </c>
      <c r="C862" s="2" t="s">
        <v>3423</v>
      </c>
      <c r="D862" s="2" t="s">
        <v>1651</v>
      </c>
      <c r="E862" s="2" t="s">
        <v>4</v>
      </c>
      <c r="F862" s="2" t="s">
        <v>5</v>
      </c>
      <c r="G862" s="2" t="s">
        <v>121</v>
      </c>
      <c r="H862" s="2" t="s">
        <v>139</v>
      </c>
      <c r="I862" s="2" t="s">
        <v>3390</v>
      </c>
      <c r="J862" s="3">
        <v>21.89</v>
      </c>
      <c r="K862" s="3">
        <v>21.89</v>
      </c>
      <c r="L862" s="2" t="s">
        <v>248</v>
      </c>
      <c r="M862" s="2" t="s">
        <v>9</v>
      </c>
      <c r="N862" s="3">
        <v>433</v>
      </c>
      <c r="O862" s="2" t="s">
        <v>98</v>
      </c>
      <c r="P862" s="2" t="s">
        <v>288</v>
      </c>
      <c r="Q862" s="3"/>
      <c r="R862" s="3"/>
      <c r="S862" s="2" t="s">
        <v>21</v>
      </c>
      <c r="T862" s="4">
        <v>44955</v>
      </c>
      <c r="U862" s="2" t="s">
        <v>2961</v>
      </c>
      <c r="V862" s="6">
        <f>(Sales[[#This Row],[Price_retail]]-Sales[[#This Row],[Price_current]])/Sales[[#This Row],[Price_retail]]</f>
        <v>0</v>
      </c>
      <c r="W862" s="3" t="str" cm="1">
        <f t="array" ref="W86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3" spans="1:23" x14ac:dyDescent="0.35">
      <c r="A863" s="2" t="s">
        <v>2962</v>
      </c>
      <c r="B863" s="2" t="s">
        <v>2963</v>
      </c>
      <c r="C863" s="2" t="s">
        <v>3394</v>
      </c>
      <c r="D863" s="2" t="s">
        <v>1176</v>
      </c>
      <c r="E863" s="2" t="s">
        <v>4</v>
      </c>
      <c r="F863" s="2" t="s">
        <v>17</v>
      </c>
      <c r="G863" s="2" t="s">
        <v>67</v>
      </c>
      <c r="H863" s="2" t="s">
        <v>83</v>
      </c>
      <c r="I863" s="2" t="s">
        <v>3393</v>
      </c>
      <c r="J863" s="3">
        <v>8.99</v>
      </c>
      <c r="K863" s="3">
        <v>8.99</v>
      </c>
      <c r="L863" s="2" t="s">
        <v>3391</v>
      </c>
      <c r="M863" s="2" t="s">
        <v>9</v>
      </c>
      <c r="N863" s="3">
        <v>290</v>
      </c>
      <c r="O863" s="2" t="s">
        <v>75</v>
      </c>
      <c r="P863" s="2" t="s">
        <v>128</v>
      </c>
      <c r="Q863" s="3"/>
      <c r="R863" s="3"/>
      <c r="S863" s="2" t="s">
        <v>21</v>
      </c>
      <c r="T863" s="4">
        <v>44955</v>
      </c>
      <c r="U863" s="2" t="s">
        <v>2964</v>
      </c>
      <c r="V863" s="6">
        <f>(Sales[[#This Row],[Price_retail]]-Sales[[#This Row],[Price_current]])/Sales[[#This Row],[Price_retail]]</f>
        <v>0</v>
      </c>
      <c r="W863" s="3" t="str" cm="1">
        <f t="array" ref="W86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4" spans="1:23" x14ac:dyDescent="0.35">
      <c r="A864" s="2" t="s">
        <v>2965</v>
      </c>
      <c r="B864" s="2" t="s">
        <v>2966</v>
      </c>
      <c r="C864" s="2" t="s">
        <v>3394</v>
      </c>
      <c r="D864" s="2" t="s">
        <v>354</v>
      </c>
      <c r="E864" s="2" t="s">
        <v>4</v>
      </c>
      <c r="F864" s="2" t="s">
        <v>17</v>
      </c>
      <c r="G864" s="2" t="s">
        <v>67</v>
      </c>
      <c r="H864" s="2" t="s">
        <v>90</v>
      </c>
      <c r="I864" s="2" t="s">
        <v>3393</v>
      </c>
      <c r="J864" s="3">
        <v>8.99</v>
      </c>
      <c r="K864" s="3">
        <v>899</v>
      </c>
      <c r="L864" s="2" t="s">
        <v>3391</v>
      </c>
      <c r="M864" s="2" t="s">
        <v>9</v>
      </c>
      <c r="N864" s="3">
        <v>959</v>
      </c>
      <c r="O864" s="2" t="s">
        <v>140</v>
      </c>
      <c r="P864" s="2" t="s">
        <v>215</v>
      </c>
      <c r="Q864" s="3"/>
      <c r="R864" s="3"/>
      <c r="S864" s="2" t="s">
        <v>21</v>
      </c>
      <c r="T864" s="4">
        <v>44955</v>
      </c>
      <c r="U864" s="2" t="s">
        <v>2967</v>
      </c>
      <c r="V864" s="6">
        <f>(Sales[[#This Row],[Price_retail]]-Sales[[#This Row],[Price_current]])/Sales[[#This Row],[Price_retail]]</f>
        <v>-99</v>
      </c>
      <c r="W864" s="3" t="str" cm="1">
        <f t="array" ref="W864">_xlfn.IFS(Sales[[#This Row],[Discount]]=0%,"No Discount",Sales[[#This Row],[Discount]]&lt;=20%,"Light",Sales[[#This Row],[Discount]]&lt;=50%,"Moderate",Sales[[#This Row],[Discount]]&lt;=80%,"High",
TRUE,"Very High")</f>
        <v>Light</v>
      </c>
    </row>
    <row r="865" spans="1:23" x14ac:dyDescent="0.35">
      <c r="A865" s="2" t="s">
        <v>2968</v>
      </c>
      <c r="B865" s="2" t="s">
        <v>2969</v>
      </c>
      <c r="C865" s="2" t="s">
        <v>242</v>
      </c>
      <c r="D865" s="2" t="s">
        <v>162</v>
      </c>
      <c r="E865" s="2" t="s">
        <v>4</v>
      </c>
      <c r="F865" s="2" t="s">
        <v>17</v>
      </c>
      <c r="G865" s="2" t="s">
        <v>27</v>
      </c>
      <c r="H865" s="2" t="s">
        <v>35</v>
      </c>
      <c r="I865" s="2" t="s">
        <v>3393</v>
      </c>
      <c r="J865" s="3">
        <v>11.2</v>
      </c>
      <c r="K865" s="3">
        <v>6.66</v>
      </c>
      <c r="L865" s="2" t="s">
        <v>8</v>
      </c>
      <c r="M865" s="2" t="s">
        <v>9</v>
      </c>
      <c r="N865" s="3">
        <v>4</v>
      </c>
      <c r="O865" s="2" t="s">
        <v>60</v>
      </c>
      <c r="P865" s="2" t="s">
        <v>221</v>
      </c>
      <c r="Q865" s="3"/>
      <c r="R865" s="3"/>
      <c r="S865" s="2" t="s">
        <v>12</v>
      </c>
      <c r="T865" s="4">
        <v>44955</v>
      </c>
      <c r="U865" s="2" t="s">
        <v>2970</v>
      </c>
      <c r="V865" s="6">
        <f>(Sales[[#This Row],[Price_retail]]-Sales[[#This Row],[Price_current]])/Sales[[#This Row],[Price_retail]]</f>
        <v>0.4053571428571428</v>
      </c>
      <c r="W865" s="3" t="str" cm="1">
        <f t="array" ref="W86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66" spans="1:23" x14ac:dyDescent="0.35">
      <c r="A866" s="2" t="s">
        <v>2971</v>
      </c>
      <c r="B866" s="2" t="s">
        <v>2972</v>
      </c>
      <c r="C866" s="2" t="s">
        <v>25</v>
      </c>
      <c r="D866" s="2" t="s">
        <v>16</v>
      </c>
      <c r="E866" s="2" t="s">
        <v>4</v>
      </c>
      <c r="F866" s="2" t="s">
        <v>17</v>
      </c>
      <c r="G866" s="2" t="s">
        <v>18</v>
      </c>
      <c r="H866" s="2" t="s">
        <v>19</v>
      </c>
      <c r="I866" s="2" t="s">
        <v>3393</v>
      </c>
      <c r="J866" s="3">
        <v>38.33</v>
      </c>
      <c r="K866" s="3">
        <v>38.33</v>
      </c>
      <c r="L866" s="2" t="s">
        <v>3391</v>
      </c>
      <c r="M866" s="2" t="s">
        <v>9</v>
      </c>
      <c r="N866" s="3">
        <v>869</v>
      </c>
      <c r="O866" s="2" t="s">
        <v>287</v>
      </c>
      <c r="P866" s="2" t="s">
        <v>122</v>
      </c>
      <c r="Q866" s="3"/>
      <c r="R866" s="3"/>
      <c r="S866" s="2" t="s">
        <v>12</v>
      </c>
      <c r="T866" s="4">
        <v>44955</v>
      </c>
      <c r="U866" s="2" t="s">
        <v>2973</v>
      </c>
      <c r="V866" s="6">
        <f>(Sales[[#This Row],[Price_retail]]-Sales[[#This Row],[Price_current]])/Sales[[#This Row],[Price_retail]]</f>
        <v>0</v>
      </c>
      <c r="W866" s="3" t="str" cm="1">
        <f t="array" ref="W8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7" spans="1:23" x14ac:dyDescent="0.35">
      <c r="A867" s="2" t="s">
        <v>2974</v>
      </c>
      <c r="B867" s="2" t="s">
        <v>2975</v>
      </c>
      <c r="C867" s="2" t="s">
        <v>1143</v>
      </c>
      <c r="D867" s="2" t="s">
        <v>319</v>
      </c>
      <c r="E867" s="2" t="s">
        <v>4</v>
      </c>
      <c r="F867" s="2" t="s">
        <v>5</v>
      </c>
      <c r="G867" s="2" t="s">
        <v>82</v>
      </c>
      <c r="H867" s="2" t="s">
        <v>90</v>
      </c>
      <c r="I867" s="2" t="s">
        <v>3390</v>
      </c>
      <c r="J867" s="3">
        <v>18.09</v>
      </c>
      <c r="K867" s="3">
        <v>18.09</v>
      </c>
      <c r="L867" s="2" t="s">
        <v>3391</v>
      </c>
      <c r="M867" s="2" t="s">
        <v>9</v>
      </c>
      <c r="N867" s="3">
        <v>536</v>
      </c>
      <c r="O867" s="2" t="s">
        <v>29</v>
      </c>
      <c r="P867" s="2" t="s">
        <v>238</v>
      </c>
      <c r="Q867" s="3"/>
      <c r="R867" s="3"/>
      <c r="S867" s="2" t="s">
        <v>12</v>
      </c>
      <c r="T867" s="4">
        <v>44955</v>
      </c>
      <c r="U867" s="2" t="s">
        <v>2976</v>
      </c>
      <c r="V867" s="6">
        <f>(Sales[[#This Row],[Price_retail]]-Sales[[#This Row],[Price_current]])/Sales[[#This Row],[Price_retail]]</f>
        <v>0</v>
      </c>
      <c r="W867" s="3" t="str" cm="1">
        <f t="array" ref="W8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68" spans="1:23" x14ac:dyDescent="0.35">
      <c r="A868" s="2" t="s">
        <v>2977</v>
      </c>
      <c r="B868" s="2" t="s">
        <v>2978</v>
      </c>
      <c r="C868" s="2" t="s">
        <v>541</v>
      </c>
      <c r="D868" s="2" t="s">
        <v>699</v>
      </c>
      <c r="E868" s="2" t="s">
        <v>4</v>
      </c>
      <c r="F868" s="2" t="s">
        <v>5</v>
      </c>
      <c r="G868" s="2" t="s">
        <v>6</v>
      </c>
      <c r="H868" s="2" t="s">
        <v>68</v>
      </c>
      <c r="I868" s="2" t="s">
        <v>3393</v>
      </c>
      <c r="J868" s="3">
        <v>11.3</v>
      </c>
      <c r="K868" s="3">
        <v>9.23</v>
      </c>
      <c r="L868" s="2" t="s">
        <v>8</v>
      </c>
      <c r="M868" s="2" t="s">
        <v>9</v>
      </c>
      <c r="N868" s="3">
        <v>164</v>
      </c>
      <c r="O868" s="2" t="s">
        <v>163</v>
      </c>
      <c r="P868" s="2" t="s">
        <v>92</v>
      </c>
      <c r="Q868" s="3"/>
      <c r="R868" s="3"/>
      <c r="S868" s="2" t="s">
        <v>21</v>
      </c>
      <c r="T868" s="4">
        <v>44955</v>
      </c>
      <c r="U868" s="2" t="s">
        <v>2979</v>
      </c>
      <c r="V868" s="6">
        <f>(Sales[[#This Row],[Price_retail]]-Sales[[#This Row],[Price_current]])/Sales[[#This Row],[Price_retail]]</f>
        <v>0.18318584070796462</v>
      </c>
      <c r="W868" s="3" t="str" cm="1">
        <f t="array" ref="W868">_xlfn.IFS(Sales[[#This Row],[Discount]]=0%,"No Discount",Sales[[#This Row],[Discount]]&lt;=20%,"Light",Sales[[#This Row],[Discount]]&lt;=50%,"Moderate",Sales[[#This Row],[Discount]]&lt;=80%,"High",
TRUE,"Very High")</f>
        <v>Light</v>
      </c>
    </row>
    <row r="869" spans="1:23" x14ac:dyDescent="0.35">
      <c r="A869" s="2" t="s">
        <v>2980</v>
      </c>
      <c r="B869" s="2" t="s">
        <v>2981</v>
      </c>
      <c r="C869" s="2" t="s">
        <v>2915</v>
      </c>
      <c r="D869" s="2" t="s">
        <v>501</v>
      </c>
      <c r="E869" s="2" t="s">
        <v>4</v>
      </c>
      <c r="F869" s="2" t="s">
        <v>17</v>
      </c>
      <c r="G869" s="2" t="s">
        <v>18</v>
      </c>
      <c r="H869" s="2" t="s">
        <v>83</v>
      </c>
      <c r="I869" s="2" t="s">
        <v>3393</v>
      </c>
      <c r="J869" s="3">
        <v>19.22</v>
      </c>
      <c r="K869" s="3">
        <v>19.22</v>
      </c>
      <c r="L869" s="2" t="s">
        <v>3391</v>
      </c>
      <c r="M869" s="2" t="s">
        <v>9</v>
      </c>
      <c r="N869" s="3">
        <v>189</v>
      </c>
      <c r="O869" s="2" t="s">
        <v>98</v>
      </c>
      <c r="P869" s="2" t="s">
        <v>215</v>
      </c>
      <c r="Q869" s="3"/>
      <c r="R869" s="3"/>
      <c r="S869" s="2" t="s">
        <v>21</v>
      </c>
      <c r="T869" s="4">
        <v>44955</v>
      </c>
      <c r="U869" s="2" t="s">
        <v>2982</v>
      </c>
      <c r="V869" s="6">
        <f>(Sales[[#This Row],[Price_retail]]-Sales[[#This Row],[Price_current]])/Sales[[#This Row],[Price_retail]]</f>
        <v>0</v>
      </c>
      <c r="W869" s="3" t="str" cm="1">
        <f t="array" ref="W86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0" spans="1:23" x14ac:dyDescent="0.35">
      <c r="A870" s="2" t="s">
        <v>2983</v>
      </c>
      <c r="B870" s="2" t="s">
        <v>2984</v>
      </c>
      <c r="C870" s="2" t="s">
        <v>750</v>
      </c>
      <c r="D870" s="2" t="s">
        <v>307</v>
      </c>
      <c r="E870" s="2" t="s">
        <v>4</v>
      </c>
      <c r="F870" s="2" t="s">
        <v>5</v>
      </c>
      <c r="G870" s="2" t="s">
        <v>6</v>
      </c>
      <c r="H870" s="2" t="s">
        <v>83</v>
      </c>
      <c r="I870" s="2" t="s">
        <v>3393</v>
      </c>
      <c r="J870" s="3">
        <v>15.95</v>
      </c>
      <c r="K870" s="3">
        <v>15.95</v>
      </c>
      <c r="L870" s="2" t="s">
        <v>3391</v>
      </c>
      <c r="M870" s="2" t="s">
        <v>9</v>
      </c>
      <c r="N870" s="3">
        <v>40</v>
      </c>
      <c r="O870" s="2" t="s">
        <v>359</v>
      </c>
      <c r="P870" s="2" t="s">
        <v>238</v>
      </c>
      <c r="Q870" s="3"/>
      <c r="R870" s="3"/>
      <c r="S870" s="2" t="s">
        <v>21</v>
      </c>
      <c r="T870" s="4">
        <v>44955</v>
      </c>
      <c r="U870" s="2" t="s">
        <v>2985</v>
      </c>
      <c r="V870" s="6">
        <f>(Sales[[#This Row],[Price_retail]]-Sales[[#This Row],[Price_current]])/Sales[[#This Row],[Price_retail]]</f>
        <v>0</v>
      </c>
      <c r="W870" s="3" t="str" cm="1">
        <f t="array" ref="W8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1" spans="1:23" x14ac:dyDescent="0.35">
      <c r="A871" s="2" t="s">
        <v>2986</v>
      </c>
      <c r="B871" s="2" t="s">
        <v>2987</v>
      </c>
      <c r="C871" s="2" t="s">
        <v>1468</v>
      </c>
      <c r="D871" s="2" t="s">
        <v>181</v>
      </c>
      <c r="E871" s="2" t="s">
        <v>4</v>
      </c>
      <c r="F871" s="2" t="s">
        <v>5</v>
      </c>
      <c r="G871" s="2" t="s">
        <v>6</v>
      </c>
      <c r="H871" s="2" t="s">
        <v>68</v>
      </c>
      <c r="I871" s="2" t="s">
        <v>3390</v>
      </c>
      <c r="J871" s="3">
        <v>11.93</v>
      </c>
      <c r="K871" s="3">
        <v>5.46</v>
      </c>
      <c r="L871" s="2" t="s">
        <v>8</v>
      </c>
      <c r="M871" s="2" t="s">
        <v>9</v>
      </c>
      <c r="N871" s="3">
        <v>283</v>
      </c>
      <c r="O871" s="2" t="s">
        <v>91</v>
      </c>
      <c r="P871" s="2" t="s">
        <v>2988</v>
      </c>
      <c r="Q871" s="3"/>
      <c r="R871" s="3"/>
      <c r="S871" s="2" t="s">
        <v>21</v>
      </c>
      <c r="T871" s="4">
        <v>44955</v>
      </c>
      <c r="U871" s="2" t="s">
        <v>2989</v>
      </c>
      <c r="V871" s="6">
        <f>(Sales[[#This Row],[Price_retail]]-Sales[[#This Row],[Price_current]])/Sales[[#This Row],[Price_retail]]</f>
        <v>0.54233025984911987</v>
      </c>
      <c r="W871" s="3" t="str" cm="1">
        <f t="array" ref="W871">_xlfn.IFS(Sales[[#This Row],[Discount]]=0%,"No Discount",Sales[[#This Row],[Discount]]&lt;=20%,"Light",Sales[[#This Row],[Discount]]&lt;=50%,"Moderate",Sales[[#This Row],[Discount]]&lt;=80%,"High",
TRUE,"Very High")</f>
        <v>High</v>
      </c>
    </row>
    <row r="872" spans="1:23" x14ac:dyDescent="0.35">
      <c r="A872" s="2" t="s">
        <v>2990</v>
      </c>
      <c r="B872" s="2" t="s">
        <v>2991</v>
      </c>
      <c r="C872" s="2" t="s">
        <v>3409</v>
      </c>
      <c r="D872" s="2" t="s">
        <v>842</v>
      </c>
      <c r="E872" s="2" t="s">
        <v>4</v>
      </c>
      <c r="F872" s="2" t="s">
        <v>5</v>
      </c>
      <c r="G872" s="2" t="s">
        <v>6</v>
      </c>
      <c r="H872" s="2" t="s">
        <v>7</v>
      </c>
      <c r="I872" s="2" t="s">
        <v>3390</v>
      </c>
      <c r="J872" s="3">
        <v>8.99</v>
      </c>
      <c r="K872" s="3">
        <v>4.04</v>
      </c>
      <c r="L872" s="2" t="s">
        <v>8</v>
      </c>
      <c r="M872" s="2" t="s">
        <v>9</v>
      </c>
      <c r="N872" s="3">
        <v>280</v>
      </c>
      <c r="O872" s="2" t="s">
        <v>52</v>
      </c>
      <c r="P872" s="2" t="s">
        <v>3392</v>
      </c>
      <c r="Q872" s="3"/>
      <c r="R872" s="3"/>
      <c r="S872" s="2" t="s">
        <v>21</v>
      </c>
      <c r="T872" s="4">
        <v>44955</v>
      </c>
      <c r="U872" s="2" t="s">
        <v>2992</v>
      </c>
      <c r="V872" s="6">
        <f>(Sales[[#This Row],[Price_retail]]-Sales[[#This Row],[Price_current]])/Sales[[#This Row],[Price_retail]]</f>
        <v>0.55061179087875423</v>
      </c>
      <c r="W872" s="3" t="str" cm="1">
        <f t="array" ref="W872">_xlfn.IFS(Sales[[#This Row],[Discount]]=0%,"No Discount",Sales[[#This Row],[Discount]]&lt;=20%,"Light",Sales[[#This Row],[Discount]]&lt;=50%,"Moderate",Sales[[#This Row],[Discount]]&lt;=80%,"High",
TRUE,"Very High")</f>
        <v>High</v>
      </c>
    </row>
    <row r="873" spans="1:23" x14ac:dyDescent="0.35">
      <c r="A873" s="2" t="s">
        <v>2993</v>
      </c>
      <c r="B873" s="2" t="s">
        <v>2994</v>
      </c>
      <c r="C873" s="2" t="s">
        <v>3413</v>
      </c>
      <c r="D873" s="2" t="s">
        <v>301</v>
      </c>
      <c r="E873" s="2" t="s">
        <v>4</v>
      </c>
      <c r="F873" s="2" t="s">
        <v>17</v>
      </c>
      <c r="G873" s="2" t="s">
        <v>18</v>
      </c>
      <c r="H873" s="2" t="s">
        <v>145</v>
      </c>
      <c r="I873" s="2" t="s">
        <v>3393</v>
      </c>
      <c r="J873" s="3">
        <v>34.51</v>
      </c>
      <c r="K873" s="3">
        <v>34.51</v>
      </c>
      <c r="L873" s="2" t="s">
        <v>3391</v>
      </c>
      <c r="M873" s="2" t="s">
        <v>9</v>
      </c>
      <c r="N873" s="3">
        <v>367</v>
      </c>
      <c r="O873" s="2" t="s">
        <v>52</v>
      </c>
      <c r="P873" s="2" t="s">
        <v>37</v>
      </c>
      <c r="Q873" s="3"/>
      <c r="R873" s="3"/>
      <c r="S873" s="2" t="s">
        <v>12</v>
      </c>
      <c r="T873" s="4">
        <v>44955</v>
      </c>
      <c r="U873" s="2" t="s">
        <v>2995</v>
      </c>
      <c r="V873" s="6">
        <f>(Sales[[#This Row],[Price_retail]]-Sales[[#This Row],[Price_current]])/Sales[[#This Row],[Price_retail]]</f>
        <v>0</v>
      </c>
      <c r="W873" s="3" t="str" cm="1">
        <f t="array" ref="W87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4" spans="1:23" x14ac:dyDescent="0.35">
      <c r="A874" s="2" t="s">
        <v>2996</v>
      </c>
      <c r="B874" s="2" t="s">
        <v>2997</v>
      </c>
      <c r="C874" s="2" t="s">
        <v>1010</v>
      </c>
      <c r="D874" s="2" t="s">
        <v>162</v>
      </c>
      <c r="E874" s="2" t="s">
        <v>4</v>
      </c>
      <c r="F874" s="2" t="s">
        <v>17</v>
      </c>
      <c r="G874" s="2" t="s">
        <v>27</v>
      </c>
      <c r="H874" s="2" t="s">
        <v>35</v>
      </c>
      <c r="I874" s="2" t="s">
        <v>3393</v>
      </c>
      <c r="J874" s="3">
        <v>17.559999999999999</v>
      </c>
      <c r="K874" s="3">
        <v>17.559999999999999</v>
      </c>
      <c r="L874" s="2" t="s">
        <v>3391</v>
      </c>
      <c r="M874" s="2" t="s">
        <v>9</v>
      </c>
      <c r="N874" s="3">
        <v>707</v>
      </c>
      <c r="O874" s="2" t="s">
        <v>43</v>
      </c>
      <c r="P874" s="2" t="s">
        <v>128</v>
      </c>
      <c r="Q874" s="3"/>
      <c r="R874" s="3"/>
      <c r="S874" s="2" t="s">
        <v>21</v>
      </c>
      <c r="T874" s="4">
        <v>44955</v>
      </c>
      <c r="U874" s="2" t="s">
        <v>2998</v>
      </c>
      <c r="V874" s="6">
        <f>(Sales[[#This Row],[Price_retail]]-Sales[[#This Row],[Price_current]])/Sales[[#This Row],[Price_retail]]</f>
        <v>0</v>
      </c>
      <c r="W874" s="3" t="str" cm="1">
        <f t="array" ref="W87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5" spans="1:23" x14ac:dyDescent="0.35">
      <c r="A875" s="2" t="s">
        <v>2999</v>
      </c>
      <c r="B875" s="2" t="s">
        <v>3000</v>
      </c>
      <c r="C875" s="2" t="s">
        <v>3394</v>
      </c>
      <c r="D875" s="2" t="s">
        <v>506</v>
      </c>
      <c r="E875" s="2" t="s">
        <v>4</v>
      </c>
      <c r="F875" s="2" t="s">
        <v>5</v>
      </c>
      <c r="G875" s="2" t="s">
        <v>121</v>
      </c>
      <c r="H875" s="2" t="s">
        <v>237</v>
      </c>
      <c r="I875" s="2" t="s">
        <v>3390</v>
      </c>
      <c r="J875" s="3">
        <v>51.71</v>
      </c>
      <c r="K875" s="3">
        <v>51.71</v>
      </c>
      <c r="L875" s="2" t="s">
        <v>3391</v>
      </c>
      <c r="M875" s="2" t="s">
        <v>9</v>
      </c>
      <c r="N875" s="3">
        <v>421</v>
      </c>
      <c r="O875" s="2" t="s">
        <v>52</v>
      </c>
      <c r="P875" s="2" t="s">
        <v>11</v>
      </c>
      <c r="Q875" s="3"/>
      <c r="R875" s="3"/>
      <c r="S875" s="2" t="s">
        <v>21</v>
      </c>
      <c r="T875" s="4">
        <v>44955</v>
      </c>
      <c r="U875" s="2" t="s">
        <v>3001</v>
      </c>
      <c r="V875" s="6">
        <f>(Sales[[#This Row],[Price_retail]]-Sales[[#This Row],[Price_current]])/Sales[[#This Row],[Price_retail]]</f>
        <v>0</v>
      </c>
      <c r="W875" s="3" t="str" cm="1">
        <f t="array" ref="W87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6" spans="1:23" x14ac:dyDescent="0.35">
      <c r="A876" s="2" t="s">
        <v>3002</v>
      </c>
      <c r="B876" s="2" t="s">
        <v>3003</v>
      </c>
      <c r="C876" s="2" t="s">
        <v>797</v>
      </c>
      <c r="D876" s="2" t="s">
        <v>533</v>
      </c>
      <c r="E876" s="2" t="s">
        <v>4</v>
      </c>
      <c r="F876" s="2" t="s">
        <v>17</v>
      </c>
      <c r="G876" s="2" t="s">
        <v>27</v>
      </c>
      <c r="H876" s="2" t="s">
        <v>59</v>
      </c>
      <c r="I876" s="2" t="s">
        <v>3393</v>
      </c>
      <c r="J876" s="3">
        <v>26.24</v>
      </c>
      <c r="K876" s="3">
        <v>15.72</v>
      </c>
      <c r="L876" s="2" t="s">
        <v>8</v>
      </c>
      <c r="M876" s="2" t="s">
        <v>9</v>
      </c>
      <c r="N876" s="3">
        <v>271</v>
      </c>
      <c r="O876" s="2" t="s">
        <v>43</v>
      </c>
      <c r="P876" s="2" t="s">
        <v>192</v>
      </c>
      <c r="Q876" s="3"/>
      <c r="R876" s="3"/>
      <c r="S876" s="2" t="s">
        <v>21</v>
      </c>
      <c r="T876" s="4">
        <v>44955</v>
      </c>
      <c r="U876" s="2" t="s">
        <v>3004</v>
      </c>
      <c r="V876" s="6">
        <f>(Sales[[#This Row],[Price_retail]]-Sales[[#This Row],[Price_current]])/Sales[[#This Row],[Price_retail]]</f>
        <v>0.40091463414634143</v>
      </c>
      <c r="W876" s="3" t="str" cm="1">
        <f t="array" ref="W87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77" spans="1:23" x14ac:dyDescent="0.35">
      <c r="A877" s="2" t="s">
        <v>3005</v>
      </c>
      <c r="B877" s="2" t="s">
        <v>3006</v>
      </c>
      <c r="C877" s="2" t="s">
        <v>242</v>
      </c>
      <c r="D877" s="2" t="s">
        <v>1523</v>
      </c>
      <c r="E877" s="2" t="s">
        <v>4</v>
      </c>
      <c r="F877" s="2" t="s">
        <v>17</v>
      </c>
      <c r="G877" s="2" t="s">
        <v>50</v>
      </c>
      <c r="H877" s="2" t="s">
        <v>333</v>
      </c>
      <c r="I877" s="2" t="s">
        <v>3390</v>
      </c>
      <c r="J877" s="3">
        <v>21.18</v>
      </c>
      <c r="K877" s="3">
        <v>21.18</v>
      </c>
      <c r="L877" s="2" t="s">
        <v>3391</v>
      </c>
      <c r="M877" s="2" t="s">
        <v>9</v>
      </c>
      <c r="N877" s="3">
        <v>836</v>
      </c>
      <c r="O877" s="2" t="s">
        <v>75</v>
      </c>
      <c r="P877" s="2" t="s">
        <v>334</v>
      </c>
      <c r="Q877" s="3"/>
      <c r="R877" s="3"/>
      <c r="S877" s="2" t="s">
        <v>21</v>
      </c>
      <c r="T877" s="4">
        <v>44955</v>
      </c>
      <c r="U877" s="2" t="s">
        <v>3007</v>
      </c>
      <c r="V877" s="6">
        <f>(Sales[[#This Row],[Price_retail]]-Sales[[#This Row],[Price_current]])/Sales[[#This Row],[Price_retail]]</f>
        <v>0</v>
      </c>
      <c r="W877" s="3" t="str" cm="1">
        <f t="array" ref="W87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8" spans="1:23" x14ac:dyDescent="0.35">
      <c r="A878" s="2" t="s">
        <v>3008</v>
      </c>
      <c r="B878" s="2" t="s">
        <v>3009</v>
      </c>
      <c r="C878" s="2" t="s">
        <v>108</v>
      </c>
      <c r="D878" s="2" t="s">
        <v>939</v>
      </c>
      <c r="E878" s="2" t="s">
        <v>4</v>
      </c>
      <c r="F878" s="2" t="s">
        <v>5</v>
      </c>
      <c r="G878" s="2" t="s">
        <v>121</v>
      </c>
      <c r="H878" s="2"/>
      <c r="I878" s="2" t="s">
        <v>3393</v>
      </c>
      <c r="J878" s="3">
        <v>12.31</v>
      </c>
      <c r="K878" s="3">
        <v>12.31</v>
      </c>
      <c r="L878" s="2" t="s">
        <v>3391</v>
      </c>
      <c r="M878" s="2" t="s">
        <v>9</v>
      </c>
      <c r="N878" s="3">
        <v>475</v>
      </c>
      <c r="O878" s="2" t="s">
        <v>20</v>
      </c>
      <c r="P878" s="2" t="s">
        <v>283</v>
      </c>
      <c r="Q878" s="3"/>
      <c r="R878" s="3"/>
      <c r="S878" s="2" t="s">
        <v>21</v>
      </c>
      <c r="T878" s="4">
        <v>44955</v>
      </c>
      <c r="U878" s="2" t="s">
        <v>3010</v>
      </c>
      <c r="V878" s="6">
        <f>(Sales[[#This Row],[Price_retail]]-Sales[[#This Row],[Price_current]])/Sales[[#This Row],[Price_retail]]</f>
        <v>0</v>
      </c>
      <c r="W878" s="3" t="str" cm="1">
        <f t="array" ref="W8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79" spans="1:23" x14ac:dyDescent="0.35">
      <c r="A879" s="2" t="s">
        <v>3011</v>
      </c>
      <c r="B879" s="2" t="s">
        <v>3012</v>
      </c>
      <c r="C879" s="2" t="s">
        <v>1594</v>
      </c>
      <c r="D879" s="2" t="s">
        <v>704</v>
      </c>
      <c r="E879" s="2" t="s">
        <v>4</v>
      </c>
      <c r="F879" s="2" t="s">
        <v>17</v>
      </c>
      <c r="G879" s="2" t="s">
        <v>50</v>
      </c>
      <c r="H879" s="2" t="s">
        <v>51</v>
      </c>
      <c r="I879" s="2" t="s">
        <v>3390</v>
      </c>
      <c r="J879" s="3">
        <v>8.99</v>
      </c>
      <c r="K879" s="3">
        <v>8.99</v>
      </c>
      <c r="L879" s="2" t="s">
        <v>3391</v>
      </c>
      <c r="M879" s="2" t="s">
        <v>9</v>
      </c>
      <c r="N879" s="3">
        <v>505</v>
      </c>
      <c r="O879" s="2" t="s">
        <v>91</v>
      </c>
      <c r="P879" s="2" t="s">
        <v>629</v>
      </c>
      <c r="Q879" s="3"/>
      <c r="R879" s="3"/>
      <c r="S879" s="2" t="s">
        <v>21</v>
      </c>
      <c r="T879" s="4">
        <v>44955</v>
      </c>
      <c r="U879" s="2" t="s">
        <v>3013</v>
      </c>
      <c r="V879" s="6">
        <f>(Sales[[#This Row],[Price_retail]]-Sales[[#This Row],[Price_current]])/Sales[[#This Row],[Price_retail]]</f>
        <v>0</v>
      </c>
      <c r="W879" s="3" t="str" cm="1">
        <f t="array" ref="W87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80" spans="1:23" x14ac:dyDescent="0.35">
      <c r="A880" s="2" t="s">
        <v>3014</v>
      </c>
      <c r="B880" s="2" t="s">
        <v>3015</v>
      </c>
      <c r="C880" s="2" t="s">
        <v>3400</v>
      </c>
      <c r="D880" s="2" t="s">
        <v>905</v>
      </c>
      <c r="E880" s="2" t="s">
        <v>4</v>
      </c>
      <c r="F880" s="2" t="s">
        <v>5</v>
      </c>
      <c r="G880" s="2" t="s">
        <v>6</v>
      </c>
      <c r="H880" s="2" t="s">
        <v>28</v>
      </c>
      <c r="I880" s="2" t="s">
        <v>3390</v>
      </c>
      <c r="J880" s="3">
        <v>13.88</v>
      </c>
      <c r="K880" s="3">
        <v>5.98</v>
      </c>
      <c r="L880" s="2" t="s">
        <v>8</v>
      </c>
      <c r="M880" s="2" t="s">
        <v>9</v>
      </c>
      <c r="N880" s="3">
        <v>494</v>
      </c>
      <c r="O880" s="2" t="s">
        <v>3392</v>
      </c>
      <c r="P880" s="2" t="s">
        <v>53</v>
      </c>
      <c r="Q880" s="3"/>
      <c r="R880" s="3"/>
      <c r="S880" s="2" t="s">
        <v>21</v>
      </c>
      <c r="T880" s="4">
        <v>44955</v>
      </c>
      <c r="U880" s="2" t="s">
        <v>3016</v>
      </c>
      <c r="V880" s="6">
        <f>(Sales[[#This Row],[Price_retail]]-Sales[[#This Row],[Price_current]])/Sales[[#This Row],[Price_retail]]</f>
        <v>0.56916426512968299</v>
      </c>
      <c r="W880" s="3" t="str" cm="1">
        <f t="array" ref="W880">_xlfn.IFS(Sales[[#This Row],[Discount]]=0%,"No Discount",Sales[[#This Row],[Discount]]&lt;=20%,"Light",Sales[[#This Row],[Discount]]&lt;=50%,"Moderate",Sales[[#This Row],[Discount]]&lt;=80%,"High",
TRUE,"Very High")</f>
        <v>High</v>
      </c>
    </row>
    <row r="881" spans="1:23" x14ac:dyDescent="0.35">
      <c r="A881" s="2" t="s">
        <v>3017</v>
      </c>
      <c r="B881" s="2" t="s">
        <v>3018</v>
      </c>
      <c r="C881" s="2" t="s">
        <v>750</v>
      </c>
      <c r="D881" s="2" t="s">
        <v>1015</v>
      </c>
      <c r="E881" s="2" t="s">
        <v>4</v>
      </c>
      <c r="F881" s="2" t="s">
        <v>5</v>
      </c>
      <c r="G881" s="2" t="s">
        <v>82</v>
      </c>
      <c r="H881" s="2" t="s">
        <v>7</v>
      </c>
      <c r="I881" s="2" t="s">
        <v>3393</v>
      </c>
      <c r="J881" s="3">
        <v>8.99</v>
      </c>
      <c r="K881" s="3">
        <v>8.99</v>
      </c>
      <c r="L881" s="2" t="s">
        <v>3391</v>
      </c>
      <c r="M881" s="2" t="s">
        <v>9</v>
      </c>
      <c r="N881" s="3">
        <v>558</v>
      </c>
      <c r="O881" s="2" t="s">
        <v>29</v>
      </c>
      <c r="P881" s="2" t="s">
        <v>92</v>
      </c>
      <c r="Q881" s="3"/>
      <c r="R881" s="3"/>
      <c r="S881" s="2" t="s">
        <v>21</v>
      </c>
      <c r="T881" s="4">
        <v>44955</v>
      </c>
      <c r="U881" s="2" t="s">
        <v>3019</v>
      </c>
      <c r="V881" s="6">
        <f>(Sales[[#This Row],[Price_retail]]-Sales[[#This Row],[Price_current]])/Sales[[#This Row],[Price_retail]]</f>
        <v>0</v>
      </c>
      <c r="W881" s="3" t="str" cm="1">
        <f t="array" ref="W88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82" spans="1:23" x14ac:dyDescent="0.35">
      <c r="A882" s="2" t="s">
        <v>3020</v>
      </c>
      <c r="B882" s="2" t="s">
        <v>3021</v>
      </c>
      <c r="C882" s="2" t="s">
        <v>65</v>
      </c>
      <c r="D882" s="2" t="s">
        <v>1247</v>
      </c>
      <c r="E882" s="2" t="s">
        <v>4</v>
      </c>
      <c r="F882" s="2" t="s">
        <v>5</v>
      </c>
      <c r="G882" s="2" t="s">
        <v>121</v>
      </c>
      <c r="H882" s="2" t="s">
        <v>237</v>
      </c>
      <c r="I882" s="2" t="s">
        <v>3393</v>
      </c>
      <c r="J882" s="3">
        <v>22.37</v>
      </c>
      <c r="K882" s="3">
        <v>14.03</v>
      </c>
      <c r="L882" s="2" t="s">
        <v>8</v>
      </c>
      <c r="M882" s="2" t="s">
        <v>9</v>
      </c>
      <c r="N882" s="3">
        <v>615</v>
      </c>
      <c r="O882" s="2" t="s">
        <v>20</v>
      </c>
      <c r="P882" s="2" t="s">
        <v>53</v>
      </c>
      <c r="Q882" s="3"/>
      <c r="R882" s="3"/>
      <c r="S882" s="2" t="s">
        <v>21</v>
      </c>
      <c r="T882" s="4">
        <v>44955</v>
      </c>
      <c r="U882" s="2" t="s">
        <v>3022</v>
      </c>
      <c r="V882" s="6">
        <f>(Sales[[#This Row],[Price_retail]]-Sales[[#This Row],[Price_current]])/Sales[[#This Row],[Price_retail]]</f>
        <v>0.37282074206526605</v>
      </c>
      <c r="W882" s="3" t="str" cm="1">
        <f t="array" ref="W88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83" spans="1:23" x14ac:dyDescent="0.35">
      <c r="A883" s="2" t="s">
        <v>3023</v>
      </c>
      <c r="B883" s="2" t="s">
        <v>3024</v>
      </c>
      <c r="C883" s="2" t="s">
        <v>978</v>
      </c>
      <c r="D883" s="2" t="s">
        <v>26</v>
      </c>
      <c r="E883" s="2" t="s">
        <v>4</v>
      </c>
      <c r="F883" s="2" t="s">
        <v>17</v>
      </c>
      <c r="G883" s="2" t="s">
        <v>18</v>
      </c>
      <c r="H883" s="2" t="s">
        <v>28</v>
      </c>
      <c r="I883" s="2" t="s">
        <v>3390</v>
      </c>
      <c r="J883" s="3">
        <v>38.4</v>
      </c>
      <c r="K883" s="3">
        <v>2219</v>
      </c>
      <c r="L883" s="2" t="s">
        <v>8</v>
      </c>
      <c r="M883" s="2" t="s">
        <v>9</v>
      </c>
      <c r="N883" s="3">
        <v>112</v>
      </c>
      <c r="O883" s="2" t="s">
        <v>52</v>
      </c>
      <c r="P883" s="2" t="s">
        <v>215</v>
      </c>
      <c r="Q883" s="3"/>
      <c r="R883" s="3"/>
      <c r="S883" s="2" t="s">
        <v>21</v>
      </c>
      <c r="T883" s="4">
        <v>44955</v>
      </c>
      <c r="U883" s="2" t="s">
        <v>3025</v>
      </c>
      <c r="V883" s="6">
        <f>(Sales[[#This Row],[Price_retail]]-Sales[[#This Row],[Price_current]])/Sales[[#This Row],[Price_retail]]</f>
        <v>-56.786458333333336</v>
      </c>
      <c r="W883" s="3" t="str" cm="1">
        <f t="array" ref="W883">_xlfn.IFS(Sales[[#This Row],[Discount]]=0%,"No Discount",Sales[[#This Row],[Discount]]&lt;=20%,"Light",Sales[[#This Row],[Discount]]&lt;=50%,"Moderate",Sales[[#This Row],[Discount]]&lt;=80%,"High",
TRUE,"Very High")</f>
        <v>Light</v>
      </c>
    </row>
    <row r="884" spans="1:23" x14ac:dyDescent="0.35">
      <c r="A884" s="2" t="s">
        <v>3026</v>
      </c>
      <c r="B884" s="2" t="s">
        <v>3027</v>
      </c>
      <c r="C884" s="2" t="s">
        <v>1180</v>
      </c>
      <c r="D884" s="2" t="s">
        <v>842</v>
      </c>
      <c r="E884" s="2" t="s">
        <v>4</v>
      </c>
      <c r="F884" s="2" t="s">
        <v>5</v>
      </c>
      <c r="G884" s="2" t="s">
        <v>121</v>
      </c>
      <c r="H884" s="2" t="s">
        <v>7</v>
      </c>
      <c r="I884" s="2" t="s">
        <v>3393</v>
      </c>
      <c r="J884" s="3">
        <v>13.55</v>
      </c>
      <c r="K884" s="3">
        <v>13.55</v>
      </c>
      <c r="L884" s="2" t="s">
        <v>3391</v>
      </c>
      <c r="M884" s="2" t="s">
        <v>9</v>
      </c>
      <c r="N884" s="3">
        <v>147</v>
      </c>
      <c r="O884" s="2" t="s">
        <v>69</v>
      </c>
      <c r="P884" s="2" t="s">
        <v>215</v>
      </c>
      <c r="Q884" s="3"/>
      <c r="R884" s="3"/>
      <c r="S884" s="2" t="s">
        <v>12</v>
      </c>
      <c r="T884" s="4">
        <v>44955</v>
      </c>
      <c r="U884" s="2" t="s">
        <v>3028</v>
      </c>
      <c r="V884" s="6">
        <f>(Sales[[#This Row],[Price_retail]]-Sales[[#This Row],[Price_current]])/Sales[[#This Row],[Price_retail]]</f>
        <v>0</v>
      </c>
      <c r="W884" s="3" t="str" cm="1">
        <f t="array" ref="W8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85" spans="1:23" x14ac:dyDescent="0.35">
      <c r="A885" s="2" t="s">
        <v>3029</v>
      </c>
      <c r="B885" s="2" t="s">
        <v>3030</v>
      </c>
      <c r="C885" s="2" t="s">
        <v>2915</v>
      </c>
      <c r="D885" s="2" t="s">
        <v>376</v>
      </c>
      <c r="E885" s="2" t="s">
        <v>4</v>
      </c>
      <c r="F885" s="2" t="s">
        <v>17</v>
      </c>
      <c r="G885" s="2" t="s">
        <v>50</v>
      </c>
      <c r="H885" s="2" t="s">
        <v>168</v>
      </c>
      <c r="I885" s="2" t="s">
        <v>3393</v>
      </c>
      <c r="J885" s="3">
        <v>26.3</v>
      </c>
      <c r="K885" s="3">
        <v>26.3</v>
      </c>
      <c r="L885" s="2" t="s">
        <v>3391</v>
      </c>
      <c r="M885" s="2" t="s">
        <v>9</v>
      </c>
      <c r="N885" s="3">
        <v>368</v>
      </c>
      <c r="O885" s="2" t="s">
        <v>302</v>
      </c>
      <c r="P885" s="2" t="s">
        <v>30</v>
      </c>
      <c r="Q885" s="3"/>
      <c r="R885" s="3"/>
      <c r="S885" s="2" t="s">
        <v>21</v>
      </c>
      <c r="T885" s="4">
        <v>44955</v>
      </c>
      <c r="U885" s="2" t="s">
        <v>3031</v>
      </c>
      <c r="V885" s="6">
        <f>(Sales[[#This Row],[Price_retail]]-Sales[[#This Row],[Price_current]])/Sales[[#This Row],[Price_retail]]</f>
        <v>0</v>
      </c>
      <c r="W885" s="3" t="str" cm="1">
        <f t="array" ref="W88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86" spans="1:23" x14ac:dyDescent="0.35">
      <c r="A886" s="2" t="s">
        <v>3032</v>
      </c>
      <c r="B886" s="2" t="s">
        <v>3033</v>
      </c>
      <c r="C886" s="2" t="s">
        <v>65</v>
      </c>
      <c r="D886" s="2" t="s">
        <v>909</v>
      </c>
      <c r="E886" s="2" t="s">
        <v>4</v>
      </c>
      <c r="F886" s="2" t="s">
        <v>17</v>
      </c>
      <c r="G886" s="2" t="s">
        <v>50</v>
      </c>
      <c r="H886" s="2" t="s">
        <v>110</v>
      </c>
      <c r="I886" s="2" t="s">
        <v>3390</v>
      </c>
      <c r="J886" s="3">
        <v>10.71</v>
      </c>
      <c r="K886" s="3">
        <v>10.71</v>
      </c>
      <c r="L886" s="2" t="s">
        <v>3391</v>
      </c>
      <c r="M886" s="2" t="s">
        <v>9</v>
      </c>
      <c r="N886" s="3">
        <v>553</v>
      </c>
      <c r="O886" s="2" t="s">
        <v>91</v>
      </c>
      <c r="P886" s="2" t="s">
        <v>238</v>
      </c>
      <c r="Q886" s="3"/>
      <c r="R886" s="3"/>
      <c r="S886" s="2" t="s">
        <v>21</v>
      </c>
      <c r="T886" s="4">
        <v>44955</v>
      </c>
      <c r="U886" s="2" t="s">
        <v>3034</v>
      </c>
      <c r="V886" s="6">
        <f>(Sales[[#This Row],[Price_retail]]-Sales[[#This Row],[Price_current]])/Sales[[#This Row],[Price_retail]]</f>
        <v>0</v>
      </c>
      <c r="W886" s="3" t="str" cm="1">
        <f t="array" ref="W88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87" spans="1:23" x14ac:dyDescent="0.35">
      <c r="A887" s="2" t="s">
        <v>3035</v>
      </c>
      <c r="B887" s="2" t="s">
        <v>3036</v>
      </c>
      <c r="C887" s="2" t="s">
        <v>65</v>
      </c>
      <c r="D887" s="2" t="s">
        <v>173</v>
      </c>
      <c r="E887" s="2" t="s">
        <v>4</v>
      </c>
      <c r="F887" s="2" t="s">
        <v>17</v>
      </c>
      <c r="G887" s="2" t="s">
        <v>27</v>
      </c>
      <c r="H887" s="2" t="s">
        <v>7</v>
      </c>
      <c r="I887" s="2" t="s">
        <v>3393</v>
      </c>
      <c r="J887" s="3">
        <v>13.25</v>
      </c>
      <c r="K887" s="3">
        <v>13.25</v>
      </c>
      <c r="L887" s="2" t="s">
        <v>3391</v>
      </c>
      <c r="M887" s="2" t="s">
        <v>9</v>
      </c>
      <c r="N887" s="3">
        <v>221</v>
      </c>
      <c r="O887" s="2" t="s">
        <v>10</v>
      </c>
      <c r="P887" s="2" t="s">
        <v>177</v>
      </c>
      <c r="Q887" s="3"/>
      <c r="R887" s="3"/>
      <c r="S887" s="2" t="s">
        <v>21</v>
      </c>
      <c r="T887" s="4">
        <v>44955</v>
      </c>
      <c r="U887" s="2" t="s">
        <v>3037</v>
      </c>
      <c r="V887" s="6">
        <f>(Sales[[#This Row],[Price_retail]]-Sales[[#This Row],[Price_current]])/Sales[[#This Row],[Price_retail]]</f>
        <v>0</v>
      </c>
      <c r="W887" s="3" t="str" cm="1">
        <f t="array" ref="W88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88" spans="1:23" x14ac:dyDescent="0.35">
      <c r="A888" s="2" t="s">
        <v>3038</v>
      </c>
      <c r="B888" s="2" t="s">
        <v>3039</v>
      </c>
      <c r="C888" s="2" t="s">
        <v>750</v>
      </c>
      <c r="D888" s="2" t="s">
        <v>1091</v>
      </c>
      <c r="E888" s="2" t="s">
        <v>4</v>
      </c>
      <c r="F888" s="2" t="s">
        <v>17</v>
      </c>
      <c r="G888" s="2" t="s">
        <v>67</v>
      </c>
      <c r="H888" s="2" t="s">
        <v>7</v>
      </c>
      <c r="I888" s="2" t="s">
        <v>3390</v>
      </c>
      <c r="J888" s="3">
        <v>9.99</v>
      </c>
      <c r="K888" s="3">
        <v>5.18</v>
      </c>
      <c r="L888" s="2" t="s">
        <v>8</v>
      </c>
      <c r="M888" s="2" t="s">
        <v>9</v>
      </c>
      <c r="N888" s="3">
        <v>907</v>
      </c>
      <c r="O888" s="2" t="s">
        <v>104</v>
      </c>
      <c r="P888" s="2" t="s">
        <v>3392</v>
      </c>
      <c r="Q888" s="3"/>
      <c r="R888" s="3"/>
      <c r="S888" s="2" t="s">
        <v>21</v>
      </c>
      <c r="T888" s="4">
        <v>44955</v>
      </c>
      <c r="U888" s="2" t="s">
        <v>3040</v>
      </c>
      <c r="V888" s="6">
        <f>(Sales[[#This Row],[Price_retail]]-Sales[[#This Row],[Price_current]])/Sales[[#This Row],[Price_retail]]</f>
        <v>0.48148148148148151</v>
      </c>
      <c r="W888" s="3" t="str" cm="1">
        <f t="array" ref="W88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89" spans="1:23" x14ac:dyDescent="0.35">
      <c r="A889" s="2" t="s">
        <v>3041</v>
      </c>
      <c r="B889" s="2" t="s">
        <v>3042</v>
      </c>
      <c r="C889" s="2" t="s">
        <v>65</v>
      </c>
      <c r="D889" s="2" t="s">
        <v>490</v>
      </c>
      <c r="E889" s="2" t="s">
        <v>4</v>
      </c>
      <c r="F889" s="2" t="s">
        <v>17</v>
      </c>
      <c r="G889" s="2" t="s">
        <v>27</v>
      </c>
      <c r="H889" s="2" t="s">
        <v>185</v>
      </c>
      <c r="I889" s="2" t="s">
        <v>3390</v>
      </c>
      <c r="J889" s="3">
        <v>8.99</v>
      </c>
      <c r="K889" s="3">
        <v>5.83</v>
      </c>
      <c r="L889" s="2" t="s">
        <v>8</v>
      </c>
      <c r="M889" s="2" t="s">
        <v>9</v>
      </c>
      <c r="N889" s="3">
        <v>933</v>
      </c>
      <c r="O889" s="2" t="s">
        <v>261</v>
      </c>
      <c r="P889" s="2" t="s">
        <v>3392</v>
      </c>
      <c r="Q889" s="3"/>
      <c r="R889" s="3"/>
      <c r="S889" s="2" t="s">
        <v>12</v>
      </c>
      <c r="T889" s="4">
        <v>44955</v>
      </c>
      <c r="U889" s="2" t="s">
        <v>3043</v>
      </c>
      <c r="V889" s="6">
        <f>(Sales[[#This Row],[Price_retail]]-Sales[[#This Row],[Price_current]])/Sales[[#This Row],[Price_retail]]</f>
        <v>0.3515016685205784</v>
      </c>
      <c r="W889" s="3" t="str" cm="1">
        <f t="array" ref="W88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90" spans="1:23" x14ac:dyDescent="0.35">
      <c r="A890" s="2" t="s">
        <v>3044</v>
      </c>
      <c r="B890" s="2" t="s">
        <v>3045</v>
      </c>
      <c r="C890" s="2" t="s">
        <v>102</v>
      </c>
      <c r="D890" s="2" t="s">
        <v>314</v>
      </c>
      <c r="E890" s="2" t="s">
        <v>4</v>
      </c>
      <c r="F890" s="2" t="s">
        <v>17</v>
      </c>
      <c r="G890" s="2" t="s">
        <v>67</v>
      </c>
      <c r="H890" s="2"/>
      <c r="I890" s="2" t="s">
        <v>3390</v>
      </c>
      <c r="J890" s="3">
        <v>15.33</v>
      </c>
      <c r="K890" s="3">
        <v>15.33</v>
      </c>
      <c r="L890" s="2" t="s">
        <v>3391</v>
      </c>
      <c r="M890" s="2" t="s">
        <v>9</v>
      </c>
      <c r="N890" s="3">
        <v>754</v>
      </c>
      <c r="O890" s="2" t="s">
        <v>3392</v>
      </c>
      <c r="P890" s="2" t="s">
        <v>186</v>
      </c>
      <c r="Q890" s="3"/>
      <c r="R890" s="3"/>
      <c r="S890" s="2" t="s">
        <v>21</v>
      </c>
      <c r="T890" s="4">
        <v>44955</v>
      </c>
      <c r="U890" s="2" t="s">
        <v>3046</v>
      </c>
      <c r="V890" s="6">
        <f>(Sales[[#This Row],[Price_retail]]-Sales[[#This Row],[Price_current]])/Sales[[#This Row],[Price_retail]]</f>
        <v>0</v>
      </c>
      <c r="W890" s="3" t="str" cm="1">
        <f t="array" ref="W89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91" spans="1:23" x14ac:dyDescent="0.35">
      <c r="A891" s="2" t="s">
        <v>3047</v>
      </c>
      <c r="B891" s="2" t="s">
        <v>3048</v>
      </c>
      <c r="C891" s="2" t="s">
        <v>1090</v>
      </c>
      <c r="D891" s="2" t="s">
        <v>913</v>
      </c>
      <c r="E891" s="2" t="s">
        <v>4</v>
      </c>
      <c r="F891" s="2" t="s">
        <v>17</v>
      </c>
      <c r="G891" s="2" t="s">
        <v>50</v>
      </c>
      <c r="H891" s="2" t="s">
        <v>51</v>
      </c>
      <c r="I891" s="2" t="s">
        <v>3390</v>
      </c>
      <c r="J891" s="3">
        <v>16.79</v>
      </c>
      <c r="K891" s="3">
        <v>16.79</v>
      </c>
      <c r="L891" s="2" t="s">
        <v>3391</v>
      </c>
      <c r="M891" s="2" t="s">
        <v>9</v>
      </c>
      <c r="N891" s="3">
        <v>399</v>
      </c>
      <c r="O891" s="2" t="s">
        <v>20</v>
      </c>
      <c r="P891" s="2" t="s">
        <v>169</v>
      </c>
      <c r="Q891" s="3"/>
      <c r="R891" s="3"/>
      <c r="S891" s="2" t="s">
        <v>21</v>
      </c>
      <c r="T891" s="4">
        <v>44955</v>
      </c>
      <c r="U891" s="2" t="s">
        <v>3049</v>
      </c>
      <c r="V891" s="6">
        <f>(Sales[[#This Row],[Price_retail]]-Sales[[#This Row],[Price_current]])/Sales[[#This Row],[Price_retail]]</f>
        <v>0</v>
      </c>
      <c r="W891" s="3" t="str" cm="1">
        <f t="array" ref="W89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92" spans="1:23" x14ac:dyDescent="0.35">
      <c r="A892" s="2" t="s">
        <v>3050</v>
      </c>
      <c r="B892" s="2" t="s">
        <v>3051</v>
      </c>
      <c r="C892" s="2" t="s">
        <v>65</v>
      </c>
      <c r="D892" s="2" t="s">
        <v>2312</v>
      </c>
      <c r="E892" s="2" t="s">
        <v>4</v>
      </c>
      <c r="F892" s="2" t="s">
        <v>5</v>
      </c>
      <c r="G892" s="2" t="s">
        <v>6</v>
      </c>
      <c r="H892" s="2" t="s">
        <v>145</v>
      </c>
      <c r="I892" s="2" t="s">
        <v>3393</v>
      </c>
      <c r="J892" s="3">
        <v>28.11</v>
      </c>
      <c r="K892" s="3">
        <v>28.11</v>
      </c>
      <c r="L892" s="2" t="s">
        <v>3391</v>
      </c>
      <c r="M892" s="2" t="s">
        <v>9</v>
      </c>
      <c r="N892" s="3">
        <v>84</v>
      </c>
      <c r="O892" s="2" t="s">
        <v>3392</v>
      </c>
      <c r="P892" s="2" t="s">
        <v>70</v>
      </c>
      <c r="Q892" s="3"/>
      <c r="R892" s="3"/>
      <c r="S892" s="2" t="s">
        <v>12</v>
      </c>
      <c r="T892" s="4">
        <v>44955</v>
      </c>
      <c r="U892" s="2" t="s">
        <v>3052</v>
      </c>
      <c r="V892" s="6">
        <f>(Sales[[#This Row],[Price_retail]]-Sales[[#This Row],[Price_current]])/Sales[[#This Row],[Price_retail]]</f>
        <v>0</v>
      </c>
      <c r="W892" s="3" t="str" cm="1">
        <f t="array" ref="W8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93" spans="1:23" x14ac:dyDescent="0.35">
      <c r="A893" s="2" t="s">
        <v>3053</v>
      </c>
      <c r="B893" s="2" t="s">
        <v>3054</v>
      </c>
      <c r="C893" s="2" t="s">
        <v>65</v>
      </c>
      <c r="D893" s="2" t="s">
        <v>734</v>
      </c>
      <c r="E893" s="2" t="s">
        <v>4</v>
      </c>
      <c r="F893" s="2" t="s">
        <v>5</v>
      </c>
      <c r="G893" s="2" t="s">
        <v>121</v>
      </c>
      <c r="H893" s="2" t="s">
        <v>19</v>
      </c>
      <c r="I893" s="2" t="s">
        <v>3393</v>
      </c>
      <c r="J893" s="3">
        <v>24.23</v>
      </c>
      <c r="K893" s="3">
        <v>20.75</v>
      </c>
      <c r="L893" s="2" t="s">
        <v>8</v>
      </c>
      <c r="M893" s="2" t="s">
        <v>9</v>
      </c>
      <c r="N893" s="3">
        <v>874</v>
      </c>
      <c r="O893" s="2" t="s">
        <v>261</v>
      </c>
      <c r="P893" s="2" t="s">
        <v>283</v>
      </c>
      <c r="Q893" s="3"/>
      <c r="R893" s="3"/>
      <c r="S893" s="2" t="s">
        <v>21</v>
      </c>
      <c r="T893" s="4">
        <v>44955</v>
      </c>
      <c r="U893" s="2" t="s">
        <v>3055</v>
      </c>
      <c r="V893" s="6">
        <f>(Sales[[#This Row],[Price_retail]]-Sales[[#This Row],[Price_current]])/Sales[[#This Row],[Price_retail]]</f>
        <v>0.14362360709863806</v>
      </c>
      <c r="W893" s="3" t="str" cm="1">
        <f t="array" ref="W893">_xlfn.IFS(Sales[[#This Row],[Discount]]=0%,"No Discount",Sales[[#This Row],[Discount]]&lt;=20%,"Light",Sales[[#This Row],[Discount]]&lt;=50%,"Moderate",Sales[[#This Row],[Discount]]&lt;=80%,"High",
TRUE,"Very High")</f>
        <v>Light</v>
      </c>
    </row>
    <row r="894" spans="1:23" x14ac:dyDescent="0.35">
      <c r="A894" s="2" t="s">
        <v>3056</v>
      </c>
      <c r="B894" s="2" t="s">
        <v>3057</v>
      </c>
      <c r="C894" s="2" t="s">
        <v>242</v>
      </c>
      <c r="D894" s="2" t="s">
        <v>428</v>
      </c>
      <c r="E894" s="2" t="s">
        <v>4</v>
      </c>
      <c r="F894" s="2" t="s">
        <v>5</v>
      </c>
      <c r="G894" s="2" t="s">
        <v>121</v>
      </c>
      <c r="H894" s="2"/>
      <c r="I894" s="2" t="s">
        <v>3389</v>
      </c>
      <c r="J894" s="3">
        <v>24.41</v>
      </c>
      <c r="K894" s="3">
        <v>14.04</v>
      </c>
      <c r="L894" s="2" t="s">
        <v>8</v>
      </c>
      <c r="M894" s="2" t="s">
        <v>9</v>
      </c>
      <c r="N894" s="3">
        <v>791</v>
      </c>
      <c r="O894" s="2" t="s">
        <v>98</v>
      </c>
      <c r="P894" s="2" t="s">
        <v>128</v>
      </c>
      <c r="Q894" s="3"/>
      <c r="R894" s="3"/>
      <c r="S894" s="2" t="s">
        <v>21</v>
      </c>
      <c r="T894" s="4">
        <v>44955</v>
      </c>
      <c r="U894" s="2" t="s">
        <v>3058</v>
      </c>
      <c r="V894" s="6">
        <f>(Sales[[#This Row],[Price_retail]]-Sales[[#This Row],[Price_current]])/Sales[[#This Row],[Price_retail]]</f>
        <v>0.42482589102826712</v>
      </c>
      <c r="W894" s="3" t="str" cm="1">
        <f t="array" ref="W89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95" spans="1:23" x14ac:dyDescent="0.35">
      <c r="A895" s="2" t="s">
        <v>3059</v>
      </c>
      <c r="B895" s="2" t="s">
        <v>3060</v>
      </c>
      <c r="C895" s="2" t="s">
        <v>108</v>
      </c>
      <c r="D895" s="2" t="s">
        <v>625</v>
      </c>
      <c r="E895" s="2" t="s">
        <v>4</v>
      </c>
      <c r="F895" s="2" t="s">
        <v>17</v>
      </c>
      <c r="G895" s="2" t="s">
        <v>18</v>
      </c>
      <c r="H895" s="2" t="s">
        <v>333</v>
      </c>
      <c r="I895" s="2" t="s">
        <v>3390</v>
      </c>
      <c r="J895" s="3">
        <v>9.15</v>
      </c>
      <c r="K895" s="3">
        <v>6.65</v>
      </c>
      <c r="L895" s="2" t="s">
        <v>8</v>
      </c>
      <c r="M895" s="2" t="s">
        <v>9</v>
      </c>
      <c r="N895" s="3">
        <v>132</v>
      </c>
      <c r="O895" s="2" t="s">
        <v>104</v>
      </c>
      <c r="P895" s="2" t="s">
        <v>215</v>
      </c>
      <c r="Q895" s="3"/>
      <c r="R895" s="3"/>
      <c r="S895" s="2" t="s">
        <v>12</v>
      </c>
      <c r="T895" s="4">
        <v>44955</v>
      </c>
      <c r="U895" s="2" t="s">
        <v>3061</v>
      </c>
      <c r="V895" s="6">
        <f>(Sales[[#This Row],[Price_retail]]-Sales[[#This Row],[Price_current]])/Sales[[#This Row],[Price_retail]]</f>
        <v>0.27322404371584696</v>
      </c>
      <c r="W895" s="3" t="str" cm="1">
        <f t="array" ref="W89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96" spans="1:23" x14ac:dyDescent="0.35">
      <c r="A896" s="2" t="s">
        <v>3062</v>
      </c>
      <c r="B896" s="2" t="s">
        <v>3063</v>
      </c>
      <c r="C896" s="2" t="s">
        <v>750</v>
      </c>
      <c r="D896" s="2" t="s">
        <v>225</v>
      </c>
      <c r="E896" s="2" t="s">
        <v>4</v>
      </c>
      <c r="F896" s="2" t="s">
        <v>17</v>
      </c>
      <c r="G896" s="2" t="s">
        <v>18</v>
      </c>
      <c r="H896" s="2" t="s">
        <v>110</v>
      </c>
      <c r="I896" s="2" t="s">
        <v>3390</v>
      </c>
      <c r="J896" s="3">
        <v>20.14</v>
      </c>
      <c r="K896" s="3">
        <v>20.14</v>
      </c>
      <c r="L896" s="2" t="s">
        <v>3391</v>
      </c>
      <c r="M896" s="2" t="s">
        <v>9</v>
      </c>
      <c r="N896" s="3">
        <v>462</v>
      </c>
      <c r="O896" s="2" t="s">
        <v>3392</v>
      </c>
      <c r="P896" s="2" t="s">
        <v>128</v>
      </c>
      <c r="Q896" s="3"/>
      <c r="R896" s="3"/>
      <c r="S896" s="2" t="s">
        <v>21</v>
      </c>
      <c r="T896" s="4">
        <v>44955</v>
      </c>
      <c r="U896" s="2" t="s">
        <v>3064</v>
      </c>
      <c r="V896" s="6">
        <f>(Sales[[#This Row],[Price_retail]]-Sales[[#This Row],[Price_current]])/Sales[[#This Row],[Price_retail]]</f>
        <v>0</v>
      </c>
      <c r="W896" s="3" t="str" cm="1">
        <f t="array" ref="W89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97" spans="1:23" x14ac:dyDescent="0.35">
      <c r="A897" s="2" t="s">
        <v>3065</v>
      </c>
      <c r="B897" s="2" t="s">
        <v>3066</v>
      </c>
      <c r="C897" s="2" t="s">
        <v>2374</v>
      </c>
      <c r="D897" s="2" t="s">
        <v>857</v>
      </c>
      <c r="E897" s="2" t="s">
        <v>4</v>
      </c>
      <c r="F897" s="2" t="s">
        <v>5</v>
      </c>
      <c r="G897" s="2" t="s">
        <v>6</v>
      </c>
      <c r="H897" s="2" t="s">
        <v>51</v>
      </c>
      <c r="I897" s="2" t="s">
        <v>3390</v>
      </c>
      <c r="J897" s="3">
        <v>37.35</v>
      </c>
      <c r="K897" s="3">
        <v>37.35</v>
      </c>
      <c r="L897" s="2" t="s">
        <v>3391</v>
      </c>
      <c r="M897" s="2" t="s">
        <v>9</v>
      </c>
      <c r="N897" s="3">
        <v>405</v>
      </c>
      <c r="O897" s="2" t="s">
        <v>36</v>
      </c>
      <c r="P897" s="2" t="s">
        <v>215</v>
      </c>
      <c r="Q897" s="3"/>
      <c r="R897" s="3"/>
      <c r="S897" s="2" t="s">
        <v>21</v>
      </c>
      <c r="T897" s="4">
        <v>44955</v>
      </c>
      <c r="U897" s="2" t="s">
        <v>3067</v>
      </c>
      <c r="V897" s="6">
        <f>(Sales[[#This Row],[Price_retail]]-Sales[[#This Row],[Price_current]])/Sales[[#This Row],[Price_retail]]</f>
        <v>0</v>
      </c>
      <c r="W897" s="3" t="str" cm="1">
        <f t="array" ref="W89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898" spans="1:23" x14ac:dyDescent="0.35">
      <c r="A898" s="2" t="s">
        <v>3068</v>
      </c>
      <c r="B898" s="2" t="s">
        <v>3069</v>
      </c>
      <c r="C898" s="2" t="s">
        <v>1743</v>
      </c>
      <c r="D898" s="2" t="s">
        <v>557</v>
      </c>
      <c r="E898" s="2" t="s">
        <v>4</v>
      </c>
      <c r="F898" s="2" t="s">
        <v>5</v>
      </c>
      <c r="G898" s="2" t="s">
        <v>121</v>
      </c>
      <c r="H898" s="2" t="s">
        <v>28</v>
      </c>
      <c r="I898" s="2" t="s">
        <v>3395</v>
      </c>
      <c r="J898" s="3">
        <v>19.28</v>
      </c>
      <c r="K898" s="3">
        <v>13.84</v>
      </c>
      <c r="L898" s="2" t="s">
        <v>8</v>
      </c>
      <c r="M898" s="2" t="s">
        <v>9</v>
      </c>
      <c r="N898" s="3">
        <v>645</v>
      </c>
      <c r="O898" s="2" t="s">
        <v>664</v>
      </c>
      <c r="P898" s="2" t="s">
        <v>221</v>
      </c>
      <c r="Q898" s="3"/>
      <c r="R898" s="3"/>
      <c r="S898" s="2" t="s">
        <v>21</v>
      </c>
      <c r="T898" s="4">
        <v>44955</v>
      </c>
      <c r="U898" s="2" t="s">
        <v>3070</v>
      </c>
      <c r="V898" s="6">
        <f>(Sales[[#This Row],[Price_retail]]-Sales[[#This Row],[Price_current]])/Sales[[#This Row],[Price_retail]]</f>
        <v>0.28215767634854777</v>
      </c>
      <c r="W898" s="3" t="str" cm="1">
        <f t="array" ref="W89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899" spans="1:23" x14ac:dyDescent="0.35">
      <c r="A899" s="2" t="s">
        <v>3071</v>
      </c>
      <c r="B899" s="2" t="s">
        <v>3072</v>
      </c>
      <c r="C899" s="2" t="s">
        <v>65</v>
      </c>
      <c r="D899" s="2" t="s">
        <v>1106</v>
      </c>
      <c r="E899" s="2" t="s">
        <v>4</v>
      </c>
      <c r="F899" s="2" t="s">
        <v>5</v>
      </c>
      <c r="G899" s="2" t="s">
        <v>82</v>
      </c>
      <c r="H899" s="2" t="s">
        <v>19</v>
      </c>
      <c r="I899" s="2" t="s">
        <v>3393</v>
      </c>
      <c r="J899" s="3">
        <v>42.77</v>
      </c>
      <c r="K899" s="3">
        <v>27.13</v>
      </c>
      <c r="L899" s="2" t="s">
        <v>8</v>
      </c>
      <c r="M899" s="2" t="s">
        <v>9</v>
      </c>
      <c r="N899" s="3">
        <v>552</v>
      </c>
      <c r="O899" s="2" t="s">
        <v>104</v>
      </c>
      <c r="P899" s="2" t="s">
        <v>70</v>
      </c>
      <c r="Q899" s="3"/>
      <c r="R899" s="3"/>
      <c r="S899" s="2" t="s">
        <v>21</v>
      </c>
      <c r="T899" s="4">
        <v>44955</v>
      </c>
      <c r="U899" s="2" t="s">
        <v>3073</v>
      </c>
      <c r="V899" s="6">
        <f>(Sales[[#This Row],[Price_retail]]-Sales[[#This Row],[Price_current]])/Sales[[#This Row],[Price_retail]]</f>
        <v>0.36567687631517426</v>
      </c>
      <c r="W899" s="3" t="str" cm="1">
        <f t="array" ref="W89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00" spans="1:23" x14ac:dyDescent="0.35">
      <c r="A900" s="2" t="s">
        <v>3074</v>
      </c>
      <c r="B900" s="2" t="s">
        <v>3075</v>
      </c>
      <c r="C900" s="2" t="s">
        <v>489</v>
      </c>
      <c r="D900" s="2" t="s">
        <v>58</v>
      </c>
      <c r="E900" s="2" t="s">
        <v>4</v>
      </c>
      <c r="F900" s="2" t="s">
        <v>17</v>
      </c>
      <c r="G900" s="2" t="s">
        <v>27</v>
      </c>
      <c r="H900" s="2" t="s">
        <v>59</v>
      </c>
      <c r="I900" s="2" t="s">
        <v>3393</v>
      </c>
      <c r="J900" s="3">
        <v>47.49</v>
      </c>
      <c r="K900" s="3">
        <v>47.49</v>
      </c>
      <c r="L900" s="2" t="s">
        <v>3391</v>
      </c>
      <c r="M900" s="2" t="s">
        <v>9</v>
      </c>
      <c r="N900" s="3">
        <v>936</v>
      </c>
      <c r="O900" s="2" t="s">
        <v>75</v>
      </c>
      <c r="P900" s="2" t="s">
        <v>61</v>
      </c>
      <c r="Q900" s="3"/>
      <c r="R900" s="3"/>
      <c r="S900" s="2" t="s">
        <v>21</v>
      </c>
      <c r="T900" s="4">
        <v>44955</v>
      </c>
      <c r="U900" s="2" t="s">
        <v>3076</v>
      </c>
      <c r="V900" s="6">
        <f>(Sales[[#This Row],[Price_retail]]-Sales[[#This Row],[Price_current]])/Sales[[#This Row],[Price_retail]]</f>
        <v>0</v>
      </c>
      <c r="W900" s="3" t="str" cm="1">
        <f t="array" ref="W90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01" spans="1:23" x14ac:dyDescent="0.35">
      <c r="A901" s="2" t="s">
        <v>3077</v>
      </c>
      <c r="B901" s="2" t="s">
        <v>3078</v>
      </c>
      <c r="C901" s="2" t="s">
        <v>65</v>
      </c>
      <c r="D901" s="2" t="s">
        <v>327</v>
      </c>
      <c r="E901" s="2" t="s">
        <v>4</v>
      </c>
      <c r="F901" s="2" t="s">
        <v>5</v>
      </c>
      <c r="G901" s="2" t="s">
        <v>82</v>
      </c>
      <c r="H901" s="2" t="s">
        <v>110</v>
      </c>
      <c r="I901" s="2" t="s">
        <v>3395</v>
      </c>
      <c r="J901" s="3">
        <v>13.5</v>
      </c>
      <c r="K901" s="3">
        <v>13.5</v>
      </c>
      <c r="L901" s="2" t="s">
        <v>3391</v>
      </c>
      <c r="M901" s="2" t="s">
        <v>9</v>
      </c>
      <c r="N901" s="3">
        <v>961</v>
      </c>
      <c r="O901" s="2" t="s">
        <v>43</v>
      </c>
      <c r="P901" s="2" t="s">
        <v>553</v>
      </c>
      <c r="Q901" s="3"/>
      <c r="R901" s="3"/>
      <c r="S901" s="2" t="s">
        <v>21</v>
      </c>
      <c r="T901" s="4">
        <v>44955</v>
      </c>
      <c r="U901" s="2" t="s">
        <v>3079</v>
      </c>
      <c r="V901" s="6">
        <f>(Sales[[#This Row],[Price_retail]]-Sales[[#This Row],[Price_current]])/Sales[[#This Row],[Price_retail]]</f>
        <v>0</v>
      </c>
      <c r="W901" s="3" t="str" cm="1">
        <f t="array" ref="W90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02" spans="1:23" x14ac:dyDescent="0.35">
      <c r="A902" s="2" t="s">
        <v>3080</v>
      </c>
      <c r="B902" s="2" t="s">
        <v>3081</v>
      </c>
      <c r="C902" s="2" t="s">
        <v>1581</v>
      </c>
      <c r="D902" s="2" t="s">
        <v>625</v>
      </c>
      <c r="E902" s="2" t="s">
        <v>4</v>
      </c>
      <c r="F902" s="2" t="s">
        <v>17</v>
      </c>
      <c r="G902" s="2" t="s">
        <v>50</v>
      </c>
      <c r="H902" s="2" t="s">
        <v>333</v>
      </c>
      <c r="I902" s="2" t="s">
        <v>3395</v>
      </c>
      <c r="J902" s="3">
        <v>10.66</v>
      </c>
      <c r="K902" s="3">
        <v>6.42</v>
      </c>
      <c r="L902" s="2" t="s">
        <v>8</v>
      </c>
      <c r="M902" s="2" t="s">
        <v>9</v>
      </c>
      <c r="N902" s="3">
        <v>303</v>
      </c>
      <c r="O902" s="2" t="s">
        <v>191</v>
      </c>
      <c r="P902" s="2" t="s">
        <v>3392</v>
      </c>
      <c r="Q902" s="3"/>
      <c r="R902" s="3"/>
      <c r="S902" s="2" t="s">
        <v>21</v>
      </c>
      <c r="T902" s="4">
        <v>44955</v>
      </c>
      <c r="U902" s="2" t="s">
        <v>3082</v>
      </c>
      <c r="V902" s="6">
        <f>(Sales[[#This Row],[Price_retail]]-Sales[[#This Row],[Price_current]])/Sales[[#This Row],[Price_retail]]</f>
        <v>0.39774859287054409</v>
      </c>
      <c r="W902" s="3" t="str" cm="1">
        <f t="array" ref="W90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03" spans="1:23" x14ac:dyDescent="0.35">
      <c r="A903" s="2" t="s">
        <v>3083</v>
      </c>
      <c r="B903" s="2" t="s">
        <v>3084</v>
      </c>
      <c r="C903" s="2" t="s">
        <v>3417</v>
      </c>
      <c r="D903" s="2" t="s">
        <v>3403</v>
      </c>
      <c r="E903" s="2" t="s">
        <v>4</v>
      </c>
      <c r="F903" s="2" t="s">
        <v>5</v>
      </c>
      <c r="G903" s="2" t="s">
        <v>121</v>
      </c>
      <c r="H903" s="2" t="s">
        <v>51</v>
      </c>
      <c r="I903" s="2" t="s">
        <v>3395</v>
      </c>
      <c r="J903" s="3">
        <v>10.29</v>
      </c>
      <c r="K903" s="3">
        <v>10.29</v>
      </c>
      <c r="L903" s="2" t="s">
        <v>3391</v>
      </c>
      <c r="M903" s="2" t="s">
        <v>9</v>
      </c>
      <c r="N903" s="3">
        <v>199</v>
      </c>
      <c r="O903" s="2" t="s">
        <v>69</v>
      </c>
      <c r="P903" s="2" t="s">
        <v>328</v>
      </c>
      <c r="Q903" s="3"/>
      <c r="R903" s="3"/>
      <c r="S903" s="2" t="s">
        <v>12</v>
      </c>
      <c r="T903" s="4">
        <v>44955</v>
      </c>
      <c r="U903" s="2" t="s">
        <v>3085</v>
      </c>
      <c r="V903" s="6">
        <f>(Sales[[#This Row],[Price_retail]]-Sales[[#This Row],[Price_current]])/Sales[[#This Row],[Price_retail]]</f>
        <v>0</v>
      </c>
      <c r="W903" s="3" t="str" cm="1">
        <f t="array" ref="W90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04" spans="1:23" x14ac:dyDescent="0.35">
      <c r="A904" s="2" t="s">
        <v>3086</v>
      </c>
      <c r="B904" s="2" t="s">
        <v>3087</v>
      </c>
      <c r="C904" s="2" t="s">
        <v>3394</v>
      </c>
      <c r="D904" s="2" t="s">
        <v>1147</v>
      </c>
      <c r="E904" s="2" t="s">
        <v>4</v>
      </c>
      <c r="F904" s="2" t="s">
        <v>5</v>
      </c>
      <c r="G904" s="2" t="s">
        <v>82</v>
      </c>
      <c r="H904" s="2" t="s">
        <v>51</v>
      </c>
      <c r="I904" s="2" t="s">
        <v>3395</v>
      </c>
      <c r="J904" s="3">
        <v>8.99</v>
      </c>
      <c r="K904" s="3">
        <v>8.99</v>
      </c>
      <c r="L904" s="2" t="s">
        <v>3391</v>
      </c>
      <c r="M904" s="2" t="s">
        <v>9</v>
      </c>
      <c r="N904" s="3">
        <v>700</v>
      </c>
      <c r="O904" s="2" t="s">
        <v>98</v>
      </c>
      <c r="P904" s="2" t="s">
        <v>238</v>
      </c>
      <c r="Q904" s="3"/>
      <c r="R904" s="3"/>
      <c r="S904" s="2" t="s">
        <v>21</v>
      </c>
      <c r="T904" s="4">
        <v>44955</v>
      </c>
      <c r="U904" s="2" t="s">
        <v>3088</v>
      </c>
      <c r="V904" s="6">
        <f>(Sales[[#This Row],[Price_retail]]-Sales[[#This Row],[Price_current]])/Sales[[#This Row],[Price_retail]]</f>
        <v>0</v>
      </c>
      <c r="W904" s="3" t="str" cm="1">
        <f t="array" ref="W90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05" spans="1:23" x14ac:dyDescent="0.35">
      <c r="A905" s="2" t="s">
        <v>3089</v>
      </c>
      <c r="B905" s="2" t="s">
        <v>3090</v>
      </c>
      <c r="C905" s="2" t="s">
        <v>1784</v>
      </c>
      <c r="D905" s="2" t="s">
        <v>814</v>
      </c>
      <c r="E905" s="2" t="s">
        <v>4</v>
      </c>
      <c r="F905" s="2" t="s">
        <v>5</v>
      </c>
      <c r="G905" s="2" t="s">
        <v>82</v>
      </c>
      <c r="H905" s="2" t="s">
        <v>418</v>
      </c>
      <c r="I905" s="2" t="s">
        <v>3393</v>
      </c>
      <c r="J905" s="3">
        <v>11.76</v>
      </c>
      <c r="K905" s="3">
        <v>11.76</v>
      </c>
      <c r="L905" s="2" t="s">
        <v>3391</v>
      </c>
      <c r="M905" s="2" t="s">
        <v>9</v>
      </c>
      <c r="N905" s="3">
        <v>109</v>
      </c>
      <c r="O905" s="2" t="s">
        <v>60</v>
      </c>
      <c r="P905" s="2" t="s">
        <v>221</v>
      </c>
      <c r="Q905" s="3"/>
      <c r="R905" s="3"/>
      <c r="S905" s="2" t="s">
        <v>21</v>
      </c>
      <c r="T905" s="4">
        <v>44955</v>
      </c>
      <c r="U905" s="2" t="s">
        <v>3091</v>
      </c>
      <c r="V905" s="6">
        <f>(Sales[[#This Row],[Price_retail]]-Sales[[#This Row],[Price_current]])/Sales[[#This Row],[Price_retail]]</f>
        <v>0</v>
      </c>
      <c r="W905" s="3" t="str" cm="1">
        <f t="array" ref="W90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06" spans="1:23" x14ac:dyDescent="0.35">
      <c r="A906" s="2" t="s">
        <v>3092</v>
      </c>
      <c r="B906" s="2" t="s">
        <v>3093</v>
      </c>
      <c r="C906" s="2" t="s">
        <v>65</v>
      </c>
      <c r="D906" s="2" t="s">
        <v>704</v>
      </c>
      <c r="E906" s="2" t="s">
        <v>4</v>
      </c>
      <c r="F906" s="2" t="s">
        <v>17</v>
      </c>
      <c r="G906" s="2" t="s">
        <v>50</v>
      </c>
      <c r="H906" s="2" t="s">
        <v>51</v>
      </c>
      <c r="I906" s="2" t="s">
        <v>3390</v>
      </c>
      <c r="J906" s="3">
        <v>30.39</v>
      </c>
      <c r="K906" s="3">
        <v>30.39</v>
      </c>
      <c r="L906" s="2" t="s">
        <v>3391</v>
      </c>
      <c r="M906" s="2" t="s">
        <v>9</v>
      </c>
      <c r="N906" s="3">
        <v>403</v>
      </c>
      <c r="O906" s="2" t="s">
        <v>75</v>
      </c>
      <c r="P906" s="2" t="s">
        <v>76</v>
      </c>
      <c r="Q906" s="3"/>
      <c r="R906" s="3"/>
      <c r="S906" s="2" t="s">
        <v>21</v>
      </c>
      <c r="T906" s="4">
        <v>44955</v>
      </c>
      <c r="U906" s="2" t="s">
        <v>3094</v>
      </c>
      <c r="V906" s="6">
        <f>(Sales[[#This Row],[Price_retail]]-Sales[[#This Row],[Price_current]])/Sales[[#This Row],[Price_retail]]</f>
        <v>0</v>
      </c>
      <c r="W906" s="3" t="str" cm="1">
        <f t="array" ref="W90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07" spans="1:23" x14ac:dyDescent="0.35">
      <c r="A907" s="2" t="s">
        <v>3095</v>
      </c>
      <c r="B907" s="2" t="s">
        <v>3096</v>
      </c>
      <c r="C907" s="2" t="s">
        <v>2179</v>
      </c>
      <c r="D907" s="2" t="s">
        <v>1060</v>
      </c>
      <c r="E907" s="2" t="s">
        <v>4</v>
      </c>
      <c r="F907" s="2" t="s">
        <v>17</v>
      </c>
      <c r="G907" s="2" t="s">
        <v>67</v>
      </c>
      <c r="H907" s="2" t="s">
        <v>418</v>
      </c>
      <c r="I907" s="2" t="s">
        <v>3390</v>
      </c>
      <c r="J907" s="3">
        <v>8.99</v>
      </c>
      <c r="K907" s="3">
        <v>5.86</v>
      </c>
      <c r="L907" s="2" t="s">
        <v>8</v>
      </c>
      <c r="M907" s="2" t="s">
        <v>9</v>
      </c>
      <c r="N907" s="3">
        <v>883</v>
      </c>
      <c r="O907" s="2" t="s">
        <v>267</v>
      </c>
      <c r="P907" s="2" t="s">
        <v>128</v>
      </c>
      <c r="Q907" s="3"/>
      <c r="R907" s="3"/>
      <c r="S907" s="2" t="s">
        <v>21</v>
      </c>
      <c r="T907" s="4">
        <v>44955</v>
      </c>
      <c r="U907" s="2" t="s">
        <v>3097</v>
      </c>
      <c r="V907" s="6">
        <f>(Sales[[#This Row],[Price_retail]]-Sales[[#This Row],[Price_current]])/Sales[[#This Row],[Price_retail]]</f>
        <v>0.34816462736373749</v>
      </c>
      <c r="W907" s="3" t="str" cm="1">
        <f t="array" ref="W90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08" spans="1:23" x14ac:dyDescent="0.35">
      <c r="A908" s="2" t="s">
        <v>3098</v>
      </c>
      <c r="B908" s="2" t="s">
        <v>3099</v>
      </c>
      <c r="C908" s="2" t="s">
        <v>616</v>
      </c>
      <c r="D908" s="2" t="s">
        <v>314</v>
      </c>
      <c r="E908" s="2" t="s">
        <v>4</v>
      </c>
      <c r="F908" s="2" t="s">
        <v>17</v>
      </c>
      <c r="G908" s="2" t="s">
        <v>67</v>
      </c>
      <c r="H908" s="2" t="s">
        <v>59</v>
      </c>
      <c r="I908" s="2" t="s">
        <v>3390</v>
      </c>
      <c r="J908" s="3">
        <v>8.99</v>
      </c>
      <c r="K908" s="3">
        <v>5.34</v>
      </c>
      <c r="L908" s="2" t="s">
        <v>8</v>
      </c>
      <c r="M908" s="2" t="s">
        <v>9</v>
      </c>
      <c r="N908" s="3">
        <v>282</v>
      </c>
      <c r="O908" s="2" t="s">
        <v>98</v>
      </c>
      <c r="P908" s="2" t="s">
        <v>84</v>
      </c>
      <c r="Q908" s="3"/>
      <c r="R908" s="3"/>
      <c r="S908" s="2" t="s">
        <v>12</v>
      </c>
      <c r="T908" s="4">
        <v>44955</v>
      </c>
      <c r="U908" s="2" t="s">
        <v>3100</v>
      </c>
      <c r="V908" s="6">
        <f>(Sales[[#This Row],[Price_retail]]-Sales[[#This Row],[Price_current]])/Sales[[#This Row],[Price_retail]]</f>
        <v>0.40600667408231372</v>
      </c>
      <c r="W908" s="3" t="str" cm="1">
        <f t="array" ref="W90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09" spans="1:23" x14ac:dyDescent="0.35">
      <c r="A909" s="2" t="s">
        <v>3101</v>
      </c>
      <c r="B909" s="2" t="s">
        <v>3102</v>
      </c>
      <c r="C909" s="2" t="s">
        <v>585</v>
      </c>
      <c r="D909" s="2" t="s">
        <v>905</v>
      </c>
      <c r="E909" s="2" t="s">
        <v>4</v>
      </c>
      <c r="F909" s="2" t="s">
        <v>5</v>
      </c>
      <c r="G909" s="2" t="s">
        <v>82</v>
      </c>
      <c r="H909" s="2" t="s">
        <v>28</v>
      </c>
      <c r="I909" s="2" t="s">
        <v>3393</v>
      </c>
      <c r="J909" s="3">
        <v>26.89</v>
      </c>
      <c r="K909" s="3">
        <v>26.89</v>
      </c>
      <c r="L909" s="2" t="s">
        <v>3391</v>
      </c>
      <c r="M909" s="2" t="s">
        <v>9</v>
      </c>
      <c r="N909" s="3">
        <v>588</v>
      </c>
      <c r="O909" s="2" t="s">
        <v>347</v>
      </c>
      <c r="P909" s="2" t="s">
        <v>44</v>
      </c>
      <c r="Q909" s="3"/>
      <c r="R909" s="3"/>
      <c r="S909" s="2" t="s">
        <v>21</v>
      </c>
      <c r="T909" s="4">
        <v>44955</v>
      </c>
      <c r="U909" s="2" t="s">
        <v>3103</v>
      </c>
      <c r="V909" s="6">
        <f>(Sales[[#This Row],[Price_retail]]-Sales[[#This Row],[Price_current]])/Sales[[#This Row],[Price_retail]]</f>
        <v>0</v>
      </c>
      <c r="W909" s="3" t="str" cm="1">
        <f t="array" ref="W90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10" spans="1:23" x14ac:dyDescent="0.35">
      <c r="A910" s="2" t="s">
        <v>3104</v>
      </c>
      <c r="B910" s="2" t="s">
        <v>3105</v>
      </c>
      <c r="C910" s="2" t="s">
        <v>1747</v>
      </c>
      <c r="D910" s="2" t="s">
        <v>16</v>
      </c>
      <c r="E910" s="2" t="s">
        <v>4</v>
      </c>
      <c r="F910" s="2" t="s">
        <v>17</v>
      </c>
      <c r="G910" s="2" t="s">
        <v>67</v>
      </c>
      <c r="H910" s="2" t="s">
        <v>19</v>
      </c>
      <c r="I910" s="2" t="s">
        <v>3393</v>
      </c>
      <c r="J910" s="3">
        <v>9.66</v>
      </c>
      <c r="K910" s="3">
        <v>7.29</v>
      </c>
      <c r="L910" s="2" t="s">
        <v>8</v>
      </c>
      <c r="M910" s="2" t="s">
        <v>9</v>
      </c>
      <c r="N910" s="3">
        <v>99</v>
      </c>
      <c r="O910" s="2" t="s">
        <v>3392</v>
      </c>
      <c r="P910" s="2" t="s">
        <v>221</v>
      </c>
      <c r="Q910" s="3"/>
      <c r="R910" s="3"/>
      <c r="S910" s="2" t="s">
        <v>21</v>
      </c>
      <c r="T910" s="4">
        <v>44955</v>
      </c>
      <c r="U910" s="2" t="s">
        <v>3106</v>
      </c>
      <c r="V910" s="6">
        <f>(Sales[[#This Row],[Price_retail]]-Sales[[#This Row],[Price_current]])/Sales[[#This Row],[Price_retail]]</f>
        <v>0.24534161490683232</v>
      </c>
      <c r="W910" s="3" t="str" cm="1">
        <f t="array" ref="W91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11" spans="1:23" x14ac:dyDescent="0.35">
      <c r="A911" s="2" t="s">
        <v>3107</v>
      </c>
      <c r="B911" s="2" t="s">
        <v>3108</v>
      </c>
      <c r="C911" s="2" t="s">
        <v>25</v>
      </c>
      <c r="D911" s="2" t="s">
        <v>959</v>
      </c>
      <c r="E911" s="2" t="s">
        <v>4</v>
      </c>
      <c r="F911" s="2" t="s">
        <v>17</v>
      </c>
      <c r="G911" s="2" t="s">
        <v>50</v>
      </c>
      <c r="H911" s="2" t="s">
        <v>418</v>
      </c>
      <c r="I911" s="2" t="s">
        <v>3393</v>
      </c>
      <c r="J911" s="3">
        <v>11.7</v>
      </c>
      <c r="K911" s="3">
        <v>7.9</v>
      </c>
      <c r="L911" s="2" t="s">
        <v>8</v>
      </c>
      <c r="M911" s="2" t="s">
        <v>9</v>
      </c>
      <c r="N911" s="3">
        <v>661</v>
      </c>
      <c r="O911" s="2" t="s">
        <v>359</v>
      </c>
      <c r="P911" s="2" t="s">
        <v>53</v>
      </c>
      <c r="Q911" s="3"/>
      <c r="R911" s="3"/>
      <c r="S911" s="2" t="s">
        <v>21</v>
      </c>
      <c r="T911" s="4">
        <v>44955</v>
      </c>
      <c r="U911" s="2" t="s">
        <v>3109</v>
      </c>
      <c r="V911" s="6">
        <f>(Sales[[#This Row],[Price_retail]]-Sales[[#This Row],[Price_current]])/Sales[[#This Row],[Price_retail]]</f>
        <v>0.32478632478632474</v>
      </c>
      <c r="W911" s="3" t="str" cm="1">
        <f t="array" ref="W91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12" spans="1:23" x14ac:dyDescent="0.35">
      <c r="A912" s="2" t="s">
        <v>3110</v>
      </c>
      <c r="B912" s="2" t="s">
        <v>3111</v>
      </c>
      <c r="C912" s="2" t="s">
        <v>383</v>
      </c>
      <c r="D912" s="2" t="s">
        <v>686</v>
      </c>
      <c r="E912" s="2" t="s">
        <v>4</v>
      </c>
      <c r="F912" s="2" t="s">
        <v>5</v>
      </c>
      <c r="G912" s="2" t="s">
        <v>6</v>
      </c>
      <c r="H912" s="2" t="s">
        <v>7</v>
      </c>
      <c r="I912" s="2" t="s">
        <v>3393</v>
      </c>
      <c r="J912" s="3">
        <v>11.8</v>
      </c>
      <c r="K912" s="3">
        <v>6.7</v>
      </c>
      <c r="L912" s="2" t="s">
        <v>8</v>
      </c>
      <c r="M912" s="2" t="s">
        <v>9</v>
      </c>
      <c r="N912" s="3">
        <v>824</v>
      </c>
      <c r="O912" s="2" t="s">
        <v>302</v>
      </c>
      <c r="P912" s="2" t="s">
        <v>53</v>
      </c>
      <c r="Q912" s="3"/>
      <c r="R912" s="3"/>
      <c r="S912" s="2" t="s">
        <v>21</v>
      </c>
      <c r="T912" s="4">
        <v>44955</v>
      </c>
      <c r="U912" s="2" t="s">
        <v>3112</v>
      </c>
      <c r="V912" s="6">
        <f>(Sales[[#This Row],[Price_retail]]-Sales[[#This Row],[Price_current]])/Sales[[#This Row],[Price_retail]]</f>
        <v>0.43220338983050849</v>
      </c>
      <c r="W912" s="3" t="str" cm="1">
        <f t="array" ref="W91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13" spans="1:23" x14ac:dyDescent="0.35">
      <c r="A913" s="2" t="s">
        <v>3113</v>
      </c>
      <c r="B913" s="2" t="s">
        <v>3114</v>
      </c>
      <c r="C913" s="2" t="s">
        <v>3398</v>
      </c>
      <c r="D913" s="2" t="s">
        <v>694</v>
      </c>
      <c r="E913" s="2" t="s">
        <v>4</v>
      </c>
      <c r="F913" s="2" t="s">
        <v>5</v>
      </c>
      <c r="G913" s="2" t="s">
        <v>121</v>
      </c>
      <c r="H913" s="2" t="s">
        <v>139</v>
      </c>
      <c r="I913" s="2" t="s">
        <v>3393</v>
      </c>
      <c r="J913" s="3">
        <v>13.58</v>
      </c>
      <c r="K913" s="3">
        <v>6.21</v>
      </c>
      <c r="L913" s="2" t="s">
        <v>8</v>
      </c>
      <c r="M913" s="2" t="s">
        <v>9</v>
      </c>
      <c r="N913" s="3">
        <v>651</v>
      </c>
      <c r="O913" s="2" t="s">
        <v>36</v>
      </c>
      <c r="P913" s="2" t="s">
        <v>92</v>
      </c>
      <c r="Q913" s="3"/>
      <c r="R913" s="3"/>
      <c r="S913" s="2" t="s">
        <v>21</v>
      </c>
      <c r="T913" s="4">
        <v>44955</v>
      </c>
      <c r="U913" s="2" t="s">
        <v>3115</v>
      </c>
      <c r="V913" s="6">
        <f>(Sales[[#This Row],[Price_retail]]-Sales[[#This Row],[Price_current]])/Sales[[#This Row],[Price_retail]]</f>
        <v>0.54270986745213545</v>
      </c>
      <c r="W913" s="3" t="str" cm="1">
        <f t="array" ref="W913">_xlfn.IFS(Sales[[#This Row],[Discount]]=0%,"No Discount",Sales[[#This Row],[Discount]]&lt;=20%,"Light",Sales[[#This Row],[Discount]]&lt;=50%,"Moderate",Sales[[#This Row],[Discount]]&lt;=80%,"High",
TRUE,"Very High")</f>
        <v>High</v>
      </c>
    </row>
    <row r="914" spans="1:23" x14ac:dyDescent="0.35">
      <c r="A914" s="2" t="s">
        <v>3116</v>
      </c>
      <c r="B914" s="2" t="s">
        <v>3117</v>
      </c>
      <c r="C914" s="2" t="s">
        <v>242</v>
      </c>
      <c r="D914" s="2" t="s">
        <v>3431</v>
      </c>
      <c r="E914" s="2" t="s">
        <v>4</v>
      </c>
      <c r="F914" s="2" t="s">
        <v>17</v>
      </c>
      <c r="G914" s="2" t="s">
        <v>50</v>
      </c>
      <c r="H914" s="2" t="s">
        <v>145</v>
      </c>
      <c r="I914" s="2" t="s">
        <v>3390</v>
      </c>
      <c r="J914" s="3">
        <v>10.47</v>
      </c>
      <c r="K914" s="3">
        <v>10.47</v>
      </c>
      <c r="L914" s="2" t="s">
        <v>3391</v>
      </c>
      <c r="M914" s="2" t="s">
        <v>9</v>
      </c>
      <c r="N914" s="3">
        <v>256</v>
      </c>
      <c r="O914" s="2" t="s">
        <v>3392</v>
      </c>
      <c r="P914" s="2" t="s">
        <v>221</v>
      </c>
      <c r="Q914" s="3"/>
      <c r="R914" s="3"/>
      <c r="S914" s="2" t="s">
        <v>21</v>
      </c>
      <c r="T914" s="4">
        <v>44955</v>
      </c>
      <c r="U914" s="2" t="s">
        <v>3118</v>
      </c>
      <c r="V914" s="6">
        <f>(Sales[[#This Row],[Price_retail]]-Sales[[#This Row],[Price_current]])/Sales[[#This Row],[Price_retail]]</f>
        <v>0</v>
      </c>
      <c r="W914" s="3" t="str" cm="1">
        <f t="array" ref="W91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15" spans="1:23" x14ac:dyDescent="0.35">
      <c r="A915" s="2" t="s">
        <v>3119</v>
      </c>
      <c r="B915" s="2" t="s">
        <v>3120</v>
      </c>
      <c r="C915" s="2" t="s">
        <v>318</v>
      </c>
      <c r="D915" s="2" t="s">
        <v>292</v>
      </c>
      <c r="E915" s="2" t="s">
        <v>4</v>
      </c>
      <c r="F915" s="2" t="s">
        <v>17</v>
      </c>
      <c r="G915" s="2" t="s">
        <v>18</v>
      </c>
      <c r="H915" s="2" t="s">
        <v>145</v>
      </c>
      <c r="I915" s="2" t="s">
        <v>3393</v>
      </c>
      <c r="J915" s="3">
        <v>10.01</v>
      </c>
      <c r="K915" s="3">
        <v>10.01</v>
      </c>
      <c r="L915" s="2" t="s">
        <v>3391</v>
      </c>
      <c r="M915" s="2" t="s">
        <v>9</v>
      </c>
      <c r="N915" s="3">
        <v>709</v>
      </c>
      <c r="O915" s="2" t="s">
        <v>20</v>
      </c>
      <c r="P915" s="2" t="s">
        <v>221</v>
      </c>
      <c r="Q915" s="3"/>
      <c r="R915" s="3"/>
      <c r="S915" s="2" t="s">
        <v>21</v>
      </c>
      <c r="T915" s="4">
        <v>44955</v>
      </c>
      <c r="U915" s="2" t="s">
        <v>3121</v>
      </c>
      <c r="V915" s="6">
        <f>(Sales[[#This Row],[Price_retail]]-Sales[[#This Row],[Price_current]])/Sales[[#This Row],[Price_retail]]</f>
        <v>0</v>
      </c>
      <c r="W915" s="3" t="str" cm="1">
        <f t="array" ref="W91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16" spans="1:23" x14ac:dyDescent="0.35">
      <c r="A916" s="2" t="s">
        <v>3122</v>
      </c>
      <c r="B916" s="2" t="s">
        <v>3123</v>
      </c>
      <c r="C916" s="2" t="s">
        <v>2781</v>
      </c>
      <c r="D916" s="2" t="s">
        <v>138</v>
      </c>
      <c r="E916" s="2" t="s">
        <v>4</v>
      </c>
      <c r="F916" s="2" t="s">
        <v>5</v>
      </c>
      <c r="G916" s="2" t="s">
        <v>121</v>
      </c>
      <c r="H916" s="2" t="s">
        <v>139</v>
      </c>
      <c r="I916" s="2" t="s">
        <v>3390</v>
      </c>
      <c r="J916" s="3">
        <v>26.15</v>
      </c>
      <c r="K916" s="3">
        <v>26.15</v>
      </c>
      <c r="L916" s="2" t="s">
        <v>3391</v>
      </c>
      <c r="M916" s="2" t="s">
        <v>9</v>
      </c>
      <c r="N916" s="3">
        <v>580</v>
      </c>
      <c r="O916" s="2" t="s">
        <v>52</v>
      </c>
      <c r="P916" s="2" t="s">
        <v>53</v>
      </c>
      <c r="Q916" s="3"/>
      <c r="R916" s="3"/>
      <c r="S916" s="2" t="s">
        <v>12</v>
      </c>
      <c r="T916" s="4">
        <v>44955</v>
      </c>
      <c r="U916" s="2" t="s">
        <v>3124</v>
      </c>
      <c r="V916" s="6">
        <f>(Sales[[#This Row],[Price_retail]]-Sales[[#This Row],[Price_current]])/Sales[[#This Row],[Price_retail]]</f>
        <v>0</v>
      </c>
      <c r="W916" s="3" t="str" cm="1">
        <f t="array" ref="W91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17" spans="1:23" x14ac:dyDescent="0.35">
      <c r="A917" s="2" t="s">
        <v>3125</v>
      </c>
      <c r="B917" s="2" t="s">
        <v>3126</v>
      </c>
      <c r="C917" s="2" t="s">
        <v>3410</v>
      </c>
      <c r="D917" s="2" t="s">
        <v>847</v>
      </c>
      <c r="E917" s="2" t="s">
        <v>4</v>
      </c>
      <c r="F917" s="2" t="s">
        <v>5</v>
      </c>
      <c r="G917" s="2" t="s">
        <v>82</v>
      </c>
      <c r="H917" s="2" t="s">
        <v>237</v>
      </c>
      <c r="I917" s="2" t="s">
        <v>3393</v>
      </c>
      <c r="J917" s="3">
        <v>27.86</v>
      </c>
      <c r="K917" s="3">
        <v>11.56</v>
      </c>
      <c r="L917" s="2" t="s">
        <v>8</v>
      </c>
      <c r="M917" s="2" t="s">
        <v>9</v>
      </c>
      <c r="N917" s="3">
        <v>733</v>
      </c>
      <c r="O917" s="2" t="s">
        <v>191</v>
      </c>
      <c r="P917" s="2" t="s">
        <v>37</v>
      </c>
      <c r="Q917" s="3"/>
      <c r="R917" s="3"/>
      <c r="S917" s="2" t="s">
        <v>12</v>
      </c>
      <c r="T917" s="4">
        <v>44955</v>
      </c>
      <c r="U917" s="2" t="s">
        <v>3127</v>
      </c>
      <c r="V917" s="6">
        <f>(Sales[[#This Row],[Price_retail]]-Sales[[#This Row],[Price_current]])/Sales[[#This Row],[Price_retail]]</f>
        <v>0.58506819813352473</v>
      </c>
      <c r="W917" s="3" t="str" cm="1">
        <f t="array" ref="W917">_xlfn.IFS(Sales[[#This Row],[Discount]]=0%,"No Discount",Sales[[#This Row],[Discount]]&lt;=20%,"Light",Sales[[#This Row],[Discount]]&lt;=50%,"Moderate",Sales[[#This Row],[Discount]]&lt;=80%,"High",
TRUE,"Very High")</f>
        <v>High</v>
      </c>
    </row>
    <row r="918" spans="1:23" x14ac:dyDescent="0.35">
      <c r="A918" s="2" t="s">
        <v>3128</v>
      </c>
      <c r="B918" s="2" t="s">
        <v>3129</v>
      </c>
      <c r="C918" s="2" t="s">
        <v>616</v>
      </c>
      <c r="D918" s="2" t="s">
        <v>1184</v>
      </c>
      <c r="E918" s="2" t="s">
        <v>4</v>
      </c>
      <c r="F918" s="2" t="s">
        <v>17</v>
      </c>
      <c r="G918" s="2" t="s">
        <v>27</v>
      </c>
      <c r="H918" s="2" t="s">
        <v>90</v>
      </c>
      <c r="I918" s="2" t="s">
        <v>3390</v>
      </c>
      <c r="J918" s="3">
        <v>8.99</v>
      </c>
      <c r="K918" s="3">
        <v>8.99</v>
      </c>
      <c r="L918" s="2" t="s">
        <v>3391</v>
      </c>
      <c r="M918" s="2" t="s">
        <v>9</v>
      </c>
      <c r="N918" s="3">
        <v>749</v>
      </c>
      <c r="O918" s="2" t="s">
        <v>347</v>
      </c>
      <c r="P918" s="2" t="s">
        <v>128</v>
      </c>
      <c r="Q918" s="3"/>
      <c r="R918" s="3"/>
      <c r="S918" s="2" t="s">
        <v>21</v>
      </c>
      <c r="T918" s="4">
        <v>44955</v>
      </c>
      <c r="U918" s="2" t="s">
        <v>3130</v>
      </c>
      <c r="V918" s="6">
        <f>(Sales[[#This Row],[Price_retail]]-Sales[[#This Row],[Price_current]])/Sales[[#This Row],[Price_retail]]</f>
        <v>0</v>
      </c>
      <c r="W918" s="3" t="str" cm="1">
        <f t="array" ref="W91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19" spans="1:23" x14ac:dyDescent="0.35">
      <c r="A919" s="2" t="s">
        <v>3131</v>
      </c>
      <c r="B919" s="2" t="s">
        <v>3132</v>
      </c>
      <c r="C919" s="2" t="s">
        <v>242</v>
      </c>
      <c r="D919" s="2" t="s">
        <v>342</v>
      </c>
      <c r="E919" s="2" t="s">
        <v>4</v>
      </c>
      <c r="F919" s="2" t="s">
        <v>17</v>
      </c>
      <c r="G919" s="2" t="s">
        <v>27</v>
      </c>
      <c r="H919" s="2" t="s">
        <v>237</v>
      </c>
      <c r="I919" s="2" t="s">
        <v>3395</v>
      </c>
      <c r="J919" s="3">
        <v>8.99</v>
      </c>
      <c r="K919" s="3">
        <v>8.99</v>
      </c>
      <c r="L919" s="2" t="s">
        <v>3391</v>
      </c>
      <c r="M919" s="2" t="s">
        <v>9</v>
      </c>
      <c r="N919" s="3">
        <v>354</v>
      </c>
      <c r="O919" s="2" t="s">
        <v>191</v>
      </c>
      <c r="P919" s="2" t="s">
        <v>92</v>
      </c>
      <c r="Q919" s="3"/>
      <c r="R919" s="3"/>
      <c r="S919" s="2" t="s">
        <v>12</v>
      </c>
      <c r="T919" s="4">
        <v>44955</v>
      </c>
      <c r="U919" s="2" t="s">
        <v>3133</v>
      </c>
      <c r="V919" s="6">
        <f>(Sales[[#This Row],[Price_retail]]-Sales[[#This Row],[Price_current]])/Sales[[#This Row],[Price_retail]]</f>
        <v>0</v>
      </c>
      <c r="W919" s="3" t="str" cm="1">
        <f t="array" ref="W91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0" spans="1:23" x14ac:dyDescent="0.35">
      <c r="A920" s="2" t="s">
        <v>3134</v>
      </c>
      <c r="B920" s="2" t="s">
        <v>3135</v>
      </c>
      <c r="C920" s="2" t="s">
        <v>3419</v>
      </c>
      <c r="D920" s="2" t="s">
        <v>711</v>
      </c>
      <c r="E920" s="2" t="s">
        <v>4</v>
      </c>
      <c r="F920" s="2" t="s">
        <v>17</v>
      </c>
      <c r="G920" s="2" t="s">
        <v>27</v>
      </c>
      <c r="H920" s="2"/>
      <c r="I920" s="2" t="s">
        <v>3390</v>
      </c>
      <c r="J920" s="3">
        <v>28.07</v>
      </c>
      <c r="K920" s="3">
        <v>28.07</v>
      </c>
      <c r="L920" s="2" t="s">
        <v>3391</v>
      </c>
      <c r="M920" s="2" t="s">
        <v>9</v>
      </c>
      <c r="N920" s="3">
        <v>278</v>
      </c>
      <c r="O920" s="2" t="s">
        <v>69</v>
      </c>
      <c r="P920" s="2" t="s">
        <v>368</v>
      </c>
      <c r="Q920" s="3"/>
      <c r="R920" s="3"/>
      <c r="S920" s="2" t="s">
        <v>21</v>
      </c>
      <c r="T920" s="4">
        <v>44955</v>
      </c>
      <c r="U920" s="2" t="s">
        <v>3136</v>
      </c>
      <c r="V920" s="6">
        <f>(Sales[[#This Row],[Price_retail]]-Sales[[#This Row],[Price_current]])/Sales[[#This Row],[Price_retail]]</f>
        <v>0</v>
      </c>
      <c r="W920" s="3" t="str" cm="1">
        <f t="array" ref="W92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1" spans="1:23" x14ac:dyDescent="0.35">
      <c r="A921" s="2" t="s">
        <v>3137</v>
      </c>
      <c r="B921" s="2" t="s">
        <v>3138</v>
      </c>
      <c r="C921" s="2" t="s">
        <v>1973</v>
      </c>
      <c r="D921" s="2" t="s">
        <v>678</v>
      </c>
      <c r="E921" s="2" t="s">
        <v>4</v>
      </c>
      <c r="F921" s="2" t="s">
        <v>17</v>
      </c>
      <c r="G921" s="2" t="s">
        <v>27</v>
      </c>
      <c r="H921" s="2" t="s">
        <v>134</v>
      </c>
      <c r="I921" s="2" t="s">
        <v>3390</v>
      </c>
      <c r="J921" s="3">
        <v>8.99</v>
      </c>
      <c r="K921" s="3">
        <v>8.99</v>
      </c>
      <c r="L921" s="2" t="s">
        <v>3391</v>
      </c>
      <c r="M921" s="2" t="s">
        <v>9</v>
      </c>
      <c r="N921" s="3">
        <v>401</v>
      </c>
      <c r="O921" s="2" t="s">
        <v>347</v>
      </c>
      <c r="P921" s="2" t="s">
        <v>221</v>
      </c>
      <c r="Q921" s="3"/>
      <c r="R921" s="3"/>
      <c r="S921" s="2" t="s">
        <v>21</v>
      </c>
      <c r="T921" s="4">
        <v>44955</v>
      </c>
      <c r="U921" s="2" t="s">
        <v>3139</v>
      </c>
      <c r="V921" s="6">
        <f>(Sales[[#This Row],[Price_retail]]-Sales[[#This Row],[Price_current]])/Sales[[#This Row],[Price_retail]]</f>
        <v>0</v>
      </c>
      <c r="W921" s="3" t="str" cm="1">
        <f t="array" ref="W92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2" spans="1:23" x14ac:dyDescent="0.35">
      <c r="A922" s="2" t="s">
        <v>3140</v>
      </c>
      <c r="B922" s="2" t="s">
        <v>3141</v>
      </c>
      <c r="C922" s="2" t="s">
        <v>300</v>
      </c>
      <c r="D922" s="2" t="s">
        <v>521</v>
      </c>
      <c r="E922" s="2" t="s">
        <v>4</v>
      </c>
      <c r="F922" s="2" t="s">
        <v>5</v>
      </c>
      <c r="G922" s="2" t="s">
        <v>82</v>
      </c>
      <c r="H922" s="2" t="s">
        <v>19</v>
      </c>
      <c r="I922" s="2" t="s">
        <v>3390</v>
      </c>
      <c r="J922" s="3">
        <v>17.579999999999998</v>
      </c>
      <c r="K922" s="3">
        <v>10.87</v>
      </c>
      <c r="L922" s="2" t="s">
        <v>8</v>
      </c>
      <c r="M922" s="2" t="s">
        <v>9</v>
      </c>
      <c r="N922" s="3">
        <v>193</v>
      </c>
      <c r="O922" s="2" t="s">
        <v>29</v>
      </c>
      <c r="P922" s="2" t="s">
        <v>186</v>
      </c>
      <c r="Q922" s="3"/>
      <c r="R922" s="3"/>
      <c r="S922" s="2" t="s">
        <v>12</v>
      </c>
      <c r="T922" s="4">
        <v>44955</v>
      </c>
      <c r="U922" s="2" t="s">
        <v>3142</v>
      </c>
      <c r="V922" s="6">
        <f>(Sales[[#This Row],[Price_retail]]-Sales[[#This Row],[Price_current]])/Sales[[#This Row],[Price_retail]]</f>
        <v>0.38168373151308305</v>
      </c>
      <c r="W922" s="3" t="str" cm="1">
        <f t="array" ref="W92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23" spans="1:23" x14ac:dyDescent="0.35">
      <c r="A923" s="2" t="s">
        <v>3143</v>
      </c>
      <c r="B923" s="2" t="s">
        <v>3144</v>
      </c>
      <c r="C923" s="2" t="s">
        <v>1115</v>
      </c>
      <c r="D923" s="2" t="s">
        <v>1823</v>
      </c>
      <c r="E923" s="2" t="s">
        <v>4</v>
      </c>
      <c r="F923" s="2" t="s">
        <v>17</v>
      </c>
      <c r="G923" s="2" t="s">
        <v>18</v>
      </c>
      <c r="H923" s="2" t="s">
        <v>168</v>
      </c>
      <c r="I923" s="2" t="s">
        <v>3395</v>
      </c>
      <c r="J923" s="3">
        <v>8.99</v>
      </c>
      <c r="K923" s="3">
        <v>5.12</v>
      </c>
      <c r="L923" s="2" t="s">
        <v>8</v>
      </c>
      <c r="M923" s="2" t="s">
        <v>9</v>
      </c>
      <c r="N923" s="3">
        <v>890</v>
      </c>
      <c r="O923" s="2" t="s">
        <v>3392</v>
      </c>
      <c r="P923" s="2" t="s">
        <v>192</v>
      </c>
      <c r="Q923" s="3"/>
      <c r="R923" s="3"/>
      <c r="S923" s="2" t="s">
        <v>12</v>
      </c>
      <c r="T923" s="4">
        <v>44955</v>
      </c>
      <c r="U923" s="2" t="s">
        <v>3145</v>
      </c>
      <c r="V923" s="6">
        <f>(Sales[[#This Row],[Price_retail]]-Sales[[#This Row],[Price_current]])/Sales[[#This Row],[Price_retail]]</f>
        <v>0.43047830923248054</v>
      </c>
      <c r="W923" s="3" t="str" cm="1">
        <f t="array" ref="W92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24" spans="1:23" x14ac:dyDescent="0.35">
      <c r="A924" s="2" t="s">
        <v>3146</v>
      </c>
      <c r="B924" s="2" t="s">
        <v>3147</v>
      </c>
      <c r="C924" s="2" t="s">
        <v>88</v>
      </c>
      <c r="D924" s="2" t="s">
        <v>577</v>
      </c>
      <c r="E924" s="2" t="s">
        <v>4</v>
      </c>
      <c r="F924" s="2" t="s">
        <v>5</v>
      </c>
      <c r="G924" s="2" t="s">
        <v>121</v>
      </c>
      <c r="H924" s="2" t="s">
        <v>168</v>
      </c>
      <c r="I924" s="2" t="s">
        <v>3393</v>
      </c>
      <c r="J924" s="3">
        <v>31.94</v>
      </c>
      <c r="K924" s="3">
        <v>13.8</v>
      </c>
      <c r="L924" s="2" t="s">
        <v>8</v>
      </c>
      <c r="M924" s="2" t="s">
        <v>9</v>
      </c>
      <c r="N924" s="3">
        <v>901</v>
      </c>
      <c r="O924" s="2" t="s">
        <v>43</v>
      </c>
      <c r="P924" s="2" t="s">
        <v>30</v>
      </c>
      <c r="Q924" s="3"/>
      <c r="R924" s="3"/>
      <c r="S924" s="2" t="s">
        <v>21</v>
      </c>
      <c r="T924" s="4">
        <v>44955</v>
      </c>
      <c r="U924" s="2" t="s">
        <v>3148</v>
      </c>
      <c r="V924" s="6">
        <f>(Sales[[#This Row],[Price_retail]]-Sales[[#This Row],[Price_current]])/Sales[[#This Row],[Price_retail]]</f>
        <v>0.56793988728866629</v>
      </c>
      <c r="W924" s="3" t="str" cm="1">
        <f t="array" ref="W924">_xlfn.IFS(Sales[[#This Row],[Discount]]=0%,"No Discount",Sales[[#This Row],[Discount]]&lt;=20%,"Light",Sales[[#This Row],[Discount]]&lt;=50%,"Moderate",Sales[[#This Row],[Discount]]&lt;=80%,"High",
TRUE,"Very High")</f>
        <v>High</v>
      </c>
    </row>
    <row r="925" spans="1:23" x14ac:dyDescent="0.35">
      <c r="A925" s="2" t="s">
        <v>3149</v>
      </c>
      <c r="B925" s="2" t="s">
        <v>3150</v>
      </c>
      <c r="C925" s="2" t="s">
        <v>242</v>
      </c>
      <c r="D925" s="2" t="s">
        <v>1723</v>
      </c>
      <c r="E925" s="2" t="s">
        <v>4</v>
      </c>
      <c r="F925" s="2" t="s">
        <v>17</v>
      </c>
      <c r="G925" s="2" t="s">
        <v>50</v>
      </c>
      <c r="H925" s="2" t="s">
        <v>139</v>
      </c>
      <c r="I925" s="2" t="s">
        <v>3393</v>
      </c>
      <c r="J925" s="3">
        <v>63.37</v>
      </c>
      <c r="K925" s="3">
        <v>63.37</v>
      </c>
      <c r="L925" s="2" t="s">
        <v>3391</v>
      </c>
      <c r="M925" s="2" t="s">
        <v>9</v>
      </c>
      <c r="N925" s="3">
        <v>105</v>
      </c>
      <c r="O925" s="2" t="s">
        <v>359</v>
      </c>
      <c r="P925" s="2" t="s">
        <v>3392</v>
      </c>
      <c r="Q925" s="3"/>
      <c r="R925" s="3"/>
      <c r="S925" s="2" t="s">
        <v>21</v>
      </c>
      <c r="T925" s="4">
        <v>44955</v>
      </c>
      <c r="U925" s="2" t="s">
        <v>3151</v>
      </c>
      <c r="V925" s="6">
        <f>(Sales[[#This Row],[Price_retail]]-Sales[[#This Row],[Price_current]])/Sales[[#This Row],[Price_retail]]</f>
        <v>0</v>
      </c>
      <c r="W925" s="3" t="str" cm="1">
        <f t="array" ref="W92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6" spans="1:23" x14ac:dyDescent="0.35">
      <c r="A926" s="2" t="s">
        <v>3152</v>
      </c>
      <c r="B926" s="2" t="s">
        <v>3153</v>
      </c>
      <c r="C926" s="2" t="s">
        <v>2409</v>
      </c>
      <c r="D926" s="2" t="s">
        <v>765</v>
      </c>
      <c r="E926" s="2" t="s">
        <v>4</v>
      </c>
      <c r="F926" s="2" t="s">
        <v>17</v>
      </c>
      <c r="G926" s="2" t="s">
        <v>27</v>
      </c>
      <c r="H926" s="2" t="s">
        <v>51</v>
      </c>
      <c r="I926" s="2" t="s">
        <v>3390</v>
      </c>
      <c r="J926" s="3">
        <v>17.3</v>
      </c>
      <c r="K926" s="3">
        <v>17.3</v>
      </c>
      <c r="L926" s="2" t="s">
        <v>3391</v>
      </c>
      <c r="M926" s="2" t="s">
        <v>9</v>
      </c>
      <c r="N926" s="3">
        <v>41</v>
      </c>
      <c r="O926" s="2" t="s">
        <v>60</v>
      </c>
      <c r="P926" s="2" t="s">
        <v>70</v>
      </c>
      <c r="Q926" s="3"/>
      <c r="R926" s="3"/>
      <c r="S926" s="2" t="s">
        <v>21</v>
      </c>
      <c r="T926" s="4">
        <v>44955</v>
      </c>
      <c r="U926" s="2" t="s">
        <v>3154</v>
      </c>
      <c r="V926" s="6">
        <f>(Sales[[#This Row],[Price_retail]]-Sales[[#This Row],[Price_current]])/Sales[[#This Row],[Price_retail]]</f>
        <v>0</v>
      </c>
      <c r="W926" s="3" t="str" cm="1">
        <f t="array" ref="W92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7" spans="1:23" x14ac:dyDescent="0.35">
      <c r="A927" s="2" t="s">
        <v>3155</v>
      </c>
      <c r="B927" s="2" t="s">
        <v>3156</v>
      </c>
      <c r="C927" s="2" t="s">
        <v>412</v>
      </c>
      <c r="D927" s="2" t="s">
        <v>600</v>
      </c>
      <c r="E927" s="2" t="s">
        <v>4</v>
      </c>
      <c r="F927" s="2" t="s">
        <v>17</v>
      </c>
      <c r="G927" s="2" t="s">
        <v>27</v>
      </c>
      <c r="H927" s="2" t="s">
        <v>134</v>
      </c>
      <c r="I927" s="2" t="s">
        <v>3390</v>
      </c>
      <c r="J927" s="3">
        <v>30.47</v>
      </c>
      <c r="K927" s="3">
        <v>30.47</v>
      </c>
      <c r="L927" s="2" t="s">
        <v>3391</v>
      </c>
      <c r="M927" s="2" t="s">
        <v>9</v>
      </c>
      <c r="N927" s="3">
        <v>715</v>
      </c>
      <c r="O927" s="2" t="s">
        <v>3392</v>
      </c>
      <c r="P927" s="2" t="s">
        <v>76</v>
      </c>
      <c r="Q927" s="3"/>
      <c r="R927" s="3"/>
      <c r="S927" s="2" t="s">
        <v>21</v>
      </c>
      <c r="T927" s="4">
        <v>44955</v>
      </c>
      <c r="U927" s="2" t="s">
        <v>3157</v>
      </c>
      <c r="V927" s="6">
        <f>(Sales[[#This Row],[Price_retail]]-Sales[[#This Row],[Price_current]])/Sales[[#This Row],[Price_retail]]</f>
        <v>0</v>
      </c>
      <c r="W927" s="3" t="str" cm="1">
        <f t="array" ref="W92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28" spans="1:23" x14ac:dyDescent="0.35">
      <c r="A928" s="2" t="s">
        <v>3158</v>
      </c>
      <c r="B928" s="2" t="s">
        <v>3159</v>
      </c>
      <c r="C928" s="2" t="s">
        <v>3423</v>
      </c>
      <c r="D928" s="2" t="s">
        <v>2312</v>
      </c>
      <c r="E928" s="2" t="s">
        <v>4</v>
      </c>
      <c r="F928" s="2" t="s">
        <v>5</v>
      </c>
      <c r="G928" s="2" t="s">
        <v>82</v>
      </c>
      <c r="H928" s="2" t="s">
        <v>145</v>
      </c>
      <c r="I928" s="2" t="s">
        <v>3395</v>
      </c>
      <c r="J928" s="3">
        <v>13.1</v>
      </c>
      <c r="K928" s="3">
        <v>9.83</v>
      </c>
      <c r="L928" s="2" t="s">
        <v>8</v>
      </c>
      <c r="M928" s="2" t="s">
        <v>9</v>
      </c>
      <c r="N928" s="3">
        <v>315</v>
      </c>
      <c r="O928" s="2" t="s">
        <v>29</v>
      </c>
      <c r="P928" s="2" t="s">
        <v>238</v>
      </c>
      <c r="Q928" s="3"/>
      <c r="R928" s="3"/>
      <c r="S928" s="2" t="s">
        <v>21</v>
      </c>
      <c r="T928" s="4">
        <v>44955</v>
      </c>
      <c r="U928" s="2" t="s">
        <v>3160</v>
      </c>
      <c r="V928" s="6">
        <f>(Sales[[#This Row],[Price_retail]]-Sales[[#This Row],[Price_current]])/Sales[[#This Row],[Price_retail]]</f>
        <v>0.24961832061068701</v>
      </c>
      <c r="W928" s="3" t="str" cm="1">
        <f t="array" ref="W92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29" spans="1:23" x14ac:dyDescent="0.35">
      <c r="A929" s="2" t="s">
        <v>3161</v>
      </c>
      <c r="B929" s="2" t="s">
        <v>3162</v>
      </c>
      <c r="C929" s="2" t="s">
        <v>3394</v>
      </c>
      <c r="D929" s="2" t="s">
        <v>887</v>
      </c>
      <c r="E929" s="2" t="s">
        <v>4</v>
      </c>
      <c r="F929" s="2" t="s">
        <v>5</v>
      </c>
      <c r="G929" s="2" t="s">
        <v>6</v>
      </c>
      <c r="H929" s="2" t="s">
        <v>185</v>
      </c>
      <c r="I929" s="2" t="s">
        <v>3395</v>
      </c>
      <c r="J929" s="3">
        <v>24.05</v>
      </c>
      <c r="K929" s="3">
        <v>2405</v>
      </c>
      <c r="L929" s="2" t="s">
        <v>3391</v>
      </c>
      <c r="M929" s="2" t="s">
        <v>9</v>
      </c>
      <c r="N929" s="3">
        <v>266</v>
      </c>
      <c r="O929" s="2" t="s">
        <v>664</v>
      </c>
      <c r="P929" s="2" t="s">
        <v>92</v>
      </c>
      <c r="Q929" s="3"/>
      <c r="R929" s="3"/>
      <c r="S929" s="2" t="s">
        <v>12</v>
      </c>
      <c r="T929" s="4">
        <v>44955</v>
      </c>
      <c r="U929" s="2" t="s">
        <v>3163</v>
      </c>
      <c r="V929" s="6">
        <f>(Sales[[#This Row],[Price_retail]]-Sales[[#This Row],[Price_current]])/Sales[[#This Row],[Price_retail]]</f>
        <v>-98.999999999999986</v>
      </c>
      <c r="W929" s="3" t="str" cm="1">
        <f t="array" ref="W929">_xlfn.IFS(Sales[[#This Row],[Discount]]=0%,"No Discount",Sales[[#This Row],[Discount]]&lt;=20%,"Light",Sales[[#This Row],[Discount]]&lt;=50%,"Moderate",Sales[[#This Row],[Discount]]&lt;=80%,"High",
TRUE,"Very High")</f>
        <v>Light</v>
      </c>
    </row>
    <row r="930" spans="1:23" x14ac:dyDescent="0.35">
      <c r="A930" s="2" t="s">
        <v>3164</v>
      </c>
      <c r="B930" s="2" t="s">
        <v>3165</v>
      </c>
      <c r="C930" s="2" t="s">
        <v>3394</v>
      </c>
      <c r="D930" s="2" t="s">
        <v>1125</v>
      </c>
      <c r="E930" s="2" t="s">
        <v>4</v>
      </c>
      <c r="F930" s="2" t="s">
        <v>5</v>
      </c>
      <c r="G930" s="2" t="s">
        <v>82</v>
      </c>
      <c r="H930" s="2" t="s">
        <v>333</v>
      </c>
      <c r="I930" s="2" t="s">
        <v>3390</v>
      </c>
      <c r="J930" s="3">
        <v>21.38</v>
      </c>
      <c r="K930" s="3">
        <v>21.38</v>
      </c>
      <c r="L930" s="2" t="s">
        <v>3391</v>
      </c>
      <c r="M930" s="2" t="s">
        <v>9</v>
      </c>
      <c r="N930" s="3">
        <v>855</v>
      </c>
      <c r="O930" s="2" t="s">
        <v>98</v>
      </c>
      <c r="P930" s="2" t="s">
        <v>186</v>
      </c>
      <c r="Q930" s="3"/>
      <c r="R930" s="3"/>
      <c r="S930" s="2" t="s">
        <v>21</v>
      </c>
      <c r="T930" s="4">
        <v>44955</v>
      </c>
      <c r="U930" s="2" t="s">
        <v>3166</v>
      </c>
      <c r="V930" s="6">
        <f>(Sales[[#This Row],[Price_retail]]-Sales[[#This Row],[Price_current]])/Sales[[#This Row],[Price_retail]]</f>
        <v>0</v>
      </c>
      <c r="W930" s="3" t="str" cm="1">
        <f t="array" ref="W93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31" spans="1:23" x14ac:dyDescent="0.35">
      <c r="A931" s="2" t="s">
        <v>3167</v>
      </c>
      <c r="B931" s="2" t="s">
        <v>3168</v>
      </c>
      <c r="C931" s="2" t="s">
        <v>3401</v>
      </c>
      <c r="D931" s="2" t="s">
        <v>16</v>
      </c>
      <c r="E931" s="2" t="s">
        <v>4</v>
      </c>
      <c r="F931" s="2" t="s">
        <v>17</v>
      </c>
      <c r="G931" s="2" t="s">
        <v>67</v>
      </c>
      <c r="H931" s="2" t="s">
        <v>19</v>
      </c>
      <c r="I931" s="2" t="s">
        <v>3390</v>
      </c>
      <c r="J931" s="3">
        <v>27.16</v>
      </c>
      <c r="K931" s="3">
        <v>16.14</v>
      </c>
      <c r="L931" s="2" t="s">
        <v>8</v>
      </c>
      <c r="M931" s="2" t="s">
        <v>9</v>
      </c>
      <c r="N931" s="3">
        <v>628</v>
      </c>
      <c r="O931" s="2" t="s">
        <v>347</v>
      </c>
      <c r="P931" s="2" t="s">
        <v>70</v>
      </c>
      <c r="Q931" s="3"/>
      <c r="R931" s="3"/>
      <c r="S931" s="2" t="s">
        <v>21</v>
      </c>
      <c r="T931" s="4">
        <v>44955</v>
      </c>
      <c r="U931" s="2" t="s">
        <v>3169</v>
      </c>
      <c r="V931" s="6">
        <f>(Sales[[#This Row],[Price_retail]]-Sales[[#This Row],[Price_current]])/Sales[[#This Row],[Price_retail]]</f>
        <v>0.40574374079528719</v>
      </c>
      <c r="W931" s="3" t="str" cm="1">
        <f t="array" ref="W93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32" spans="1:23" x14ac:dyDescent="0.35">
      <c r="A932" s="2" t="s">
        <v>3170</v>
      </c>
      <c r="B932" s="2" t="s">
        <v>3171</v>
      </c>
      <c r="C932" s="2" t="s">
        <v>1115</v>
      </c>
      <c r="D932" s="2" t="s">
        <v>581</v>
      </c>
      <c r="E932" s="2" t="s">
        <v>4</v>
      </c>
      <c r="F932" s="2" t="s">
        <v>17</v>
      </c>
      <c r="G932" s="2" t="s">
        <v>27</v>
      </c>
      <c r="H932" s="2" t="s">
        <v>7</v>
      </c>
      <c r="I932" s="2" t="s">
        <v>3393</v>
      </c>
      <c r="J932" s="3">
        <v>11.07</v>
      </c>
      <c r="K932" s="3">
        <v>6.4</v>
      </c>
      <c r="L932" s="2" t="s">
        <v>8</v>
      </c>
      <c r="M932" s="2" t="s">
        <v>9</v>
      </c>
      <c r="N932" s="3">
        <v>958</v>
      </c>
      <c r="O932" s="2" t="s">
        <v>36</v>
      </c>
      <c r="P932" s="2" t="s">
        <v>192</v>
      </c>
      <c r="Q932" s="3"/>
      <c r="R932" s="3"/>
      <c r="S932" s="2" t="s">
        <v>12</v>
      </c>
      <c r="T932" s="4">
        <v>44955</v>
      </c>
      <c r="U932" s="2" t="s">
        <v>3172</v>
      </c>
      <c r="V932" s="6">
        <f>(Sales[[#This Row],[Price_retail]]-Sales[[#This Row],[Price_current]])/Sales[[#This Row],[Price_retail]]</f>
        <v>0.4218608852755194</v>
      </c>
      <c r="W932" s="3" t="str" cm="1">
        <f t="array" ref="W93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33" spans="1:23" x14ac:dyDescent="0.35">
      <c r="A933" s="2" t="s">
        <v>3173</v>
      </c>
      <c r="B933" s="2" t="s">
        <v>3174</v>
      </c>
      <c r="C933" s="2" t="s">
        <v>3410</v>
      </c>
      <c r="D933" s="2" t="s">
        <v>3432</v>
      </c>
      <c r="E933" s="2" t="s">
        <v>4</v>
      </c>
      <c r="F933" s="2" t="s">
        <v>17</v>
      </c>
      <c r="G933" s="2" t="s">
        <v>18</v>
      </c>
      <c r="H933" s="2" t="s">
        <v>90</v>
      </c>
      <c r="I933" s="2" t="s">
        <v>3395</v>
      </c>
      <c r="J933" s="3">
        <v>18.86</v>
      </c>
      <c r="K933" s="3">
        <v>18.86</v>
      </c>
      <c r="L933" s="2" t="s">
        <v>3391</v>
      </c>
      <c r="M933" s="2" t="s">
        <v>9</v>
      </c>
      <c r="N933" s="3">
        <v>877</v>
      </c>
      <c r="O933" s="2" t="s">
        <v>36</v>
      </c>
      <c r="P933" s="2" t="s">
        <v>186</v>
      </c>
      <c r="Q933" s="3"/>
      <c r="R933" s="3"/>
      <c r="S933" s="2" t="s">
        <v>21</v>
      </c>
      <c r="T933" s="4">
        <v>44955</v>
      </c>
      <c r="U933" s="2" t="s">
        <v>3175</v>
      </c>
      <c r="V933" s="6">
        <f>(Sales[[#This Row],[Price_retail]]-Sales[[#This Row],[Price_current]])/Sales[[#This Row],[Price_retail]]</f>
        <v>0</v>
      </c>
      <c r="W933" s="3" t="str" cm="1">
        <f t="array" ref="W93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34" spans="1:23" x14ac:dyDescent="0.35">
      <c r="A934" s="2" t="s">
        <v>3176</v>
      </c>
      <c r="B934" s="2" t="s">
        <v>3177</v>
      </c>
      <c r="C934" s="2" t="s">
        <v>65</v>
      </c>
      <c r="D934" s="2" t="s">
        <v>699</v>
      </c>
      <c r="E934" s="2" t="s">
        <v>4</v>
      </c>
      <c r="F934" s="2" t="s">
        <v>5</v>
      </c>
      <c r="G934" s="2" t="s">
        <v>6</v>
      </c>
      <c r="H934" s="2" t="s">
        <v>68</v>
      </c>
      <c r="I934" s="2" t="s">
        <v>3390</v>
      </c>
      <c r="J934" s="3">
        <v>11.61</v>
      </c>
      <c r="K934" s="3">
        <v>5.76</v>
      </c>
      <c r="L934" s="2" t="s">
        <v>8</v>
      </c>
      <c r="M934" s="2" t="s">
        <v>9</v>
      </c>
      <c r="N934" s="3">
        <v>154</v>
      </c>
      <c r="O934" s="2" t="s">
        <v>43</v>
      </c>
      <c r="P934" s="2" t="s">
        <v>92</v>
      </c>
      <c r="Q934" s="3"/>
      <c r="R934" s="3"/>
      <c r="S934" s="2" t="s">
        <v>21</v>
      </c>
      <c r="T934" s="4">
        <v>44955</v>
      </c>
      <c r="U934" s="2" t="s">
        <v>3178</v>
      </c>
      <c r="V934" s="6">
        <f>(Sales[[#This Row],[Price_retail]]-Sales[[#This Row],[Price_current]])/Sales[[#This Row],[Price_retail]]</f>
        <v>0.50387596899224807</v>
      </c>
      <c r="W934" s="3" t="str" cm="1">
        <f t="array" ref="W934">_xlfn.IFS(Sales[[#This Row],[Discount]]=0%,"No Discount",Sales[[#This Row],[Discount]]&lt;=20%,"Light",Sales[[#This Row],[Discount]]&lt;=50%,"Moderate",Sales[[#This Row],[Discount]]&lt;=80%,"High",
TRUE,"Very High")</f>
        <v>High</v>
      </c>
    </row>
    <row r="935" spans="1:23" x14ac:dyDescent="0.35">
      <c r="A935" s="2" t="s">
        <v>3179</v>
      </c>
      <c r="B935" s="2" t="s">
        <v>3180</v>
      </c>
      <c r="C935" s="2" t="s">
        <v>126</v>
      </c>
      <c r="D935" s="2" t="s">
        <v>417</v>
      </c>
      <c r="E935" s="2" t="s">
        <v>4</v>
      </c>
      <c r="F935" s="2" t="s">
        <v>17</v>
      </c>
      <c r="G935" s="2" t="s">
        <v>67</v>
      </c>
      <c r="H935" s="2" t="s">
        <v>418</v>
      </c>
      <c r="I935" s="2" t="s">
        <v>3395</v>
      </c>
      <c r="J935" s="3">
        <v>8.99</v>
      </c>
      <c r="K935" s="3">
        <v>8.99</v>
      </c>
      <c r="L935" s="2" t="s">
        <v>3391</v>
      </c>
      <c r="M935" s="2" t="s">
        <v>9</v>
      </c>
      <c r="N935" s="3">
        <v>58</v>
      </c>
      <c r="O935" s="2" t="s">
        <v>3392</v>
      </c>
      <c r="P935" s="2" t="s">
        <v>163</v>
      </c>
      <c r="Q935" s="3"/>
      <c r="R935" s="3"/>
      <c r="S935" s="2" t="s">
        <v>21</v>
      </c>
      <c r="T935" s="4">
        <v>44955</v>
      </c>
      <c r="U935" s="2" t="s">
        <v>3181</v>
      </c>
      <c r="V935" s="6">
        <f>(Sales[[#This Row],[Price_retail]]-Sales[[#This Row],[Price_current]])/Sales[[#This Row],[Price_retail]]</f>
        <v>0</v>
      </c>
      <c r="W935" s="3" t="str" cm="1">
        <f t="array" ref="W93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36" spans="1:23" x14ac:dyDescent="0.35">
      <c r="A936" s="2" t="s">
        <v>3182</v>
      </c>
      <c r="B936" s="2" t="s">
        <v>3183</v>
      </c>
      <c r="C936" s="2" t="s">
        <v>412</v>
      </c>
      <c r="D936" s="2" t="s">
        <v>1050</v>
      </c>
      <c r="E936" s="2" t="s">
        <v>4</v>
      </c>
      <c r="F936" s="2" t="s">
        <v>5</v>
      </c>
      <c r="G936" s="2" t="s">
        <v>6</v>
      </c>
      <c r="H936" s="2" t="s">
        <v>68</v>
      </c>
      <c r="I936" s="2" t="s">
        <v>3393</v>
      </c>
      <c r="J936" s="3">
        <v>15.29</v>
      </c>
      <c r="K936" s="3">
        <v>15.29</v>
      </c>
      <c r="L936" s="2" t="s">
        <v>3391</v>
      </c>
      <c r="M936" s="2" t="s">
        <v>9</v>
      </c>
      <c r="N936" s="3">
        <v>769</v>
      </c>
      <c r="O936" s="2" t="s">
        <v>347</v>
      </c>
      <c r="P936" s="2" t="s">
        <v>3392</v>
      </c>
      <c r="Q936" s="3"/>
      <c r="R936" s="3"/>
      <c r="S936" s="2" t="s">
        <v>21</v>
      </c>
      <c r="T936" s="4">
        <v>44955</v>
      </c>
      <c r="U936" s="2" t="s">
        <v>3184</v>
      </c>
      <c r="V936" s="6">
        <f>(Sales[[#This Row],[Price_retail]]-Sales[[#This Row],[Price_current]])/Sales[[#This Row],[Price_retail]]</f>
        <v>0</v>
      </c>
      <c r="W936" s="3" t="str" cm="1">
        <f t="array" ref="W93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37" spans="1:23" x14ac:dyDescent="0.35">
      <c r="A937" s="2" t="s">
        <v>3185</v>
      </c>
      <c r="B937" s="2" t="s">
        <v>3186</v>
      </c>
      <c r="C937" s="2" t="s">
        <v>1888</v>
      </c>
      <c r="D937" s="2" t="s">
        <v>674</v>
      </c>
      <c r="E937" s="2" t="s">
        <v>4</v>
      </c>
      <c r="F937" s="2" t="s">
        <v>5</v>
      </c>
      <c r="G937" s="2" t="s">
        <v>121</v>
      </c>
      <c r="H937" s="2" t="s">
        <v>333</v>
      </c>
      <c r="I937" s="2" t="s">
        <v>3390</v>
      </c>
      <c r="J937" s="3">
        <v>9.42</v>
      </c>
      <c r="K937" s="3">
        <v>9.42</v>
      </c>
      <c r="L937" s="2" t="s">
        <v>248</v>
      </c>
      <c r="M937" s="2" t="s">
        <v>9</v>
      </c>
      <c r="N937" s="3">
        <v>114</v>
      </c>
      <c r="O937" s="2" t="s">
        <v>261</v>
      </c>
      <c r="P937" s="2" t="s">
        <v>30</v>
      </c>
      <c r="Q937" s="3"/>
      <c r="R937" s="3"/>
      <c r="S937" s="2" t="s">
        <v>21</v>
      </c>
      <c r="T937" s="4">
        <v>44955</v>
      </c>
      <c r="U937" s="2" t="s">
        <v>3187</v>
      </c>
      <c r="V937" s="6">
        <f>(Sales[[#This Row],[Price_retail]]-Sales[[#This Row],[Price_current]])/Sales[[#This Row],[Price_retail]]</f>
        <v>0</v>
      </c>
      <c r="W937" s="3" t="str" cm="1">
        <f t="array" ref="W93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38" spans="1:23" x14ac:dyDescent="0.35">
      <c r="A938" s="2" t="s">
        <v>3188</v>
      </c>
      <c r="B938" s="2" t="s">
        <v>3189</v>
      </c>
      <c r="C938" s="2" t="s">
        <v>65</v>
      </c>
      <c r="D938" s="2" t="s">
        <v>1169</v>
      </c>
      <c r="E938" s="2" t="s">
        <v>4</v>
      </c>
      <c r="F938" s="2" t="s">
        <v>5</v>
      </c>
      <c r="G938" s="2" t="s">
        <v>82</v>
      </c>
      <c r="H938" s="2" t="s">
        <v>237</v>
      </c>
      <c r="I938" s="2" t="s">
        <v>3393</v>
      </c>
      <c r="J938" s="3">
        <v>29.83</v>
      </c>
      <c r="K938" s="3">
        <v>29.83</v>
      </c>
      <c r="L938" s="2" t="s">
        <v>3391</v>
      </c>
      <c r="M938" s="2" t="s">
        <v>9</v>
      </c>
      <c r="N938" s="3">
        <v>324</v>
      </c>
      <c r="O938" s="2" t="s">
        <v>267</v>
      </c>
      <c r="P938" s="2" t="s">
        <v>419</v>
      </c>
      <c r="Q938" s="3"/>
      <c r="R938" s="3"/>
      <c r="S938" s="2" t="s">
        <v>21</v>
      </c>
      <c r="T938" s="4">
        <v>44955</v>
      </c>
      <c r="U938" s="2" t="s">
        <v>3190</v>
      </c>
      <c r="V938" s="6">
        <f>(Sales[[#This Row],[Price_retail]]-Sales[[#This Row],[Price_current]])/Sales[[#This Row],[Price_retail]]</f>
        <v>0</v>
      </c>
      <c r="W938" s="3" t="str" cm="1">
        <f t="array" ref="W93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39" spans="1:23" x14ac:dyDescent="0.35">
      <c r="A939" s="2" t="s">
        <v>3191</v>
      </c>
      <c r="B939" s="2" t="s">
        <v>3192</v>
      </c>
      <c r="C939" s="2" t="s">
        <v>65</v>
      </c>
      <c r="D939" s="2" t="s">
        <v>1161</v>
      </c>
      <c r="E939" s="2" t="s">
        <v>4</v>
      </c>
      <c r="F939" s="2" t="s">
        <v>17</v>
      </c>
      <c r="G939" s="2" t="s">
        <v>50</v>
      </c>
      <c r="H939" s="2" t="s">
        <v>28</v>
      </c>
      <c r="I939" s="2" t="s">
        <v>3395</v>
      </c>
      <c r="J939" s="3">
        <v>9.74</v>
      </c>
      <c r="K939" s="3">
        <v>9.74</v>
      </c>
      <c r="L939" s="2" t="s">
        <v>3391</v>
      </c>
      <c r="M939" s="2" t="s">
        <v>9</v>
      </c>
      <c r="N939" s="3">
        <v>82</v>
      </c>
      <c r="O939" s="2" t="s">
        <v>98</v>
      </c>
      <c r="P939" s="2" t="s">
        <v>44</v>
      </c>
      <c r="Q939" s="3"/>
      <c r="R939" s="3"/>
      <c r="S939" s="2" t="s">
        <v>12</v>
      </c>
      <c r="T939" s="4">
        <v>44955</v>
      </c>
      <c r="U939" s="2" t="s">
        <v>3193</v>
      </c>
      <c r="V939" s="6">
        <f>(Sales[[#This Row],[Price_retail]]-Sales[[#This Row],[Price_current]])/Sales[[#This Row],[Price_retail]]</f>
        <v>0</v>
      </c>
      <c r="W939" s="3" t="str" cm="1">
        <f t="array" ref="W93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0" spans="1:23" x14ac:dyDescent="0.35">
      <c r="A940" s="2" t="s">
        <v>3194</v>
      </c>
      <c r="B940" s="2" t="s">
        <v>3195</v>
      </c>
      <c r="C940" s="2" t="s">
        <v>1839</v>
      </c>
      <c r="D940" s="2" t="s">
        <v>408</v>
      </c>
      <c r="E940" s="2" t="s">
        <v>4</v>
      </c>
      <c r="F940" s="2" t="s">
        <v>5</v>
      </c>
      <c r="G940" s="2" t="s">
        <v>82</v>
      </c>
      <c r="H940" s="2" t="s">
        <v>28</v>
      </c>
      <c r="I940" s="2" t="s">
        <v>3390</v>
      </c>
      <c r="J940" s="3">
        <v>19.11</v>
      </c>
      <c r="K940" s="3">
        <v>15.41</v>
      </c>
      <c r="L940" s="2" t="s">
        <v>8</v>
      </c>
      <c r="M940" s="2" t="s">
        <v>9</v>
      </c>
      <c r="N940" s="3">
        <v>91</v>
      </c>
      <c r="O940" s="2" t="s">
        <v>98</v>
      </c>
      <c r="P940" s="2" t="s">
        <v>128</v>
      </c>
      <c r="Q940" s="3"/>
      <c r="R940" s="3"/>
      <c r="S940" s="2" t="s">
        <v>12</v>
      </c>
      <c r="T940" s="4">
        <v>44955</v>
      </c>
      <c r="U940" s="2" t="s">
        <v>3196</v>
      </c>
      <c r="V940" s="6">
        <f>(Sales[[#This Row],[Price_retail]]-Sales[[#This Row],[Price_current]])/Sales[[#This Row],[Price_retail]]</f>
        <v>0.19361590790162217</v>
      </c>
      <c r="W940" s="3" t="str" cm="1">
        <f t="array" ref="W940">_xlfn.IFS(Sales[[#This Row],[Discount]]=0%,"No Discount",Sales[[#This Row],[Discount]]&lt;=20%,"Light",Sales[[#This Row],[Discount]]&lt;=50%,"Moderate",Sales[[#This Row],[Discount]]&lt;=80%,"High",
TRUE,"Very High")</f>
        <v>Light</v>
      </c>
    </row>
    <row r="941" spans="1:23" x14ac:dyDescent="0.35">
      <c r="A941" s="2" t="s">
        <v>3197</v>
      </c>
      <c r="B941" s="2" t="s">
        <v>3198</v>
      </c>
      <c r="C941" s="2" t="s">
        <v>1143</v>
      </c>
      <c r="D941" s="2" t="s">
        <v>109</v>
      </c>
      <c r="E941" s="2" t="s">
        <v>4</v>
      </c>
      <c r="F941" s="2" t="s">
        <v>5</v>
      </c>
      <c r="G941" s="2" t="s">
        <v>82</v>
      </c>
      <c r="H941" s="2" t="s">
        <v>110</v>
      </c>
      <c r="I941" s="2" t="s">
        <v>3395</v>
      </c>
      <c r="J941" s="3">
        <v>11.22</v>
      </c>
      <c r="K941" s="3">
        <v>11.22</v>
      </c>
      <c r="L941" s="2" t="s">
        <v>3391</v>
      </c>
      <c r="M941" s="2" t="s">
        <v>9</v>
      </c>
      <c r="N941" s="3">
        <v>693</v>
      </c>
      <c r="O941" s="2" t="s">
        <v>98</v>
      </c>
      <c r="P941" s="2" t="s">
        <v>368</v>
      </c>
      <c r="Q941" s="3"/>
      <c r="R941" s="3"/>
      <c r="S941" s="2" t="s">
        <v>21</v>
      </c>
      <c r="T941" s="4">
        <v>44955</v>
      </c>
      <c r="U941" s="2" t="s">
        <v>3199</v>
      </c>
      <c r="V941" s="6">
        <f>(Sales[[#This Row],[Price_retail]]-Sales[[#This Row],[Price_current]])/Sales[[#This Row],[Price_retail]]</f>
        <v>0</v>
      </c>
      <c r="W941" s="3" t="str" cm="1">
        <f t="array" ref="W94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2" spans="1:23" x14ac:dyDescent="0.35">
      <c r="A942" s="2" t="s">
        <v>3200</v>
      </c>
      <c r="B942" s="2" t="s">
        <v>3201</v>
      </c>
      <c r="C942" s="2" t="s">
        <v>750</v>
      </c>
      <c r="D942" s="2" t="s">
        <v>617</v>
      </c>
      <c r="E942" s="2" t="s">
        <v>4</v>
      </c>
      <c r="F942" s="2" t="s">
        <v>5</v>
      </c>
      <c r="G942" s="2" t="s">
        <v>82</v>
      </c>
      <c r="H942" s="2" t="s">
        <v>83</v>
      </c>
      <c r="I942" s="2" t="s">
        <v>3395</v>
      </c>
      <c r="J942" s="3">
        <v>18.22</v>
      </c>
      <c r="K942" s="3">
        <v>18.22</v>
      </c>
      <c r="L942" s="2" t="s">
        <v>3391</v>
      </c>
      <c r="M942" s="2" t="s">
        <v>9</v>
      </c>
      <c r="N942" s="3">
        <v>861</v>
      </c>
      <c r="O942" s="2" t="s">
        <v>267</v>
      </c>
      <c r="P942" s="2" t="s">
        <v>37</v>
      </c>
      <c r="Q942" s="3"/>
      <c r="R942" s="3"/>
      <c r="S942" s="2" t="s">
        <v>21</v>
      </c>
      <c r="T942" s="4">
        <v>44955</v>
      </c>
      <c r="U942" s="2" t="s">
        <v>3202</v>
      </c>
      <c r="V942" s="6">
        <f>(Sales[[#This Row],[Price_retail]]-Sales[[#This Row],[Price_current]])/Sales[[#This Row],[Price_retail]]</f>
        <v>0</v>
      </c>
      <c r="W942" s="3" t="str" cm="1">
        <f t="array" ref="W94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3" spans="1:23" x14ac:dyDescent="0.35">
      <c r="A943" s="2" t="s">
        <v>3203</v>
      </c>
      <c r="B943" s="2" t="s">
        <v>3204</v>
      </c>
      <c r="C943" s="2" t="s">
        <v>65</v>
      </c>
      <c r="D943" s="2" t="s">
        <v>247</v>
      </c>
      <c r="E943" s="2" t="s">
        <v>4</v>
      </c>
      <c r="F943" s="2" t="s">
        <v>17</v>
      </c>
      <c r="G943" s="2" t="s">
        <v>50</v>
      </c>
      <c r="H943" s="2" t="s">
        <v>68</v>
      </c>
      <c r="I943" s="2" t="s">
        <v>3393</v>
      </c>
      <c r="J943" s="3">
        <v>11.73</v>
      </c>
      <c r="K943" s="3">
        <v>11.73</v>
      </c>
      <c r="L943" s="2" t="s">
        <v>3391</v>
      </c>
      <c r="M943" s="2" t="s">
        <v>9</v>
      </c>
      <c r="N943" s="3">
        <v>116</v>
      </c>
      <c r="O943" s="2" t="s">
        <v>69</v>
      </c>
      <c r="P943" s="2" t="s">
        <v>44</v>
      </c>
      <c r="Q943" s="3"/>
      <c r="R943" s="3"/>
      <c r="S943" s="2" t="s">
        <v>21</v>
      </c>
      <c r="T943" s="4">
        <v>44955</v>
      </c>
      <c r="U943" s="2" t="s">
        <v>3205</v>
      </c>
      <c r="V943" s="6">
        <f>(Sales[[#This Row],[Price_retail]]-Sales[[#This Row],[Price_current]])/Sales[[#This Row],[Price_retail]]</f>
        <v>0</v>
      </c>
      <c r="W943" s="3" t="str" cm="1">
        <f t="array" ref="W94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4" spans="1:23" x14ac:dyDescent="0.35">
      <c r="A944" s="2" t="s">
        <v>3206</v>
      </c>
      <c r="B944" s="2" t="s">
        <v>3207</v>
      </c>
      <c r="C944" s="2" t="s">
        <v>750</v>
      </c>
      <c r="D944" s="2" t="s">
        <v>1139</v>
      </c>
      <c r="E944" s="2" t="s">
        <v>4</v>
      </c>
      <c r="F944" s="2" t="s">
        <v>17</v>
      </c>
      <c r="G944" s="2" t="s">
        <v>67</v>
      </c>
      <c r="H944" s="2" t="s">
        <v>418</v>
      </c>
      <c r="I944" s="2" t="s">
        <v>3390</v>
      </c>
      <c r="J944" s="3">
        <v>8.99</v>
      </c>
      <c r="K944" s="3">
        <v>8.99</v>
      </c>
      <c r="L944" s="2" t="s">
        <v>3391</v>
      </c>
      <c r="M944" s="2" t="s">
        <v>9</v>
      </c>
      <c r="N944" s="3">
        <v>685</v>
      </c>
      <c r="O944" s="2" t="s">
        <v>302</v>
      </c>
      <c r="P944" s="2" t="s">
        <v>3392</v>
      </c>
      <c r="Q944" s="3"/>
      <c r="R944" s="3"/>
      <c r="S944" s="2" t="s">
        <v>21</v>
      </c>
      <c r="T944" s="4">
        <v>44955</v>
      </c>
      <c r="U944" s="2" t="s">
        <v>3208</v>
      </c>
      <c r="V944" s="6">
        <f>(Sales[[#This Row],[Price_retail]]-Sales[[#This Row],[Price_current]])/Sales[[#This Row],[Price_retail]]</f>
        <v>0</v>
      </c>
      <c r="W944" s="3" t="str" cm="1">
        <f t="array" ref="W94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5" spans="1:23" x14ac:dyDescent="0.35">
      <c r="A945" s="2" t="s">
        <v>3209</v>
      </c>
      <c r="B945" s="2" t="s">
        <v>3210</v>
      </c>
      <c r="C945" s="2" t="s">
        <v>703</v>
      </c>
      <c r="D945" s="2" t="s">
        <v>81</v>
      </c>
      <c r="E945" s="2" t="s">
        <v>4</v>
      </c>
      <c r="F945" s="2" t="s">
        <v>5</v>
      </c>
      <c r="G945" s="2" t="s">
        <v>6</v>
      </c>
      <c r="H945" s="2" t="s">
        <v>83</v>
      </c>
      <c r="I945" s="2" t="s">
        <v>3393</v>
      </c>
      <c r="J945" s="3">
        <v>20.41</v>
      </c>
      <c r="K945" s="3">
        <v>20.41</v>
      </c>
      <c r="L945" s="2" t="s">
        <v>3391</v>
      </c>
      <c r="M945" s="2" t="s">
        <v>9</v>
      </c>
      <c r="N945" s="3">
        <v>274</v>
      </c>
      <c r="O945" s="2" t="s">
        <v>261</v>
      </c>
      <c r="P945" s="2" t="s">
        <v>3392</v>
      </c>
      <c r="Q945" s="3"/>
      <c r="R945" s="3"/>
      <c r="S945" s="2" t="s">
        <v>21</v>
      </c>
      <c r="T945" s="4">
        <v>44955</v>
      </c>
      <c r="U945" s="2" t="s">
        <v>3211</v>
      </c>
      <c r="V945" s="6">
        <f>(Sales[[#This Row],[Price_retail]]-Sales[[#This Row],[Price_current]])/Sales[[#This Row],[Price_retail]]</f>
        <v>0</v>
      </c>
      <c r="W945" s="3" t="str" cm="1">
        <f t="array" ref="W94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6" spans="1:23" x14ac:dyDescent="0.35">
      <c r="A946" s="2" t="s">
        <v>3212</v>
      </c>
      <c r="B946" s="2" t="s">
        <v>3213</v>
      </c>
      <c r="C946" s="2" t="s">
        <v>1242</v>
      </c>
      <c r="D946" s="2" t="s">
        <v>1106</v>
      </c>
      <c r="E946" s="2" t="s">
        <v>4</v>
      </c>
      <c r="F946" s="2" t="s">
        <v>5</v>
      </c>
      <c r="G946" s="2" t="s">
        <v>121</v>
      </c>
      <c r="H946" s="2" t="s">
        <v>19</v>
      </c>
      <c r="I946" s="2" t="s">
        <v>3390</v>
      </c>
      <c r="J946" s="3">
        <v>13.74</v>
      </c>
      <c r="K946" s="3">
        <v>13.74</v>
      </c>
      <c r="L946" s="2" t="s">
        <v>3391</v>
      </c>
      <c r="M946" s="2" t="s">
        <v>9</v>
      </c>
      <c r="N946" s="3">
        <v>17</v>
      </c>
      <c r="O946" s="2" t="s">
        <v>75</v>
      </c>
      <c r="P946" s="2" t="s">
        <v>84</v>
      </c>
      <c r="Q946" s="3"/>
      <c r="R946" s="3"/>
      <c r="S946" s="2" t="s">
        <v>21</v>
      </c>
      <c r="T946" s="4">
        <v>44955</v>
      </c>
      <c r="U946" s="2" t="s">
        <v>3214</v>
      </c>
      <c r="V946" s="6">
        <f>(Sales[[#This Row],[Price_retail]]-Sales[[#This Row],[Price_current]])/Sales[[#This Row],[Price_retail]]</f>
        <v>0</v>
      </c>
      <c r="W946" s="3" t="str" cm="1">
        <f t="array" ref="W94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7" spans="1:23" x14ac:dyDescent="0.35">
      <c r="A947" s="2" t="s">
        <v>3215</v>
      </c>
      <c r="B947" s="2" t="s">
        <v>3216</v>
      </c>
      <c r="C947" s="2" t="s">
        <v>1747</v>
      </c>
      <c r="D947" s="2" t="s">
        <v>314</v>
      </c>
      <c r="E947" s="2" t="s">
        <v>4</v>
      </c>
      <c r="F947" s="2" t="s">
        <v>17</v>
      </c>
      <c r="G947" s="2" t="s">
        <v>67</v>
      </c>
      <c r="H947" s="2" t="s">
        <v>59</v>
      </c>
      <c r="I947" s="2" t="s">
        <v>3390</v>
      </c>
      <c r="J947" s="3">
        <v>18.309999999999999</v>
      </c>
      <c r="K947" s="3">
        <v>18.309999999999999</v>
      </c>
      <c r="L947" s="2" t="s">
        <v>3391</v>
      </c>
      <c r="M947" s="2" t="s">
        <v>9</v>
      </c>
      <c r="N947" s="3">
        <v>718</v>
      </c>
      <c r="O947" s="2" t="s">
        <v>261</v>
      </c>
      <c r="P947" s="2" t="s">
        <v>53</v>
      </c>
      <c r="Q947" s="3"/>
      <c r="R947" s="3"/>
      <c r="S947" s="2" t="s">
        <v>21</v>
      </c>
      <c r="T947" s="4">
        <v>44955</v>
      </c>
      <c r="U947" s="2" t="s">
        <v>3217</v>
      </c>
      <c r="V947" s="6">
        <f>(Sales[[#This Row],[Price_retail]]-Sales[[#This Row],[Price_current]])/Sales[[#This Row],[Price_retail]]</f>
        <v>0</v>
      </c>
      <c r="W947" s="3" t="str" cm="1">
        <f t="array" ref="W94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48" spans="1:23" x14ac:dyDescent="0.35">
      <c r="A948" s="2" t="s">
        <v>3218</v>
      </c>
      <c r="B948" s="2" t="s">
        <v>3219</v>
      </c>
      <c r="C948" s="2" t="s">
        <v>1314</v>
      </c>
      <c r="D948" s="2" t="s">
        <v>346</v>
      </c>
      <c r="E948" s="2" t="s">
        <v>4</v>
      </c>
      <c r="F948" s="2" t="s">
        <v>5</v>
      </c>
      <c r="G948" s="2" t="s">
        <v>6</v>
      </c>
      <c r="H948" s="2" t="s">
        <v>110</v>
      </c>
      <c r="I948" s="2" t="s">
        <v>3393</v>
      </c>
      <c r="J948" s="3">
        <v>12.36</v>
      </c>
      <c r="K948" s="3">
        <v>9.67</v>
      </c>
      <c r="L948" s="2" t="s">
        <v>8</v>
      </c>
      <c r="M948" s="2" t="s">
        <v>9</v>
      </c>
      <c r="N948" s="3">
        <v>858</v>
      </c>
      <c r="O948" s="2" t="s">
        <v>3392</v>
      </c>
      <c r="P948" s="2" t="s">
        <v>92</v>
      </c>
      <c r="Q948" s="3"/>
      <c r="R948" s="3"/>
      <c r="S948" s="2" t="s">
        <v>12</v>
      </c>
      <c r="T948" s="4">
        <v>44955</v>
      </c>
      <c r="U948" s="2" t="s">
        <v>3220</v>
      </c>
      <c r="V948" s="6">
        <f>(Sales[[#This Row],[Price_retail]]-Sales[[#This Row],[Price_current]])/Sales[[#This Row],[Price_retail]]</f>
        <v>0.2176375404530744</v>
      </c>
      <c r="W948" s="3" t="str" cm="1">
        <f t="array" ref="W94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49" spans="1:23" x14ac:dyDescent="0.35">
      <c r="A949" s="2" t="s">
        <v>3221</v>
      </c>
      <c r="B949" s="2" t="s">
        <v>3222</v>
      </c>
      <c r="C949" s="2" t="s">
        <v>271</v>
      </c>
      <c r="D949" s="2" t="s">
        <v>446</v>
      </c>
      <c r="E949" s="2" t="s">
        <v>4</v>
      </c>
      <c r="F949" s="2" t="s">
        <v>17</v>
      </c>
      <c r="G949" s="2" t="s">
        <v>27</v>
      </c>
      <c r="H949" s="2" t="s">
        <v>145</v>
      </c>
      <c r="I949" s="2" t="s">
        <v>3390</v>
      </c>
      <c r="J949" s="3">
        <v>8.99</v>
      </c>
      <c r="K949" s="3">
        <v>6</v>
      </c>
      <c r="L949" s="2" t="s">
        <v>8</v>
      </c>
      <c r="M949" s="2" t="s">
        <v>9</v>
      </c>
      <c r="N949" s="3">
        <v>984</v>
      </c>
      <c r="O949" s="2" t="s">
        <v>29</v>
      </c>
      <c r="P949" s="2" t="s">
        <v>53</v>
      </c>
      <c r="Q949" s="3"/>
      <c r="R949" s="3"/>
      <c r="S949" s="2" t="s">
        <v>21</v>
      </c>
      <c r="T949" s="4">
        <v>44955</v>
      </c>
      <c r="U949" s="2" t="s">
        <v>3223</v>
      </c>
      <c r="V949" s="6">
        <f>(Sales[[#This Row],[Price_retail]]-Sales[[#This Row],[Price_current]])/Sales[[#This Row],[Price_retail]]</f>
        <v>0.33259176863181317</v>
      </c>
      <c r="W949" s="3" t="str" cm="1">
        <f t="array" ref="W94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0" spans="1:23" x14ac:dyDescent="0.35">
      <c r="A950" s="2" t="s">
        <v>3224</v>
      </c>
      <c r="B950" s="2" t="s">
        <v>3225</v>
      </c>
      <c r="C950" s="2" t="s">
        <v>3433</v>
      </c>
      <c r="D950" s="2" t="s">
        <v>162</v>
      </c>
      <c r="E950" s="2" t="s">
        <v>4</v>
      </c>
      <c r="F950" s="2" t="s">
        <v>17</v>
      </c>
      <c r="G950" s="2" t="s">
        <v>50</v>
      </c>
      <c r="H950" s="2" t="s">
        <v>35</v>
      </c>
      <c r="I950" s="2" t="s">
        <v>3390</v>
      </c>
      <c r="J950" s="3">
        <v>28.38</v>
      </c>
      <c r="K950" s="3">
        <v>17.73</v>
      </c>
      <c r="L950" s="2" t="s">
        <v>8</v>
      </c>
      <c r="M950" s="2" t="s">
        <v>9</v>
      </c>
      <c r="N950" s="3">
        <v>359</v>
      </c>
      <c r="O950" s="2" t="s">
        <v>20</v>
      </c>
      <c r="P950" s="2" t="s">
        <v>30</v>
      </c>
      <c r="Q950" s="3"/>
      <c r="R950" s="3"/>
      <c r="S950" s="2" t="s">
        <v>21</v>
      </c>
      <c r="T950" s="4">
        <v>44955</v>
      </c>
      <c r="U950" s="2" t="s">
        <v>3226</v>
      </c>
      <c r="V950" s="6">
        <f>(Sales[[#This Row],[Price_retail]]-Sales[[#This Row],[Price_current]])/Sales[[#This Row],[Price_retail]]</f>
        <v>0.3752642706131078</v>
      </c>
      <c r="W950" s="3" t="str" cm="1">
        <f t="array" ref="W95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1" spans="1:23" x14ac:dyDescent="0.35">
      <c r="A951" s="2" t="s">
        <v>3227</v>
      </c>
      <c r="B951" s="2" t="s">
        <v>3228</v>
      </c>
      <c r="C951" s="2" t="s">
        <v>65</v>
      </c>
      <c r="D951" s="2" t="s">
        <v>842</v>
      </c>
      <c r="E951" s="2" t="s">
        <v>4</v>
      </c>
      <c r="F951" s="2" t="s">
        <v>5</v>
      </c>
      <c r="G951" s="2" t="s">
        <v>121</v>
      </c>
      <c r="H951" s="2" t="s">
        <v>7</v>
      </c>
      <c r="I951" s="2" t="s">
        <v>3395</v>
      </c>
      <c r="J951" s="3">
        <v>23.46</v>
      </c>
      <c r="K951" s="3">
        <v>23.46</v>
      </c>
      <c r="L951" s="2" t="s">
        <v>3391</v>
      </c>
      <c r="M951" s="2" t="s">
        <v>9</v>
      </c>
      <c r="N951" s="3">
        <v>625</v>
      </c>
      <c r="O951" s="2" t="s">
        <v>20</v>
      </c>
      <c r="P951" s="2" t="s">
        <v>283</v>
      </c>
      <c r="Q951" s="3"/>
      <c r="R951" s="3"/>
      <c r="S951" s="2" t="s">
        <v>21</v>
      </c>
      <c r="T951" s="4">
        <v>44955</v>
      </c>
      <c r="U951" s="2" t="s">
        <v>3229</v>
      </c>
      <c r="V951" s="6">
        <f>(Sales[[#This Row],[Price_retail]]-Sales[[#This Row],[Price_current]])/Sales[[#This Row],[Price_retail]]</f>
        <v>0</v>
      </c>
      <c r="W951" s="3" t="str" cm="1">
        <f t="array" ref="W95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52" spans="1:23" x14ac:dyDescent="0.35">
      <c r="A952" s="2" t="s">
        <v>3230</v>
      </c>
      <c r="B952" s="2" t="s">
        <v>3231</v>
      </c>
      <c r="C952" s="2" t="s">
        <v>412</v>
      </c>
      <c r="D952" s="2" t="s">
        <v>1015</v>
      </c>
      <c r="E952" s="2" t="s">
        <v>4</v>
      </c>
      <c r="F952" s="2" t="s">
        <v>5</v>
      </c>
      <c r="G952" s="2" t="s">
        <v>121</v>
      </c>
      <c r="H952" s="2" t="s">
        <v>7</v>
      </c>
      <c r="I952" s="2" t="s">
        <v>3390</v>
      </c>
      <c r="J952" s="3">
        <v>11.45</v>
      </c>
      <c r="K952" s="3">
        <v>6.13</v>
      </c>
      <c r="L952" s="2" t="s">
        <v>8</v>
      </c>
      <c r="M952" s="2" t="s">
        <v>9</v>
      </c>
      <c r="N952" s="3">
        <v>611</v>
      </c>
      <c r="O952" s="2" t="s">
        <v>287</v>
      </c>
      <c r="P952" s="2" t="s">
        <v>122</v>
      </c>
      <c r="Q952" s="3"/>
      <c r="R952" s="3"/>
      <c r="S952" s="2" t="s">
        <v>21</v>
      </c>
      <c r="T952" s="4">
        <v>44955</v>
      </c>
      <c r="U952" s="2" t="s">
        <v>3232</v>
      </c>
      <c r="V952" s="6">
        <f>(Sales[[#This Row],[Price_retail]]-Sales[[#This Row],[Price_current]])/Sales[[#This Row],[Price_retail]]</f>
        <v>0.46462882096069869</v>
      </c>
      <c r="W952" s="3" t="str" cm="1">
        <f t="array" ref="W95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3" spans="1:23" x14ac:dyDescent="0.35">
      <c r="A953" s="2" t="s">
        <v>3233</v>
      </c>
      <c r="B953" s="2" t="s">
        <v>3234</v>
      </c>
      <c r="C953" s="2" t="s">
        <v>999</v>
      </c>
      <c r="D953" s="2" t="s">
        <v>1285</v>
      </c>
      <c r="E953" s="2" t="s">
        <v>4</v>
      </c>
      <c r="F953" s="2" t="s">
        <v>17</v>
      </c>
      <c r="G953" s="2" t="s">
        <v>18</v>
      </c>
      <c r="H953" s="2" t="s">
        <v>134</v>
      </c>
      <c r="I953" s="2" t="s">
        <v>3390</v>
      </c>
      <c r="J953" s="3">
        <v>16.25</v>
      </c>
      <c r="K953" s="3">
        <v>16.25</v>
      </c>
      <c r="L953" s="2" t="s">
        <v>3391</v>
      </c>
      <c r="M953" s="2" t="s">
        <v>9</v>
      </c>
      <c r="N953" s="3">
        <v>675</v>
      </c>
      <c r="O953" s="2" t="s">
        <v>36</v>
      </c>
      <c r="P953" s="2" t="s">
        <v>177</v>
      </c>
      <c r="Q953" s="3"/>
      <c r="R953" s="3"/>
      <c r="S953" s="2" t="s">
        <v>21</v>
      </c>
      <c r="T953" s="4">
        <v>44955</v>
      </c>
      <c r="U953" s="2" t="s">
        <v>3235</v>
      </c>
      <c r="V953" s="6">
        <f>(Sales[[#This Row],[Price_retail]]-Sales[[#This Row],[Price_current]])/Sales[[#This Row],[Price_retail]]</f>
        <v>0</v>
      </c>
      <c r="W953" s="3" t="str" cm="1">
        <f t="array" ref="W95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54" spans="1:23" x14ac:dyDescent="0.35">
      <c r="A954" s="2" t="s">
        <v>3236</v>
      </c>
      <c r="B954" s="2" t="s">
        <v>3237</v>
      </c>
      <c r="C954" s="2" t="s">
        <v>1743</v>
      </c>
      <c r="D954" s="2" t="s">
        <v>1324</v>
      </c>
      <c r="E954" s="2" t="s">
        <v>4</v>
      </c>
      <c r="F954" s="2" t="s">
        <v>17</v>
      </c>
      <c r="G954" s="2" t="s">
        <v>18</v>
      </c>
      <c r="H954" s="2" t="s">
        <v>19</v>
      </c>
      <c r="I954" s="2" t="s">
        <v>3395</v>
      </c>
      <c r="J954" s="3">
        <v>27.75</v>
      </c>
      <c r="K954" s="3">
        <v>16.87</v>
      </c>
      <c r="L954" s="2" t="s">
        <v>8</v>
      </c>
      <c r="M954" s="2" t="s">
        <v>9</v>
      </c>
      <c r="N954" s="3">
        <v>606</v>
      </c>
      <c r="O954" s="2" t="s">
        <v>104</v>
      </c>
      <c r="P954" s="2" t="s">
        <v>84</v>
      </c>
      <c r="Q954" s="3"/>
      <c r="R954" s="3"/>
      <c r="S954" s="2" t="s">
        <v>21</v>
      </c>
      <c r="T954" s="4">
        <v>44955</v>
      </c>
      <c r="U954" s="2" t="s">
        <v>3238</v>
      </c>
      <c r="V954" s="6">
        <f>(Sales[[#This Row],[Price_retail]]-Sales[[#This Row],[Price_current]])/Sales[[#This Row],[Price_retail]]</f>
        <v>0.39207207207207201</v>
      </c>
      <c r="W954" s="3" t="str" cm="1">
        <f t="array" ref="W95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5" spans="1:23" x14ac:dyDescent="0.35">
      <c r="A955" s="2" t="s">
        <v>3239</v>
      </c>
      <c r="B955" s="2" t="s">
        <v>3240</v>
      </c>
      <c r="C955" s="2" t="s">
        <v>65</v>
      </c>
      <c r="D955" s="2" t="s">
        <v>149</v>
      </c>
      <c r="E955" s="2" t="s">
        <v>4</v>
      </c>
      <c r="F955" s="2" t="s">
        <v>5</v>
      </c>
      <c r="G955" s="2" t="s">
        <v>82</v>
      </c>
      <c r="H955" s="2" t="s">
        <v>28</v>
      </c>
      <c r="I955" s="2" t="s">
        <v>3393</v>
      </c>
      <c r="J955" s="3">
        <v>12.17</v>
      </c>
      <c r="K955" s="3">
        <v>12.17</v>
      </c>
      <c r="L955" s="2" t="s">
        <v>3391</v>
      </c>
      <c r="M955" s="2" t="s">
        <v>9</v>
      </c>
      <c r="N955" s="3">
        <v>629</v>
      </c>
      <c r="O955" s="2" t="s">
        <v>267</v>
      </c>
      <c r="P955" s="2" t="s">
        <v>186</v>
      </c>
      <c r="Q955" s="3"/>
      <c r="R955" s="3"/>
      <c r="S955" s="2" t="s">
        <v>12</v>
      </c>
      <c r="T955" s="4">
        <v>44955</v>
      </c>
      <c r="U955" s="2" t="s">
        <v>3241</v>
      </c>
      <c r="V955" s="6">
        <f>(Sales[[#This Row],[Price_retail]]-Sales[[#This Row],[Price_current]])/Sales[[#This Row],[Price_retail]]</f>
        <v>0</v>
      </c>
      <c r="W955" s="3" t="str" cm="1">
        <f t="array" ref="W95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56" spans="1:23" x14ac:dyDescent="0.35">
      <c r="A956" s="2" t="s">
        <v>3242</v>
      </c>
      <c r="B956" s="2" t="s">
        <v>3243</v>
      </c>
      <c r="C956" s="2" t="s">
        <v>108</v>
      </c>
      <c r="D956" s="2" t="s">
        <v>327</v>
      </c>
      <c r="E956" s="2" t="s">
        <v>4</v>
      </c>
      <c r="F956" s="2" t="s">
        <v>5</v>
      </c>
      <c r="G956" s="2" t="s">
        <v>82</v>
      </c>
      <c r="H956" s="2" t="s">
        <v>110</v>
      </c>
      <c r="I956" s="2" t="s">
        <v>3393</v>
      </c>
      <c r="J956" s="3">
        <v>13.25</v>
      </c>
      <c r="K956" s="3">
        <v>9.1199999999999992</v>
      </c>
      <c r="L956" s="2" t="s">
        <v>8</v>
      </c>
      <c r="M956" s="2" t="s">
        <v>9</v>
      </c>
      <c r="N956" s="3">
        <v>404</v>
      </c>
      <c r="O956" s="2" t="s">
        <v>91</v>
      </c>
      <c r="P956" s="2" t="s">
        <v>61</v>
      </c>
      <c r="Q956" s="3"/>
      <c r="R956" s="3"/>
      <c r="S956" s="2" t="s">
        <v>21</v>
      </c>
      <c r="T956" s="4">
        <v>44955</v>
      </c>
      <c r="U956" s="2" t="s">
        <v>3244</v>
      </c>
      <c r="V956" s="6">
        <f>(Sales[[#This Row],[Price_retail]]-Sales[[#This Row],[Price_current]])/Sales[[#This Row],[Price_retail]]</f>
        <v>0.31169811320754726</v>
      </c>
      <c r="W956" s="3" t="str" cm="1">
        <f t="array" ref="W95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7" spans="1:23" x14ac:dyDescent="0.35">
      <c r="A957" s="2" t="s">
        <v>3245</v>
      </c>
      <c r="B957" s="2" t="s">
        <v>3246</v>
      </c>
      <c r="C957" s="2" t="s">
        <v>1115</v>
      </c>
      <c r="D957" s="2" t="s">
        <v>769</v>
      </c>
      <c r="E957" s="2" t="s">
        <v>4</v>
      </c>
      <c r="F957" s="2" t="s">
        <v>17</v>
      </c>
      <c r="G957" s="2" t="s">
        <v>27</v>
      </c>
      <c r="H957" s="2" t="s">
        <v>35</v>
      </c>
      <c r="I957" s="2" t="s">
        <v>3390</v>
      </c>
      <c r="J957" s="3">
        <v>17.89</v>
      </c>
      <c r="K957" s="3">
        <v>17.89</v>
      </c>
      <c r="L957" s="2" t="s">
        <v>3391</v>
      </c>
      <c r="M957" s="2" t="s">
        <v>9</v>
      </c>
      <c r="N957" s="3">
        <v>835</v>
      </c>
      <c r="O957" s="2" t="s">
        <v>60</v>
      </c>
      <c r="P957" s="2" t="s">
        <v>92</v>
      </c>
      <c r="Q957" s="3"/>
      <c r="R957" s="3"/>
      <c r="S957" s="2" t="s">
        <v>12</v>
      </c>
      <c r="T957" s="4">
        <v>44955</v>
      </c>
      <c r="U957" s="2" t="s">
        <v>3247</v>
      </c>
      <c r="V957" s="6">
        <f>(Sales[[#This Row],[Price_retail]]-Sales[[#This Row],[Price_current]])/Sales[[#This Row],[Price_retail]]</f>
        <v>0</v>
      </c>
      <c r="W957" s="3" t="str" cm="1">
        <f t="array" ref="W95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58" spans="1:23" x14ac:dyDescent="0.35">
      <c r="A958" s="2" t="s">
        <v>3248</v>
      </c>
      <c r="B958" s="2" t="s">
        <v>3249</v>
      </c>
      <c r="C958" s="2" t="s">
        <v>3405</v>
      </c>
      <c r="D958" s="2" t="s">
        <v>894</v>
      </c>
      <c r="E958" s="2" t="s">
        <v>4</v>
      </c>
      <c r="F958" s="2" t="s">
        <v>5</v>
      </c>
      <c r="G958" s="2" t="s">
        <v>121</v>
      </c>
      <c r="H958" s="2" t="s">
        <v>145</v>
      </c>
      <c r="I958" s="2" t="s">
        <v>3393</v>
      </c>
      <c r="J958" s="3">
        <v>12.15</v>
      </c>
      <c r="K958" s="3">
        <v>7.53</v>
      </c>
      <c r="L958" s="2" t="s">
        <v>8</v>
      </c>
      <c r="M958" s="2" t="s">
        <v>9</v>
      </c>
      <c r="N958" s="3">
        <v>753</v>
      </c>
      <c r="O958" s="2" t="s">
        <v>98</v>
      </c>
      <c r="P958" s="2" t="s">
        <v>44</v>
      </c>
      <c r="Q958" s="3"/>
      <c r="R958" s="3"/>
      <c r="S958" s="2" t="s">
        <v>12</v>
      </c>
      <c r="T958" s="4">
        <v>44955</v>
      </c>
      <c r="U958" s="2" t="s">
        <v>3250</v>
      </c>
      <c r="V958" s="6">
        <f>(Sales[[#This Row],[Price_retail]]-Sales[[#This Row],[Price_current]])/Sales[[#This Row],[Price_retail]]</f>
        <v>0.38024691358024693</v>
      </c>
      <c r="W958" s="3" t="str" cm="1">
        <f t="array" ref="W958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59" spans="1:23" x14ac:dyDescent="0.35">
      <c r="A959" s="2" t="s">
        <v>3251</v>
      </c>
      <c r="B959" s="2" t="s">
        <v>3252</v>
      </c>
      <c r="C959" s="2" t="s">
        <v>1628</v>
      </c>
      <c r="D959" s="2" t="s">
        <v>342</v>
      </c>
      <c r="E959" s="2" t="s">
        <v>4</v>
      </c>
      <c r="F959" s="2" t="s">
        <v>17</v>
      </c>
      <c r="G959" s="2" t="s">
        <v>18</v>
      </c>
      <c r="H959" s="2" t="s">
        <v>237</v>
      </c>
      <c r="I959" s="2" t="s">
        <v>3390</v>
      </c>
      <c r="J959" s="3">
        <v>25.06</v>
      </c>
      <c r="K959" s="3">
        <v>25.06</v>
      </c>
      <c r="L959" s="2" t="s">
        <v>3391</v>
      </c>
      <c r="M959" s="2" t="s">
        <v>9</v>
      </c>
      <c r="N959" s="3">
        <v>327</v>
      </c>
      <c r="O959" s="2" t="s">
        <v>261</v>
      </c>
      <c r="P959" s="2" t="s">
        <v>30</v>
      </c>
      <c r="Q959" s="3"/>
      <c r="R959" s="3"/>
      <c r="S959" s="2" t="s">
        <v>21</v>
      </c>
      <c r="T959" s="4">
        <v>44955</v>
      </c>
      <c r="U959" s="2" t="s">
        <v>3253</v>
      </c>
      <c r="V959" s="6">
        <f>(Sales[[#This Row],[Price_retail]]-Sales[[#This Row],[Price_current]])/Sales[[#This Row],[Price_retail]]</f>
        <v>0</v>
      </c>
      <c r="W959" s="3" t="str" cm="1">
        <f t="array" ref="W95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0" spans="1:23" x14ac:dyDescent="0.35">
      <c r="A960" s="2" t="s">
        <v>3254</v>
      </c>
      <c r="B960" s="2" t="s">
        <v>3255</v>
      </c>
      <c r="C960" s="2" t="s">
        <v>3430</v>
      </c>
      <c r="D960" s="2" t="s">
        <v>247</v>
      </c>
      <c r="E960" s="2" t="s">
        <v>4</v>
      </c>
      <c r="F960" s="2" t="s">
        <v>17</v>
      </c>
      <c r="G960" s="2" t="s">
        <v>50</v>
      </c>
      <c r="H960" s="2" t="s">
        <v>68</v>
      </c>
      <c r="I960" s="2" t="s">
        <v>3390</v>
      </c>
      <c r="J960" s="3">
        <v>28.59</v>
      </c>
      <c r="K960" s="3">
        <v>28.59</v>
      </c>
      <c r="L960" s="2" t="s">
        <v>3391</v>
      </c>
      <c r="M960" s="2" t="s">
        <v>9</v>
      </c>
      <c r="N960" s="3">
        <v>605</v>
      </c>
      <c r="O960" s="2" t="s">
        <v>20</v>
      </c>
      <c r="P960" s="2" t="s">
        <v>254</v>
      </c>
      <c r="Q960" s="3"/>
      <c r="R960" s="3"/>
      <c r="S960" s="2" t="s">
        <v>21</v>
      </c>
      <c r="T960" s="4">
        <v>44955</v>
      </c>
      <c r="U960" s="2" t="s">
        <v>3256</v>
      </c>
      <c r="V960" s="6">
        <f>(Sales[[#This Row],[Price_retail]]-Sales[[#This Row],[Price_current]])/Sales[[#This Row],[Price_retail]]</f>
        <v>0</v>
      </c>
      <c r="W960" s="3" t="str" cm="1">
        <f t="array" ref="W96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1" spans="1:23" x14ac:dyDescent="0.35">
      <c r="A961" s="2" t="s">
        <v>3257</v>
      </c>
      <c r="B961" s="2" t="s">
        <v>3258</v>
      </c>
      <c r="C961" s="2" t="s">
        <v>3394</v>
      </c>
      <c r="D961" s="2" t="s">
        <v>2370</v>
      </c>
      <c r="E961" s="2" t="s">
        <v>4</v>
      </c>
      <c r="F961" s="2" t="s">
        <v>5</v>
      </c>
      <c r="G961" s="2" t="s">
        <v>82</v>
      </c>
      <c r="H961" s="2" t="s">
        <v>185</v>
      </c>
      <c r="I961" s="2" t="s">
        <v>3395</v>
      </c>
      <c r="J961" s="3">
        <v>10.16</v>
      </c>
      <c r="K961" s="3">
        <v>10.16</v>
      </c>
      <c r="L961" s="2" t="s">
        <v>3391</v>
      </c>
      <c r="M961" s="2" t="s">
        <v>9</v>
      </c>
      <c r="N961" s="3">
        <v>601</v>
      </c>
      <c r="O961" s="2" t="s">
        <v>60</v>
      </c>
      <c r="P961" s="2" t="s">
        <v>37</v>
      </c>
      <c r="Q961" s="3"/>
      <c r="R961" s="3"/>
      <c r="S961" s="2" t="s">
        <v>21</v>
      </c>
      <c r="T961" s="4">
        <v>44955</v>
      </c>
      <c r="U961" s="2" t="s">
        <v>3259</v>
      </c>
      <c r="V961" s="6">
        <f>(Sales[[#This Row],[Price_retail]]-Sales[[#This Row],[Price_current]])/Sales[[#This Row],[Price_retail]]</f>
        <v>0</v>
      </c>
      <c r="W961" s="3" t="str" cm="1">
        <f t="array" ref="W96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2" spans="1:23" x14ac:dyDescent="0.35">
      <c r="A962" s="2" t="s">
        <v>3260</v>
      </c>
      <c r="B962" s="2" t="s">
        <v>3261</v>
      </c>
      <c r="C962" s="2" t="s">
        <v>3433</v>
      </c>
      <c r="D962" s="2" t="s">
        <v>1727</v>
      </c>
      <c r="E962" s="2" t="s">
        <v>4</v>
      </c>
      <c r="F962" s="2" t="s">
        <v>5</v>
      </c>
      <c r="G962" s="2" t="s">
        <v>121</v>
      </c>
      <c r="H962" s="2" t="s">
        <v>418</v>
      </c>
      <c r="I962" s="2" t="s">
        <v>3395</v>
      </c>
      <c r="J962" s="3">
        <v>21.86</v>
      </c>
      <c r="K962" s="3">
        <v>21.86</v>
      </c>
      <c r="L962" s="2" t="s">
        <v>3391</v>
      </c>
      <c r="M962" s="2" t="s">
        <v>9</v>
      </c>
      <c r="N962" s="3">
        <v>672</v>
      </c>
      <c r="O962" s="2" t="s">
        <v>29</v>
      </c>
      <c r="P962" s="2" t="s">
        <v>186</v>
      </c>
      <c r="Q962" s="3"/>
      <c r="R962" s="3"/>
      <c r="S962" s="2" t="s">
        <v>21</v>
      </c>
      <c r="T962" s="4">
        <v>44955</v>
      </c>
      <c r="U962" s="2" t="s">
        <v>3262</v>
      </c>
      <c r="V962" s="6">
        <f>(Sales[[#This Row],[Price_retail]]-Sales[[#This Row],[Price_current]])/Sales[[#This Row],[Price_retail]]</f>
        <v>0</v>
      </c>
      <c r="W962" s="3" t="str" cm="1">
        <f t="array" ref="W96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3" spans="1:23" x14ac:dyDescent="0.35">
      <c r="A963" s="2" t="s">
        <v>3263</v>
      </c>
      <c r="B963" s="2" t="s">
        <v>3264</v>
      </c>
      <c r="C963" s="2" t="s">
        <v>1542</v>
      </c>
      <c r="D963" s="2" t="s">
        <v>2370</v>
      </c>
      <c r="E963" s="2" t="s">
        <v>4</v>
      </c>
      <c r="F963" s="2" t="s">
        <v>5</v>
      </c>
      <c r="G963" s="2" t="s">
        <v>121</v>
      </c>
      <c r="H963" s="2" t="s">
        <v>185</v>
      </c>
      <c r="I963" s="2" t="s">
        <v>3390</v>
      </c>
      <c r="J963" s="3">
        <v>8.99</v>
      </c>
      <c r="K963" s="3">
        <v>5.7</v>
      </c>
      <c r="L963" s="2" t="s">
        <v>8</v>
      </c>
      <c r="M963" s="2" t="s">
        <v>9</v>
      </c>
      <c r="N963" s="3">
        <v>129</v>
      </c>
      <c r="O963" s="2" t="s">
        <v>3392</v>
      </c>
      <c r="P963" s="2" t="s">
        <v>328</v>
      </c>
      <c r="Q963" s="3"/>
      <c r="R963" s="3"/>
      <c r="S963" s="2" t="s">
        <v>21</v>
      </c>
      <c r="T963" s="4">
        <v>44955</v>
      </c>
      <c r="U963" s="2" t="s">
        <v>3265</v>
      </c>
      <c r="V963" s="6">
        <f>(Sales[[#This Row],[Price_retail]]-Sales[[#This Row],[Price_current]])/Sales[[#This Row],[Price_retail]]</f>
        <v>0.36596218020022248</v>
      </c>
      <c r="W963" s="3" t="str" cm="1">
        <f t="array" ref="W963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64" spans="1:23" x14ac:dyDescent="0.35">
      <c r="A964" s="2" t="s">
        <v>3266</v>
      </c>
      <c r="B964" s="2" t="s">
        <v>3267</v>
      </c>
      <c r="C964" s="2" t="s">
        <v>3394</v>
      </c>
      <c r="D964" s="2" t="s">
        <v>16</v>
      </c>
      <c r="E964" s="2" t="s">
        <v>4</v>
      </c>
      <c r="F964" s="2" t="s">
        <v>17</v>
      </c>
      <c r="G964" s="2" t="s">
        <v>27</v>
      </c>
      <c r="H964" s="2" t="s">
        <v>19</v>
      </c>
      <c r="I964" s="2" t="s">
        <v>3393</v>
      </c>
      <c r="J964" s="3">
        <v>47.38</v>
      </c>
      <c r="K964" s="3">
        <v>47.38</v>
      </c>
      <c r="L964" s="2" t="s">
        <v>3391</v>
      </c>
      <c r="M964" s="2" t="s">
        <v>9</v>
      </c>
      <c r="N964" s="3">
        <v>499</v>
      </c>
      <c r="O964" s="2" t="s">
        <v>191</v>
      </c>
      <c r="P964" s="2" t="s">
        <v>76</v>
      </c>
      <c r="Q964" s="3"/>
      <c r="R964" s="3"/>
      <c r="S964" s="2" t="s">
        <v>21</v>
      </c>
      <c r="T964" s="4">
        <v>44955</v>
      </c>
      <c r="U964" s="2" t="s">
        <v>3268</v>
      </c>
      <c r="V964" s="6">
        <f>(Sales[[#This Row],[Price_retail]]-Sales[[#This Row],[Price_current]])/Sales[[#This Row],[Price_retail]]</f>
        <v>0</v>
      </c>
      <c r="W964" s="3" t="str" cm="1">
        <f t="array" ref="W96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5" spans="1:23" x14ac:dyDescent="0.35">
      <c r="A965" s="2" t="s">
        <v>3269</v>
      </c>
      <c r="B965" s="2" t="s">
        <v>3270</v>
      </c>
      <c r="C965" s="2" t="s">
        <v>242</v>
      </c>
      <c r="D965" s="2" t="s">
        <v>1106</v>
      </c>
      <c r="E965" s="2" t="s">
        <v>4</v>
      </c>
      <c r="F965" s="2" t="s">
        <v>5</v>
      </c>
      <c r="G965" s="2" t="s">
        <v>6</v>
      </c>
      <c r="H965" s="2" t="s">
        <v>19</v>
      </c>
      <c r="I965" s="2" t="s">
        <v>3393</v>
      </c>
      <c r="J965" s="3">
        <v>37.35</v>
      </c>
      <c r="K965" s="3">
        <v>37.35</v>
      </c>
      <c r="L965" s="2" t="s">
        <v>3391</v>
      </c>
      <c r="M965" s="2" t="s">
        <v>9</v>
      </c>
      <c r="N965" s="3">
        <v>546</v>
      </c>
      <c r="O965" s="2" t="s">
        <v>347</v>
      </c>
      <c r="P965" s="2" t="s">
        <v>92</v>
      </c>
      <c r="Q965" s="3"/>
      <c r="R965" s="3"/>
      <c r="S965" s="2" t="s">
        <v>21</v>
      </c>
      <c r="T965" s="4">
        <v>44955</v>
      </c>
      <c r="U965" s="2" t="s">
        <v>3271</v>
      </c>
      <c r="V965" s="6">
        <f>(Sales[[#This Row],[Price_retail]]-Sales[[#This Row],[Price_current]])/Sales[[#This Row],[Price_retail]]</f>
        <v>0</v>
      </c>
      <c r="W965" s="3" t="str" cm="1">
        <f t="array" ref="W96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6" spans="1:23" x14ac:dyDescent="0.35">
      <c r="A966" s="2" t="s">
        <v>3272</v>
      </c>
      <c r="B966" s="2" t="s">
        <v>3273</v>
      </c>
      <c r="C966" s="2" t="s">
        <v>1973</v>
      </c>
      <c r="D966" s="2" t="s">
        <v>887</v>
      </c>
      <c r="E966" s="2" t="s">
        <v>4</v>
      </c>
      <c r="F966" s="2" t="s">
        <v>5</v>
      </c>
      <c r="G966" s="2" t="s">
        <v>82</v>
      </c>
      <c r="H966" s="2" t="s">
        <v>185</v>
      </c>
      <c r="I966" s="2" t="s">
        <v>3395</v>
      </c>
      <c r="J966" s="3">
        <v>20.75</v>
      </c>
      <c r="K966" s="3">
        <v>20.75</v>
      </c>
      <c r="L966" s="2" t="s">
        <v>3391</v>
      </c>
      <c r="M966" s="2" t="s">
        <v>9</v>
      </c>
      <c r="N966" s="3">
        <v>667</v>
      </c>
      <c r="O966" s="2" t="s">
        <v>98</v>
      </c>
      <c r="P966" s="2" t="s">
        <v>3392</v>
      </c>
      <c r="Q966" s="3"/>
      <c r="R966" s="3"/>
      <c r="S966" s="2" t="s">
        <v>21</v>
      </c>
      <c r="T966" s="4">
        <v>44955</v>
      </c>
      <c r="U966" s="2" t="s">
        <v>3274</v>
      </c>
      <c r="V966" s="6">
        <f>(Sales[[#This Row],[Price_retail]]-Sales[[#This Row],[Price_current]])/Sales[[#This Row],[Price_retail]]</f>
        <v>0</v>
      </c>
      <c r="W966" s="3" t="str" cm="1">
        <f t="array" ref="W966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7" spans="1:23" x14ac:dyDescent="0.35">
      <c r="A967" s="2" t="s">
        <v>3275</v>
      </c>
      <c r="B967" s="2" t="s">
        <v>3276</v>
      </c>
      <c r="C967" s="2" t="s">
        <v>3433</v>
      </c>
      <c r="D967" s="2" t="s">
        <v>97</v>
      </c>
      <c r="E967" s="2" t="s">
        <v>4</v>
      </c>
      <c r="F967" s="2" t="s">
        <v>5</v>
      </c>
      <c r="G967" s="2" t="s">
        <v>6</v>
      </c>
      <c r="H967" s="2" t="s">
        <v>90</v>
      </c>
      <c r="I967" s="2" t="s">
        <v>3390</v>
      </c>
      <c r="J967" s="3">
        <v>19.809999999999999</v>
      </c>
      <c r="K967" s="3">
        <v>19.809999999999999</v>
      </c>
      <c r="L967" s="2" t="s">
        <v>3391</v>
      </c>
      <c r="M967" s="2" t="s">
        <v>9</v>
      </c>
      <c r="N967" s="3">
        <v>247</v>
      </c>
      <c r="O967" s="2" t="s">
        <v>43</v>
      </c>
      <c r="P967" s="2" t="s">
        <v>238</v>
      </c>
      <c r="Q967" s="3"/>
      <c r="R967" s="3"/>
      <c r="S967" s="2" t="s">
        <v>21</v>
      </c>
      <c r="T967" s="4">
        <v>44955</v>
      </c>
      <c r="U967" s="2" t="s">
        <v>3277</v>
      </c>
      <c r="V967" s="6">
        <f>(Sales[[#This Row],[Price_retail]]-Sales[[#This Row],[Price_current]])/Sales[[#This Row],[Price_retail]]</f>
        <v>0</v>
      </c>
      <c r="W967" s="3" t="str" cm="1">
        <f t="array" ref="W967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8" spans="1:23" x14ac:dyDescent="0.35">
      <c r="A968" s="2" t="s">
        <v>3278</v>
      </c>
      <c r="B968" s="2" t="s">
        <v>3279</v>
      </c>
      <c r="C968" s="2" t="s">
        <v>246</v>
      </c>
      <c r="D968" s="2" t="s">
        <v>913</v>
      </c>
      <c r="E968" s="2" t="s">
        <v>4</v>
      </c>
      <c r="F968" s="2" t="s">
        <v>17</v>
      </c>
      <c r="G968" s="2" t="s">
        <v>50</v>
      </c>
      <c r="H968" s="2" t="s">
        <v>51</v>
      </c>
      <c r="I968" s="2" t="s">
        <v>3395</v>
      </c>
      <c r="J968" s="3">
        <v>19.3</v>
      </c>
      <c r="K968" s="3">
        <v>19.3</v>
      </c>
      <c r="L968" s="2" t="s">
        <v>3391</v>
      </c>
      <c r="M968" s="2" t="s">
        <v>9</v>
      </c>
      <c r="N968" s="3">
        <v>760</v>
      </c>
      <c r="O968" s="2" t="s">
        <v>104</v>
      </c>
      <c r="P968" s="2" t="s">
        <v>92</v>
      </c>
      <c r="Q968" s="3"/>
      <c r="R968" s="3"/>
      <c r="S968" s="2" t="s">
        <v>21</v>
      </c>
      <c r="T968" s="4">
        <v>44955</v>
      </c>
      <c r="U968" s="2" t="s">
        <v>3280</v>
      </c>
      <c r="V968" s="6">
        <f>(Sales[[#This Row],[Price_retail]]-Sales[[#This Row],[Price_current]])/Sales[[#This Row],[Price_retail]]</f>
        <v>0</v>
      </c>
      <c r="W968" s="3" t="str" cm="1">
        <f t="array" ref="W96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69" spans="1:23" x14ac:dyDescent="0.35">
      <c r="A969" s="2" t="s">
        <v>3281</v>
      </c>
      <c r="B969" s="2" t="s">
        <v>3282</v>
      </c>
      <c r="C969" s="2" t="s">
        <v>3414</v>
      </c>
      <c r="D969" s="2" t="s">
        <v>327</v>
      </c>
      <c r="E969" s="2" t="s">
        <v>4</v>
      </c>
      <c r="F969" s="2" t="s">
        <v>5</v>
      </c>
      <c r="G969" s="2" t="s">
        <v>121</v>
      </c>
      <c r="H969" s="2" t="s">
        <v>110</v>
      </c>
      <c r="I969" s="2" t="s">
        <v>3393</v>
      </c>
      <c r="J969" s="3">
        <v>11.95</v>
      </c>
      <c r="K969" s="3">
        <v>11.95</v>
      </c>
      <c r="L969" s="2" t="s">
        <v>3391</v>
      </c>
      <c r="M969" s="2" t="s">
        <v>9</v>
      </c>
      <c r="N969" s="3">
        <v>438</v>
      </c>
      <c r="O969" s="2" t="s">
        <v>20</v>
      </c>
      <c r="P969" s="2" t="s">
        <v>44</v>
      </c>
      <c r="Q969" s="3"/>
      <c r="R969" s="3"/>
      <c r="S969" s="2" t="s">
        <v>21</v>
      </c>
      <c r="T969" s="4">
        <v>44955</v>
      </c>
      <c r="U969" s="2" t="s">
        <v>3283</v>
      </c>
      <c r="V969" s="6">
        <f>(Sales[[#This Row],[Price_retail]]-Sales[[#This Row],[Price_current]])/Sales[[#This Row],[Price_retail]]</f>
        <v>0</v>
      </c>
      <c r="W969" s="3" t="str" cm="1">
        <f t="array" ref="W96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70" spans="1:23" x14ac:dyDescent="0.35">
      <c r="A970" s="2" t="s">
        <v>3284</v>
      </c>
      <c r="B970" s="2" t="s">
        <v>3285</v>
      </c>
      <c r="C970" s="2" t="s">
        <v>484</v>
      </c>
      <c r="D970" s="2" t="s">
        <v>158</v>
      </c>
      <c r="E970" s="2" t="s">
        <v>4</v>
      </c>
      <c r="F970" s="2" t="s">
        <v>5</v>
      </c>
      <c r="G970" s="2" t="s">
        <v>121</v>
      </c>
      <c r="H970" s="2" t="s">
        <v>145</v>
      </c>
      <c r="I970" s="2" t="s">
        <v>3389</v>
      </c>
      <c r="J970" s="3">
        <v>18.420000000000002</v>
      </c>
      <c r="K970" s="3">
        <v>18.420000000000002</v>
      </c>
      <c r="L970" s="2" t="s">
        <v>3391</v>
      </c>
      <c r="M970" s="2" t="s">
        <v>9</v>
      </c>
      <c r="N970" s="3">
        <v>265</v>
      </c>
      <c r="O970" s="2" t="s">
        <v>104</v>
      </c>
      <c r="P970" s="2" t="s">
        <v>3392</v>
      </c>
      <c r="Q970" s="3"/>
      <c r="R970" s="3"/>
      <c r="S970" s="2" t="s">
        <v>21</v>
      </c>
      <c r="T970" s="4">
        <v>44955</v>
      </c>
      <c r="U970" s="2" t="s">
        <v>3286</v>
      </c>
      <c r="V970" s="6">
        <f>(Sales[[#This Row],[Price_retail]]-Sales[[#This Row],[Price_current]])/Sales[[#This Row],[Price_retail]]</f>
        <v>0</v>
      </c>
      <c r="W970" s="3" t="str" cm="1">
        <f t="array" ref="W970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71" spans="1:23" x14ac:dyDescent="0.35">
      <c r="A971" s="2" t="s">
        <v>3287</v>
      </c>
      <c r="B971" s="2" t="s">
        <v>3288</v>
      </c>
      <c r="C971" s="2" t="s">
        <v>3406</v>
      </c>
      <c r="D971" s="2" t="s">
        <v>1243</v>
      </c>
      <c r="E971" s="2" t="s">
        <v>4</v>
      </c>
      <c r="F971" s="2" t="s">
        <v>17</v>
      </c>
      <c r="G971" s="2" t="s">
        <v>67</v>
      </c>
      <c r="H971" s="2" t="s">
        <v>90</v>
      </c>
      <c r="I971" s="2" t="s">
        <v>3393</v>
      </c>
      <c r="J971" s="3">
        <v>9.41</v>
      </c>
      <c r="K971" s="3">
        <v>9.41</v>
      </c>
      <c r="L971" s="2" t="s">
        <v>3391</v>
      </c>
      <c r="M971" s="2" t="s">
        <v>9</v>
      </c>
      <c r="N971" s="3">
        <v>740</v>
      </c>
      <c r="O971" s="2" t="s">
        <v>359</v>
      </c>
      <c r="P971" s="2" t="s">
        <v>221</v>
      </c>
      <c r="Q971" s="3"/>
      <c r="R971" s="3"/>
      <c r="S971" s="2" t="s">
        <v>21</v>
      </c>
      <c r="T971" s="4">
        <v>44955</v>
      </c>
      <c r="U971" s="2" t="s">
        <v>3289</v>
      </c>
      <c r="V971" s="6">
        <f>(Sales[[#This Row],[Price_retail]]-Sales[[#This Row],[Price_current]])/Sales[[#This Row],[Price_retail]]</f>
        <v>0</v>
      </c>
      <c r="W971" s="3" t="str" cm="1">
        <f t="array" ref="W971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72" spans="1:23" x14ac:dyDescent="0.35">
      <c r="A972" s="2" t="s">
        <v>3290</v>
      </c>
      <c r="B972" s="2" t="s">
        <v>3291</v>
      </c>
      <c r="C972" s="2" t="s">
        <v>1281</v>
      </c>
      <c r="D972" s="2" t="s">
        <v>769</v>
      </c>
      <c r="E972" s="2" t="s">
        <v>4</v>
      </c>
      <c r="F972" s="2" t="s">
        <v>17</v>
      </c>
      <c r="G972" s="2" t="s">
        <v>27</v>
      </c>
      <c r="H972" s="2"/>
      <c r="I972" s="2" t="s">
        <v>3395</v>
      </c>
      <c r="J972" s="3">
        <v>20.64</v>
      </c>
      <c r="K972" s="3">
        <v>20.64</v>
      </c>
      <c r="L972" s="2" t="s">
        <v>3391</v>
      </c>
      <c r="M972" s="2" t="s">
        <v>9</v>
      </c>
      <c r="N972" s="3">
        <v>10</v>
      </c>
      <c r="O972" s="2" t="s">
        <v>347</v>
      </c>
      <c r="P972" s="2" t="s">
        <v>163</v>
      </c>
      <c r="Q972" s="3"/>
      <c r="R972" s="3"/>
      <c r="S972" s="2" t="s">
        <v>21</v>
      </c>
      <c r="T972" s="4">
        <v>44955</v>
      </c>
      <c r="U972" s="2" t="s">
        <v>3292</v>
      </c>
      <c r="V972" s="6">
        <f>(Sales[[#This Row],[Price_retail]]-Sales[[#This Row],[Price_current]])/Sales[[#This Row],[Price_retail]]</f>
        <v>0</v>
      </c>
      <c r="W972" s="3" t="str" cm="1">
        <f t="array" ref="W97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73" spans="1:23" x14ac:dyDescent="0.35">
      <c r="A973" s="2" t="s">
        <v>3293</v>
      </c>
      <c r="B973" s="2" t="s">
        <v>3294</v>
      </c>
      <c r="C973" s="2" t="s">
        <v>3394</v>
      </c>
      <c r="D973" s="2" t="s">
        <v>751</v>
      </c>
      <c r="E973" s="2" t="s">
        <v>4</v>
      </c>
      <c r="F973" s="2" t="s">
        <v>5</v>
      </c>
      <c r="G973" s="2" t="s">
        <v>6</v>
      </c>
      <c r="H973" s="2"/>
      <c r="I973" s="2" t="s">
        <v>3390</v>
      </c>
      <c r="J973" s="3">
        <v>25.21</v>
      </c>
      <c r="K973" s="3">
        <v>11.61</v>
      </c>
      <c r="L973" s="2" t="s">
        <v>8</v>
      </c>
      <c r="M973" s="2" t="s">
        <v>9</v>
      </c>
      <c r="N973" s="3">
        <v>173</v>
      </c>
      <c r="O973" s="2" t="s">
        <v>3392</v>
      </c>
      <c r="P973" s="2" t="s">
        <v>163</v>
      </c>
      <c r="Q973" s="3"/>
      <c r="R973" s="3"/>
      <c r="S973" s="2" t="s">
        <v>21</v>
      </c>
      <c r="T973" s="4">
        <v>44955</v>
      </c>
      <c r="U973" s="2" t="s">
        <v>3295</v>
      </c>
      <c r="V973" s="6">
        <f>(Sales[[#This Row],[Price_retail]]-Sales[[#This Row],[Price_current]])/Sales[[#This Row],[Price_retail]]</f>
        <v>0.53946846489488298</v>
      </c>
      <c r="W973" s="3" t="str" cm="1">
        <f t="array" ref="W973">_xlfn.IFS(Sales[[#This Row],[Discount]]=0%,"No Discount",Sales[[#This Row],[Discount]]&lt;=20%,"Light",Sales[[#This Row],[Discount]]&lt;=50%,"Moderate",Sales[[#This Row],[Discount]]&lt;=80%,"High",
TRUE,"Very High")</f>
        <v>High</v>
      </c>
    </row>
    <row r="974" spans="1:23" x14ac:dyDescent="0.35">
      <c r="A974" s="2" t="s">
        <v>3296</v>
      </c>
      <c r="B974" s="2" t="s">
        <v>3297</v>
      </c>
      <c r="C974" s="2" t="s">
        <v>108</v>
      </c>
      <c r="D974" s="2" t="s">
        <v>640</v>
      </c>
      <c r="E974" s="2" t="s">
        <v>4</v>
      </c>
      <c r="F974" s="2" t="s">
        <v>17</v>
      </c>
      <c r="G974" s="2" t="s">
        <v>67</v>
      </c>
      <c r="H974" s="2"/>
      <c r="I974" s="2" t="s">
        <v>3393</v>
      </c>
      <c r="J974" s="3">
        <v>12.71</v>
      </c>
      <c r="K974" s="3">
        <v>8.26</v>
      </c>
      <c r="L974" s="2" t="s">
        <v>8</v>
      </c>
      <c r="M974" s="2" t="s">
        <v>9</v>
      </c>
      <c r="N974" s="3">
        <v>653</v>
      </c>
      <c r="O974" s="2" t="s">
        <v>91</v>
      </c>
      <c r="P974" s="2" t="s">
        <v>44</v>
      </c>
      <c r="Q974" s="3"/>
      <c r="R974" s="3"/>
      <c r="S974" s="2" t="s">
        <v>21</v>
      </c>
      <c r="T974" s="4">
        <v>44955</v>
      </c>
      <c r="U974" s="2" t="s">
        <v>3298</v>
      </c>
      <c r="V974" s="6">
        <f>(Sales[[#This Row],[Price_retail]]-Sales[[#This Row],[Price_current]])/Sales[[#This Row],[Price_retail]]</f>
        <v>0.35011801730920539</v>
      </c>
      <c r="W974" s="3" t="str" cm="1">
        <f t="array" ref="W97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75" spans="1:23" x14ac:dyDescent="0.35">
      <c r="A975" s="2" t="s">
        <v>3299</v>
      </c>
      <c r="B975" s="2" t="s">
        <v>3300</v>
      </c>
      <c r="C975" s="2" t="s">
        <v>423</v>
      </c>
      <c r="D975" s="2" t="s">
        <v>372</v>
      </c>
      <c r="E975" s="2" t="s">
        <v>4</v>
      </c>
      <c r="F975" s="2" t="s">
        <v>5</v>
      </c>
      <c r="G975" s="2" t="s">
        <v>82</v>
      </c>
      <c r="H975" s="2" t="s">
        <v>134</v>
      </c>
      <c r="I975" s="2" t="s">
        <v>3393</v>
      </c>
      <c r="J975" s="3">
        <v>11.28</v>
      </c>
      <c r="K975" s="3">
        <v>8.08</v>
      </c>
      <c r="L975" s="2" t="s">
        <v>8</v>
      </c>
      <c r="M975" s="2" t="s">
        <v>9</v>
      </c>
      <c r="N975" s="3">
        <v>876</v>
      </c>
      <c r="O975" s="2" t="s">
        <v>91</v>
      </c>
      <c r="P975" s="2" t="s">
        <v>76</v>
      </c>
      <c r="Q975" s="3"/>
      <c r="R975" s="3"/>
      <c r="S975" s="2" t="s">
        <v>12</v>
      </c>
      <c r="T975" s="4">
        <v>44955</v>
      </c>
      <c r="U975" s="2" t="s">
        <v>3301</v>
      </c>
      <c r="V975" s="6">
        <f>(Sales[[#This Row],[Price_retail]]-Sales[[#This Row],[Price_current]])/Sales[[#This Row],[Price_retail]]</f>
        <v>0.28368794326241131</v>
      </c>
      <c r="W975" s="3" t="str" cm="1">
        <f t="array" ref="W975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76" spans="1:23" x14ac:dyDescent="0.35">
      <c r="A976" s="2" t="s">
        <v>3302</v>
      </c>
      <c r="B976" s="2" t="s">
        <v>3303</v>
      </c>
      <c r="C976" s="2" t="s">
        <v>242</v>
      </c>
      <c r="D976" s="2" t="s">
        <v>470</v>
      </c>
      <c r="E976" s="2" t="s">
        <v>4</v>
      </c>
      <c r="F976" s="2" t="s">
        <v>17</v>
      </c>
      <c r="G976" s="2" t="s">
        <v>67</v>
      </c>
      <c r="H976" s="2" t="s">
        <v>185</v>
      </c>
      <c r="I976" s="2" t="s">
        <v>3390</v>
      </c>
      <c r="J976" s="3">
        <v>8.99</v>
      </c>
      <c r="K976" s="3">
        <v>5.54</v>
      </c>
      <c r="L976" s="2" t="s">
        <v>8</v>
      </c>
      <c r="M976" s="2" t="s">
        <v>9</v>
      </c>
      <c r="N976" s="3">
        <v>451</v>
      </c>
      <c r="O976" s="2" t="s">
        <v>261</v>
      </c>
      <c r="P976" s="2" t="s">
        <v>169</v>
      </c>
      <c r="Q976" s="3"/>
      <c r="R976" s="3"/>
      <c r="S976" s="2" t="s">
        <v>21</v>
      </c>
      <c r="T976" s="4">
        <v>44955</v>
      </c>
      <c r="U976" s="2" t="s">
        <v>3304</v>
      </c>
      <c r="V976" s="6">
        <f>(Sales[[#This Row],[Price_retail]]-Sales[[#This Row],[Price_current]])/Sales[[#This Row],[Price_retail]]</f>
        <v>0.38375973303670746</v>
      </c>
      <c r="W976" s="3" t="str" cm="1">
        <f t="array" ref="W97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77" spans="1:23" x14ac:dyDescent="0.35">
      <c r="A977" s="2" t="s">
        <v>3305</v>
      </c>
      <c r="B977" s="2" t="s">
        <v>3306</v>
      </c>
      <c r="C977" s="2" t="s">
        <v>1359</v>
      </c>
      <c r="D977" s="2" t="s">
        <v>1060</v>
      </c>
      <c r="E977" s="2" t="s">
        <v>4</v>
      </c>
      <c r="F977" s="2" t="s">
        <v>17</v>
      </c>
      <c r="G977" s="2" t="s">
        <v>27</v>
      </c>
      <c r="H977" s="2" t="s">
        <v>418</v>
      </c>
      <c r="I977" s="2" t="s">
        <v>3389</v>
      </c>
      <c r="J977" s="3">
        <v>34.880000000000003</v>
      </c>
      <c r="K977" s="3">
        <v>22.54</v>
      </c>
      <c r="L977" s="2" t="s">
        <v>8</v>
      </c>
      <c r="M977" s="2" t="s">
        <v>9</v>
      </c>
      <c r="N977" s="3">
        <v>349</v>
      </c>
      <c r="O977" s="2" t="s">
        <v>29</v>
      </c>
      <c r="P977" s="2" t="s">
        <v>177</v>
      </c>
      <c r="Q977" s="3"/>
      <c r="R977" s="3"/>
      <c r="S977" s="2" t="s">
        <v>21</v>
      </c>
      <c r="T977" s="4">
        <v>44955</v>
      </c>
      <c r="U977" s="2" t="s">
        <v>3307</v>
      </c>
      <c r="V977" s="6">
        <f>(Sales[[#This Row],[Price_retail]]-Sales[[#This Row],[Price_current]])/Sales[[#This Row],[Price_retail]]</f>
        <v>0.35378440366972486</v>
      </c>
      <c r="W977" s="3" t="str" cm="1">
        <f t="array" ref="W97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78" spans="1:23" x14ac:dyDescent="0.35">
      <c r="A978" s="2" t="s">
        <v>3308</v>
      </c>
      <c r="B978" s="2" t="s">
        <v>3309</v>
      </c>
      <c r="C978" s="2" t="s">
        <v>423</v>
      </c>
      <c r="D978" s="2" t="s">
        <v>376</v>
      </c>
      <c r="E978" s="2" t="s">
        <v>4</v>
      </c>
      <c r="F978" s="2" t="s">
        <v>17</v>
      </c>
      <c r="G978" s="2" t="s">
        <v>67</v>
      </c>
      <c r="H978" s="2" t="s">
        <v>168</v>
      </c>
      <c r="I978" s="2" t="s">
        <v>3393</v>
      </c>
      <c r="J978" s="3">
        <v>11.78</v>
      </c>
      <c r="K978" s="3">
        <v>11.78</v>
      </c>
      <c r="L978" s="2" t="s">
        <v>3391</v>
      </c>
      <c r="M978" s="2" t="s">
        <v>9</v>
      </c>
      <c r="N978" s="3">
        <v>889</v>
      </c>
      <c r="O978" s="2" t="s">
        <v>52</v>
      </c>
      <c r="P978" s="2" t="s">
        <v>92</v>
      </c>
      <c r="Q978" s="3"/>
      <c r="R978" s="3"/>
      <c r="S978" s="2" t="s">
        <v>21</v>
      </c>
      <c r="T978" s="4">
        <v>44955</v>
      </c>
      <c r="U978" s="2" t="s">
        <v>3310</v>
      </c>
      <c r="V978" s="6">
        <f>(Sales[[#This Row],[Price_retail]]-Sales[[#This Row],[Price_current]])/Sales[[#This Row],[Price_retail]]</f>
        <v>0</v>
      </c>
      <c r="W978" s="3" t="str" cm="1">
        <f t="array" ref="W97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79" spans="1:23" x14ac:dyDescent="0.35">
      <c r="A979" s="2" t="s">
        <v>3311</v>
      </c>
      <c r="B979" s="2" t="s">
        <v>3312</v>
      </c>
      <c r="C979" s="2" t="s">
        <v>88</v>
      </c>
      <c r="D979" s="2" t="s">
        <v>1727</v>
      </c>
      <c r="E979" s="2" t="s">
        <v>4</v>
      </c>
      <c r="F979" s="2" t="s">
        <v>5</v>
      </c>
      <c r="G979" s="2" t="s">
        <v>121</v>
      </c>
      <c r="H979" s="2" t="s">
        <v>418</v>
      </c>
      <c r="I979" s="2" t="s">
        <v>3393</v>
      </c>
      <c r="J979" s="3">
        <v>14.02</v>
      </c>
      <c r="K979" s="3">
        <v>14.02</v>
      </c>
      <c r="L979" s="2" t="s">
        <v>3391</v>
      </c>
      <c r="M979" s="2" t="s">
        <v>9</v>
      </c>
      <c r="N979" s="3">
        <v>155</v>
      </c>
      <c r="O979" s="2" t="s">
        <v>140</v>
      </c>
      <c r="P979" s="2" t="s">
        <v>215</v>
      </c>
      <c r="Q979" s="3"/>
      <c r="R979" s="3"/>
      <c r="S979" s="2" t="s">
        <v>21</v>
      </c>
      <c r="T979" s="4">
        <v>44955</v>
      </c>
      <c r="U979" s="2" t="s">
        <v>3313</v>
      </c>
      <c r="V979" s="6">
        <f>(Sales[[#This Row],[Price_retail]]-Sales[[#This Row],[Price_current]])/Sales[[#This Row],[Price_retail]]</f>
        <v>0</v>
      </c>
      <c r="W979" s="3" t="str" cm="1">
        <f t="array" ref="W979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80" spans="1:23" x14ac:dyDescent="0.35">
      <c r="A980" s="2" t="s">
        <v>3314</v>
      </c>
      <c r="B980" s="2" t="s">
        <v>3315</v>
      </c>
      <c r="C980" s="2" t="s">
        <v>1010</v>
      </c>
      <c r="D980" s="2" t="s">
        <v>913</v>
      </c>
      <c r="E980" s="2" t="s">
        <v>4</v>
      </c>
      <c r="F980" s="2" t="s">
        <v>17</v>
      </c>
      <c r="G980" s="2" t="s">
        <v>18</v>
      </c>
      <c r="H980" s="2" t="s">
        <v>51</v>
      </c>
      <c r="I980" s="2" t="s">
        <v>3393</v>
      </c>
      <c r="J980" s="3">
        <v>18.45</v>
      </c>
      <c r="K980" s="3">
        <v>15.84</v>
      </c>
      <c r="L980" s="2" t="s">
        <v>8</v>
      </c>
      <c r="M980" s="2" t="s">
        <v>9</v>
      </c>
      <c r="N980" s="3">
        <v>613</v>
      </c>
      <c r="O980" s="2" t="s">
        <v>75</v>
      </c>
      <c r="P980" s="2" t="s">
        <v>76</v>
      </c>
      <c r="Q980" s="3"/>
      <c r="R980" s="3"/>
      <c r="S980" s="2" t="s">
        <v>21</v>
      </c>
      <c r="T980" s="4">
        <v>44955</v>
      </c>
      <c r="U980" s="2" t="s">
        <v>3316</v>
      </c>
      <c r="V980" s="6">
        <f>(Sales[[#This Row],[Price_retail]]-Sales[[#This Row],[Price_current]])/Sales[[#This Row],[Price_retail]]</f>
        <v>0.14146341463414633</v>
      </c>
      <c r="W980" s="3" t="str" cm="1">
        <f t="array" ref="W980">_xlfn.IFS(Sales[[#This Row],[Discount]]=0%,"No Discount",Sales[[#This Row],[Discount]]&lt;=20%,"Light",Sales[[#This Row],[Discount]]&lt;=50%,"Moderate",Sales[[#This Row],[Discount]]&lt;=80%,"High",
TRUE,"Very High")</f>
        <v>Light</v>
      </c>
    </row>
    <row r="981" spans="1:23" x14ac:dyDescent="0.35">
      <c r="A981" s="2" t="s">
        <v>3317</v>
      </c>
      <c r="B981" s="2" t="s">
        <v>3318</v>
      </c>
      <c r="C981" s="2" t="s">
        <v>1314</v>
      </c>
      <c r="D981" s="2" t="s">
        <v>861</v>
      </c>
      <c r="E981" s="2" t="s">
        <v>4</v>
      </c>
      <c r="F981" s="2" t="s">
        <v>17</v>
      </c>
      <c r="G981" s="2" t="s">
        <v>18</v>
      </c>
      <c r="H981" s="2" t="s">
        <v>139</v>
      </c>
      <c r="I981" s="2" t="s">
        <v>3390</v>
      </c>
      <c r="J981" s="3">
        <v>18.27</v>
      </c>
      <c r="K981" s="3">
        <v>12.28</v>
      </c>
      <c r="L981" s="2" t="s">
        <v>8</v>
      </c>
      <c r="M981" s="2" t="s">
        <v>9</v>
      </c>
      <c r="N981" s="3">
        <v>790</v>
      </c>
      <c r="O981" s="2" t="s">
        <v>29</v>
      </c>
      <c r="P981" s="2" t="s">
        <v>169</v>
      </c>
      <c r="Q981" s="3"/>
      <c r="R981" s="3"/>
      <c r="S981" s="2" t="s">
        <v>21</v>
      </c>
      <c r="T981" s="4">
        <v>44955</v>
      </c>
      <c r="U981" s="2" t="s">
        <v>3319</v>
      </c>
      <c r="V981" s="6">
        <f>(Sales[[#This Row],[Price_retail]]-Sales[[#This Row],[Price_current]])/Sales[[#This Row],[Price_retail]]</f>
        <v>0.32785987958401752</v>
      </c>
      <c r="W981" s="3" t="str" cm="1">
        <f t="array" ref="W98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82" spans="1:23" x14ac:dyDescent="0.35">
      <c r="A982" s="2" t="s">
        <v>3320</v>
      </c>
      <c r="B982" s="2" t="s">
        <v>3321</v>
      </c>
      <c r="C982" s="2" t="s">
        <v>1010</v>
      </c>
      <c r="D982" s="2" t="s">
        <v>1285</v>
      </c>
      <c r="E982" s="2" t="s">
        <v>4</v>
      </c>
      <c r="F982" s="2" t="s">
        <v>17</v>
      </c>
      <c r="G982" s="2" t="s">
        <v>50</v>
      </c>
      <c r="H982" s="2" t="s">
        <v>134</v>
      </c>
      <c r="I982" s="2" t="s">
        <v>3390</v>
      </c>
      <c r="J982" s="3">
        <v>23.58</v>
      </c>
      <c r="K982" s="3">
        <v>16.079999999999998</v>
      </c>
      <c r="L982" s="2" t="s">
        <v>8</v>
      </c>
      <c r="M982" s="2" t="s">
        <v>9</v>
      </c>
      <c r="N982" s="3">
        <v>603</v>
      </c>
      <c r="O982" s="2" t="s">
        <v>140</v>
      </c>
      <c r="P982" s="2" t="s">
        <v>186</v>
      </c>
      <c r="Q982" s="3"/>
      <c r="R982" s="3"/>
      <c r="S982" s="2" t="s">
        <v>21</v>
      </c>
      <c r="T982" s="4">
        <v>44955</v>
      </c>
      <c r="U982" s="2" t="s">
        <v>3322</v>
      </c>
      <c r="V982" s="6">
        <f>(Sales[[#This Row],[Price_retail]]-Sales[[#This Row],[Price_current]])/Sales[[#This Row],[Price_retail]]</f>
        <v>0.31806615776081426</v>
      </c>
      <c r="W982" s="3" t="str" cm="1">
        <f t="array" ref="W982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83" spans="1:23" x14ac:dyDescent="0.35">
      <c r="A983" s="2" t="s">
        <v>3323</v>
      </c>
      <c r="B983" s="2" t="s">
        <v>3324</v>
      </c>
      <c r="C983" s="2" t="s">
        <v>616</v>
      </c>
      <c r="D983" s="2" t="s">
        <v>120</v>
      </c>
      <c r="E983" s="2" t="s">
        <v>4</v>
      </c>
      <c r="F983" s="2" t="s">
        <v>5</v>
      </c>
      <c r="G983" s="2" t="s">
        <v>121</v>
      </c>
      <c r="H983" s="2" t="s">
        <v>35</v>
      </c>
      <c r="I983" s="2" t="s">
        <v>3390</v>
      </c>
      <c r="J983" s="3">
        <v>12.7</v>
      </c>
      <c r="K983" s="3">
        <v>12.7</v>
      </c>
      <c r="L983" s="2" t="s">
        <v>3391</v>
      </c>
      <c r="M983" s="2" t="s">
        <v>9</v>
      </c>
      <c r="N983" s="3">
        <v>944</v>
      </c>
      <c r="O983" s="2" t="s">
        <v>3392</v>
      </c>
      <c r="P983" s="2" t="s">
        <v>328</v>
      </c>
      <c r="Q983" s="3"/>
      <c r="R983" s="3"/>
      <c r="S983" s="2" t="s">
        <v>21</v>
      </c>
      <c r="T983" s="4">
        <v>44955</v>
      </c>
      <c r="U983" s="2" t="s">
        <v>3325</v>
      </c>
      <c r="V983" s="6">
        <f>(Sales[[#This Row],[Price_retail]]-Sales[[#This Row],[Price_current]])/Sales[[#This Row],[Price_retail]]</f>
        <v>0</v>
      </c>
      <c r="W983" s="3" t="str" cm="1">
        <f t="array" ref="W98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84" spans="1:23" x14ac:dyDescent="0.35">
      <c r="A984" s="2" t="s">
        <v>3326</v>
      </c>
      <c r="B984" s="2" t="s">
        <v>3327</v>
      </c>
      <c r="C984" s="2" t="s">
        <v>65</v>
      </c>
      <c r="D984" s="2" t="s">
        <v>1651</v>
      </c>
      <c r="E984" s="2" t="s">
        <v>4</v>
      </c>
      <c r="F984" s="2" t="s">
        <v>5</v>
      </c>
      <c r="G984" s="2" t="s">
        <v>6</v>
      </c>
      <c r="H984" s="2" t="s">
        <v>139</v>
      </c>
      <c r="I984" s="2" t="s">
        <v>3390</v>
      </c>
      <c r="J984" s="3">
        <v>8.99</v>
      </c>
      <c r="K984" s="3">
        <v>8.99</v>
      </c>
      <c r="L984" s="2" t="s">
        <v>3391</v>
      </c>
      <c r="M984" s="2" t="s">
        <v>9</v>
      </c>
      <c r="N984" s="3">
        <v>456</v>
      </c>
      <c r="O984" s="2" t="s">
        <v>91</v>
      </c>
      <c r="P984" s="2" t="s">
        <v>192</v>
      </c>
      <c r="Q984" s="3"/>
      <c r="R984" s="3"/>
      <c r="S984" s="2" t="s">
        <v>12</v>
      </c>
      <c r="T984" s="4">
        <v>44955</v>
      </c>
      <c r="U984" s="2" t="s">
        <v>3328</v>
      </c>
      <c r="V984" s="6">
        <f>(Sales[[#This Row],[Price_retail]]-Sales[[#This Row],[Price_current]])/Sales[[#This Row],[Price_retail]]</f>
        <v>0</v>
      </c>
      <c r="W984" s="3" t="str" cm="1">
        <f t="array" ref="W984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85" spans="1:23" x14ac:dyDescent="0.35">
      <c r="A985" s="2" t="s">
        <v>3329</v>
      </c>
      <c r="B985" s="2" t="s">
        <v>3330</v>
      </c>
      <c r="C985" s="2" t="s">
        <v>1784</v>
      </c>
      <c r="D985" s="2" t="s">
        <v>653</v>
      </c>
      <c r="E985" s="2" t="s">
        <v>4</v>
      </c>
      <c r="F985" s="2" t="s">
        <v>17</v>
      </c>
      <c r="G985" s="2" t="s">
        <v>50</v>
      </c>
      <c r="H985" s="2" t="s">
        <v>110</v>
      </c>
      <c r="I985" s="2" t="s">
        <v>3395</v>
      </c>
      <c r="J985" s="3">
        <v>8.99</v>
      </c>
      <c r="K985" s="3">
        <v>8.99</v>
      </c>
      <c r="L985" s="2" t="s">
        <v>3391</v>
      </c>
      <c r="M985" s="2" t="s">
        <v>9</v>
      </c>
      <c r="N985" s="3">
        <v>567</v>
      </c>
      <c r="O985" s="2" t="s">
        <v>261</v>
      </c>
      <c r="P985" s="2" t="s">
        <v>44</v>
      </c>
      <c r="Q985" s="3"/>
      <c r="R985" s="3"/>
      <c r="S985" s="2" t="s">
        <v>21</v>
      </c>
      <c r="T985" s="4">
        <v>44955</v>
      </c>
      <c r="U985" s="2" t="s">
        <v>3331</v>
      </c>
      <c r="V985" s="6">
        <f>(Sales[[#This Row],[Price_retail]]-Sales[[#This Row],[Price_current]])/Sales[[#This Row],[Price_retail]]</f>
        <v>0</v>
      </c>
      <c r="W985" s="3" t="str" cm="1">
        <f t="array" ref="W98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86" spans="1:23" x14ac:dyDescent="0.35">
      <c r="A986" s="2" t="s">
        <v>3332</v>
      </c>
      <c r="B986" s="2" t="s">
        <v>3333</v>
      </c>
      <c r="C986" s="2" t="s">
        <v>3394</v>
      </c>
      <c r="D986" s="2" t="s">
        <v>1161</v>
      </c>
      <c r="E986" s="2" t="s">
        <v>4</v>
      </c>
      <c r="F986" s="2" t="s">
        <v>17</v>
      </c>
      <c r="G986" s="2" t="s">
        <v>27</v>
      </c>
      <c r="H986" s="2" t="s">
        <v>28</v>
      </c>
      <c r="I986" s="2" t="s">
        <v>3395</v>
      </c>
      <c r="J986" s="3">
        <v>11.37</v>
      </c>
      <c r="K986" s="3">
        <v>8.36</v>
      </c>
      <c r="L986" s="2" t="s">
        <v>8</v>
      </c>
      <c r="M986" s="2" t="s">
        <v>9</v>
      </c>
      <c r="N986" s="3">
        <v>322</v>
      </c>
      <c r="O986" s="2" t="s">
        <v>75</v>
      </c>
      <c r="P986" s="2" t="s">
        <v>37</v>
      </c>
      <c r="Q986" s="3"/>
      <c r="R986" s="3"/>
      <c r="S986" s="2" t="s">
        <v>12</v>
      </c>
      <c r="T986" s="4">
        <v>44955</v>
      </c>
      <c r="U986" s="2" t="s">
        <v>3334</v>
      </c>
      <c r="V986" s="6">
        <f>(Sales[[#This Row],[Price_retail]]-Sales[[#This Row],[Price_current]])/Sales[[#This Row],[Price_retail]]</f>
        <v>0.26473175021987688</v>
      </c>
      <c r="W986" s="3" t="str" cm="1">
        <f t="array" ref="W98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87" spans="1:23" x14ac:dyDescent="0.35">
      <c r="A987" s="2" t="s">
        <v>3335</v>
      </c>
      <c r="B987" s="2" t="s">
        <v>3336</v>
      </c>
      <c r="C987" s="2" t="s">
        <v>1481</v>
      </c>
      <c r="D987" s="2" t="s">
        <v>314</v>
      </c>
      <c r="E987" s="2" t="s">
        <v>4</v>
      </c>
      <c r="F987" s="2" t="s">
        <v>17</v>
      </c>
      <c r="G987" s="2" t="s">
        <v>67</v>
      </c>
      <c r="H987" s="2" t="s">
        <v>59</v>
      </c>
      <c r="I987" s="2" t="s">
        <v>3390</v>
      </c>
      <c r="J987" s="3">
        <v>9.27</v>
      </c>
      <c r="K987" s="3">
        <v>5.0599999999999996</v>
      </c>
      <c r="L987" s="2" t="s">
        <v>8</v>
      </c>
      <c r="M987" s="2" t="s">
        <v>9</v>
      </c>
      <c r="N987" s="3">
        <v>872</v>
      </c>
      <c r="O987" s="2" t="s">
        <v>91</v>
      </c>
      <c r="P987" s="2" t="s">
        <v>186</v>
      </c>
      <c r="Q987" s="3"/>
      <c r="R987" s="3"/>
      <c r="S987" s="2" t="s">
        <v>21</v>
      </c>
      <c r="T987" s="4">
        <v>44955</v>
      </c>
      <c r="U987" s="2" t="s">
        <v>3337</v>
      </c>
      <c r="V987" s="6">
        <f>(Sales[[#This Row],[Price_retail]]-Sales[[#This Row],[Price_current]])/Sales[[#This Row],[Price_retail]]</f>
        <v>0.45415318230852214</v>
      </c>
      <c r="W987" s="3" t="str" cm="1">
        <f t="array" ref="W987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88" spans="1:23" x14ac:dyDescent="0.35">
      <c r="A988" s="2" t="s">
        <v>3338</v>
      </c>
      <c r="B988" s="2" t="s">
        <v>3339</v>
      </c>
      <c r="C988" s="2" t="s">
        <v>484</v>
      </c>
      <c r="D988" s="2" t="s">
        <v>557</v>
      </c>
      <c r="E988" s="2" t="s">
        <v>4</v>
      </c>
      <c r="F988" s="2" t="s">
        <v>5</v>
      </c>
      <c r="G988" s="2" t="s">
        <v>6</v>
      </c>
      <c r="H988" s="2" t="s">
        <v>28</v>
      </c>
      <c r="I988" s="2" t="s">
        <v>3393</v>
      </c>
      <c r="J988" s="3">
        <v>13.24</v>
      </c>
      <c r="K988" s="3">
        <v>13.24</v>
      </c>
      <c r="L988" s="2" t="s">
        <v>3391</v>
      </c>
      <c r="M988" s="2" t="s">
        <v>9</v>
      </c>
      <c r="N988" s="3">
        <v>764</v>
      </c>
      <c r="O988" s="2" t="s">
        <v>43</v>
      </c>
      <c r="P988" s="2" t="s">
        <v>44</v>
      </c>
      <c r="Q988" s="3"/>
      <c r="R988" s="3"/>
      <c r="S988" s="2" t="s">
        <v>21</v>
      </c>
      <c r="T988" s="4">
        <v>44955</v>
      </c>
      <c r="U988" s="2" t="s">
        <v>3340</v>
      </c>
      <c r="V988" s="6">
        <f>(Sales[[#This Row],[Price_retail]]-Sales[[#This Row],[Price_current]])/Sales[[#This Row],[Price_retail]]</f>
        <v>0</v>
      </c>
      <c r="W988" s="3" t="str" cm="1">
        <f t="array" ref="W988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89" spans="1:23" x14ac:dyDescent="0.35">
      <c r="A989" s="2" t="s">
        <v>3341</v>
      </c>
      <c r="B989" s="2" t="s">
        <v>3342</v>
      </c>
      <c r="C989" s="2" t="s">
        <v>3394</v>
      </c>
      <c r="D989" s="2" t="s">
        <v>909</v>
      </c>
      <c r="E989" s="2" t="s">
        <v>4</v>
      </c>
      <c r="F989" s="2" t="s">
        <v>17</v>
      </c>
      <c r="G989" s="2" t="s">
        <v>18</v>
      </c>
      <c r="H989" s="2" t="s">
        <v>110</v>
      </c>
      <c r="I989" s="2" t="s">
        <v>3393</v>
      </c>
      <c r="J989" s="3">
        <v>32.11</v>
      </c>
      <c r="K989" s="3">
        <v>24.54</v>
      </c>
      <c r="L989" s="2" t="s">
        <v>8</v>
      </c>
      <c r="M989" s="2" t="s">
        <v>9</v>
      </c>
      <c r="N989" s="3">
        <v>170</v>
      </c>
      <c r="O989" s="2" t="s">
        <v>287</v>
      </c>
      <c r="P989" s="2" t="s">
        <v>3392</v>
      </c>
      <c r="Q989" s="3"/>
      <c r="R989" s="3"/>
      <c r="S989" s="2" t="s">
        <v>21</v>
      </c>
      <c r="T989" s="4">
        <v>44955</v>
      </c>
      <c r="U989" s="2" t="s">
        <v>3343</v>
      </c>
      <c r="V989" s="6">
        <f>(Sales[[#This Row],[Price_retail]]-Sales[[#This Row],[Price_current]])/Sales[[#This Row],[Price_retail]]</f>
        <v>0.2357521021488633</v>
      </c>
      <c r="W989" s="3" t="str" cm="1">
        <f t="array" ref="W989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90" spans="1:23" x14ac:dyDescent="0.35">
      <c r="A990" s="2" t="s">
        <v>3344</v>
      </c>
      <c r="B990" s="2" t="s">
        <v>3345</v>
      </c>
      <c r="C990" s="2" t="s">
        <v>2915</v>
      </c>
      <c r="D990" s="2" t="s">
        <v>617</v>
      </c>
      <c r="E990" s="2" t="s">
        <v>4</v>
      </c>
      <c r="F990" s="2" t="s">
        <v>5</v>
      </c>
      <c r="G990" s="2" t="s">
        <v>6</v>
      </c>
      <c r="H990" s="2" t="s">
        <v>83</v>
      </c>
      <c r="I990" s="2" t="s">
        <v>3393</v>
      </c>
      <c r="J990" s="3">
        <v>12.71</v>
      </c>
      <c r="K990" s="3">
        <v>7.82</v>
      </c>
      <c r="L990" s="2" t="s">
        <v>8</v>
      </c>
      <c r="M990" s="2" t="s">
        <v>9</v>
      </c>
      <c r="N990" s="3">
        <v>728</v>
      </c>
      <c r="O990" s="2" t="s">
        <v>104</v>
      </c>
      <c r="P990" s="2" t="s">
        <v>128</v>
      </c>
      <c r="Q990" s="3"/>
      <c r="R990" s="3"/>
      <c r="S990" s="2" t="s">
        <v>12</v>
      </c>
      <c r="T990" s="4">
        <v>44955</v>
      </c>
      <c r="U990" s="2" t="s">
        <v>3346</v>
      </c>
      <c r="V990" s="6">
        <f>(Sales[[#This Row],[Price_retail]]-Sales[[#This Row],[Price_current]])/Sales[[#This Row],[Price_retail]]</f>
        <v>0.38473642800944141</v>
      </c>
      <c r="W990" s="3" t="str" cm="1">
        <f t="array" ref="W990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91" spans="1:23" x14ac:dyDescent="0.35">
      <c r="A991" s="2" t="s">
        <v>3347</v>
      </c>
      <c r="B991" s="2" t="s">
        <v>3348</v>
      </c>
      <c r="C991" s="2" t="s">
        <v>114</v>
      </c>
      <c r="D991" s="2" t="s">
        <v>253</v>
      </c>
      <c r="E991" s="2" t="s">
        <v>4</v>
      </c>
      <c r="F991" s="2" t="s">
        <v>5</v>
      </c>
      <c r="G991" s="2" t="s">
        <v>6</v>
      </c>
      <c r="H991" s="2" t="s">
        <v>35</v>
      </c>
      <c r="I991" s="2" t="s">
        <v>3390</v>
      </c>
      <c r="J991" s="3">
        <v>12.71</v>
      </c>
      <c r="K991" s="3">
        <v>8.74</v>
      </c>
      <c r="L991" s="2" t="s">
        <v>8</v>
      </c>
      <c r="M991" s="2" t="s">
        <v>9</v>
      </c>
      <c r="N991" s="3">
        <v>981</v>
      </c>
      <c r="O991" s="2" t="s">
        <v>3392</v>
      </c>
      <c r="P991" s="2" t="s">
        <v>1629</v>
      </c>
      <c r="Q991" s="3"/>
      <c r="R991" s="3"/>
      <c r="S991" s="2" t="s">
        <v>21</v>
      </c>
      <c r="T991" s="4">
        <v>44955</v>
      </c>
      <c r="U991" s="2" t="s">
        <v>3349</v>
      </c>
      <c r="V991" s="6">
        <f>(Sales[[#This Row],[Price_retail]]-Sales[[#This Row],[Price_current]])/Sales[[#This Row],[Price_retail]]</f>
        <v>0.31235247836349334</v>
      </c>
      <c r="W991" s="3" t="str" cm="1">
        <f t="array" ref="W991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92" spans="1:23" x14ac:dyDescent="0.35">
      <c r="A992" s="2" t="s">
        <v>3350</v>
      </c>
      <c r="B992" s="2" t="s">
        <v>3351</v>
      </c>
      <c r="C992" s="2" t="s">
        <v>3407</v>
      </c>
      <c r="D992" s="2" t="s">
        <v>201</v>
      </c>
      <c r="E992" s="2" t="s">
        <v>4</v>
      </c>
      <c r="F992" s="2" t="s">
        <v>5</v>
      </c>
      <c r="G992" s="2" t="s">
        <v>82</v>
      </c>
      <c r="H992" s="2" t="s">
        <v>185</v>
      </c>
      <c r="I992" s="2" t="s">
        <v>3390</v>
      </c>
      <c r="J992" s="3">
        <v>15.5</v>
      </c>
      <c r="K992" s="3">
        <v>15.5</v>
      </c>
      <c r="L992" s="2" t="s">
        <v>3391</v>
      </c>
      <c r="M992" s="2" t="s">
        <v>9</v>
      </c>
      <c r="N992" s="3">
        <v>171</v>
      </c>
      <c r="O992" s="2" t="s">
        <v>359</v>
      </c>
      <c r="P992" s="2" t="s">
        <v>30</v>
      </c>
      <c r="Q992" s="3"/>
      <c r="R992" s="3"/>
      <c r="S992" s="2" t="s">
        <v>21</v>
      </c>
      <c r="T992" s="4">
        <v>44955</v>
      </c>
      <c r="U992" s="2" t="s">
        <v>3352</v>
      </c>
      <c r="V992" s="6">
        <f>(Sales[[#This Row],[Price_retail]]-Sales[[#This Row],[Price_current]])/Sales[[#This Row],[Price_retail]]</f>
        <v>0</v>
      </c>
      <c r="W992" s="3" t="str" cm="1">
        <f t="array" ref="W992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93" spans="1:23" x14ac:dyDescent="0.35">
      <c r="A993" s="2" t="s">
        <v>3353</v>
      </c>
      <c r="B993" s="2" t="s">
        <v>3354</v>
      </c>
      <c r="C993" s="2" t="s">
        <v>88</v>
      </c>
      <c r="D993" s="2" t="s">
        <v>533</v>
      </c>
      <c r="E993" s="2" t="s">
        <v>4</v>
      </c>
      <c r="F993" s="2" t="s">
        <v>17</v>
      </c>
      <c r="G993" s="2" t="s">
        <v>67</v>
      </c>
      <c r="H993" s="2" t="s">
        <v>59</v>
      </c>
      <c r="I993" s="2" t="s">
        <v>3393</v>
      </c>
      <c r="J993" s="3">
        <v>12.51</v>
      </c>
      <c r="K993" s="3">
        <v>12.51</v>
      </c>
      <c r="L993" s="2" t="s">
        <v>3391</v>
      </c>
      <c r="M993" s="2" t="s">
        <v>9</v>
      </c>
      <c r="N993" s="3">
        <v>255</v>
      </c>
      <c r="O993" s="2" t="s">
        <v>43</v>
      </c>
      <c r="P993" s="2" t="s">
        <v>53</v>
      </c>
      <c r="Q993" s="3"/>
      <c r="R993" s="3"/>
      <c r="S993" s="2" t="s">
        <v>21</v>
      </c>
      <c r="T993" s="4">
        <v>44955</v>
      </c>
      <c r="U993" s="2" t="s">
        <v>3355</v>
      </c>
      <c r="V993" s="6">
        <f>(Sales[[#This Row],[Price_retail]]-Sales[[#This Row],[Price_current]])/Sales[[#This Row],[Price_retail]]</f>
        <v>0</v>
      </c>
      <c r="W993" s="3" t="str" cm="1">
        <f t="array" ref="W993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94" spans="1:23" x14ac:dyDescent="0.35">
      <c r="A994" s="2" t="s">
        <v>3356</v>
      </c>
      <c r="B994" s="2" t="s">
        <v>3357</v>
      </c>
      <c r="C994" s="2" t="s">
        <v>3410</v>
      </c>
      <c r="D994" s="2" t="s">
        <v>314</v>
      </c>
      <c r="E994" s="2" t="s">
        <v>4</v>
      </c>
      <c r="F994" s="2" t="s">
        <v>17</v>
      </c>
      <c r="G994" s="2" t="s">
        <v>18</v>
      </c>
      <c r="H994" s="2" t="s">
        <v>59</v>
      </c>
      <c r="I994" s="2" t="s">
        <v>3390</v>
      </c>
      <c r="J994" s="3">
        <v>15.07</v>
      </c>
      <c r="K994" s="3">
        <v>9.9</v>
      </c>
      <c r="L994" s="2" t="s">
        <v>8</v>
      </c>
      <c r="M994" s="2" t="s">
        <v>9</v>
      </c>
      <c r="N994" s="3">
        <v>938</v>
      </c>
      <c r="O994" s="2" t="s">
        <v>98</v>
      </c>
      <c r="P994" s="2" t="s">
        <v>3392</v>
      </c>
      <c r="Q994" s="3"/>
      <c r="R994" s="3"/>
      <c r="S994" s="2" t="s">
        <v>21</v>
      </c>
      <c r="T994" s="4">
        <v>44955</v>
      </c>
      <c r="U994" s="2" t="s">
        <v>3358</v>
      </c>
      <c r="V994" s="6">
        <f>(Sales[[#This Row],[Price_retail]]-Sales[[#This Row],[Price_current]])/Sales[[#This Row],[Price_retail]]</f>
        <v>0.3430656934306569</v>
      </c>
      <c r="W994" s="3" t="str" cm="1">
        <f t="array" ref="W994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95" spans="1:23" x14ac:dyDescent="0.35">
      <c r="A995" s="2" t="s">
        <v>3359</v>
      </c>
      <c r="B995" s="2" t="s">
        <v>3360</v>
      </c>
      <c r="C995" s="2" t="s">
        <v>1115</v>
      </c>
      <c r="D995" s="2" t="s">
        <v>660</v>
      </c>
      <c r="E995" s="2" t="s">
        <v>4</v>
      </c>
      <c r="F995" s="2" t="s">
        <v>5</v>
      </c>
      <c r="G995" s="2" t="s">
        <v>6</v>
      </c>
      <c r="H995" s="2" t="s">
        <v>237</v>
      </c>
      <c r="I995" s="2" t="s">
        <v>3390</v>
      </c>
      <c r="J995" s="3">
        <v>21.06</v>
      </c>
      <c r="K995" s="3">
        <v>21.06</v>
      </c>
      <c r="L995" s="2" t="s">
        <v>3391</v>
      </c>
      <c r="M995" s="2" t="s">
        <v>9</v>
      </c>
      <c r="N995" s="3">
        <v>156</v>
      </c>
      <c r="O995" s="2" t="s">
        <v>20</v>
      </c>
      <c r="P995" s="2" t="s">
        <v>44</v>
      </c>
      <c r="Q995" s="3"/>
      <c r="R995" s="3"/>
      <c r="S995" s="2"/>
      <c r="T995" s="4">
        <v>44955</v>
      </c>
      <c r="U995" s="2" t="s">
        <v>3361</v>
      </c>
      <c r="V995" s="6">
        <f>(Sales[[#This Row],[Price_retail]]-Sales[[#This Row],[Price_current]])/Sales[[#This Row],[Price_retail]]</f>
        <v>0</v>
      </c>
      <c r="W995" s="3" t="str" cm="1">
        <f t="array" ref="W995">_xlfn.IFS(Sales[[#This Row],[Discount]]=0%,"No Discount",Sales[[#This Row],[Discount]]&lt;=20%,"Light",Sales[[#This Row],[Discount]]&lt;=50%,"Moderate",Sales[[#This Row],[Discount]]&lt;=80%,"High",
TRUE,"Very High")</f>
        <v>No Discount</v>
      </c>
    </row>
    <row r="996" spans="1:23" x14ac:dyDescent="0.35">
      <c r="A996" s="2" t="s">
        <v>3362</v>
      </c>
      <c r="B996" s="2" t="s">
        <v>3363</v>
      </c>
      <c r="C996" s="2" t="s">
        <v>333</v>
      </c>
      <c r="D996" s="2" t="s">
        <v>1723</v>
      </c>
      <c r="E996" s="2" t="s">
        <v>4</v>
      </c>
      <c r="F996" s="2" t="s">
        <v>17</v>
      </c>
      <c r="G996" s="2" t="s">
        <v>50</v>
      </c>
      <c r="H996" s="2" t="s">
        <v>139</v>
      </c>
      <c r="I996" s="2" t="s">
        <v>3390</v>
      </c>
      <c r="J996" s="3">
        <v>25.45</v>
      </c>
      <c r="K996" s="3">
        <v>15.79</v>
      </c>
      <c r="L996" s="2" t="s">
        <v>8</v>
      </c>
      <c r="M996" s="2" t="s">
        <v>9</v>
      </c>
      <c r="N996" s="3">
        <v>512</v>
      </c>
      <c r="O996" s="2" t="s">
        <v>664</v>
      </c>
      <c r="P996" s="2" t="s">
        <v>368</v>
      </c>
      <c r="Q996" s="3"/>
      <c r="R996" s="3"/>
      <c r="S996" s="2" t="s">
        <v>21</v>
      </c>
      <c r="T996" s="4">
        <v>44955</v>
      </c>
      <c r="U996" s="2" t="s">
        <v>3364</v>
      </c>
      <c r="V996" s="6">
        <f>(Sales[[#This Row],[Price_retail]]-Sales[[#This Row],[Price_current]])/Sales[[#This Row],[Price_retail]]</f>
        <v>0.37956777996070729</v>
      </c>
      <c r="W996" s="3" t="str" cm="1">
        <f t="array" ref="W996">_xlfn.IFS(Sales[[#This Row],[Discount]]=0%,"No Discount",Sales[[#This Row],[Discount]]&lt;=20%,"Light",Sales[[#This Row],[Discount]]&lt;=50%,"Moderate",Sales[[#This Row],[Discount]]&lt;=80%,"High",
TRUE,"Very High")</f>
        <v>Moderate</v>
      </c>
    </row>
    <row r="997" spans="1:23" x14ac:dyDescent="0.35">
      <c r="A997" s="2" t="s">
        <v>3365</v>
      </c>
      <c r="B997" s="2" t="s">
        <v>3366</v>
      </c>
      <c r="C997" s="2" t="s">
        <v>102</v>
      </c>
      <c r="D997" s="2" t="s">
        <v>1495</v>
      </c>
      <c r="E997" s="2" t="s">
        <v>4</v>
      </c>
      <c r="F997" s="2" t="s">
        <v>5</v>
      </c>
      <c r="G997" s="2" t="s">
        <v>82</v>
      </c>
      <c r="H997" s="2" t="s">
        <v>35</v>
      </c>
      <c r="I997" s="2" t="s">
        <v>3395</v>
      </c>
      <c r="J997" s="3">
        <v>27.16</v>
      </c>
      <c r="K997" s="3">
        <v>22.46</v>
      </c>
      <c r="L997" s="2" t="s">
        <v>8</v>
      </c>
      <c r="M997" s="2" t="s">
        <v>9</v>
      </c>
      <c r="N997" s="3">
        <v>988</v>
      </c>
      <c r="O997" s="2" t="s">
        <v>91</v>
      </c>
      <c r="P997" s="2" t="s">
        <v>37</v>
      </c>
      <c r="Q997" s="3"/>
      <c r="R997" s="3"/>
      <c r="S997" s="2" t="s">
        <v>21</v>
      </c>
      <c r="T997" s="4">
        <v>44955</v>
      </c>
      <c r="U997" s="2" t="s">
        <v>3367</v>
      </c>
      <c r="V997" s="6">
        <f>(Sales[[#This Row],[Price_retail]]-Sales[[#This Row],[Price_current]])/Sales[[#This Row],[Price_retail]]</f>
        <v>0.1730486008836524</v>
      </c>
      <c r="W997" s="3" t="str" cm="1">
        <f t="array" ref="W997">_xlfn.IFS(Sales[[#This Row],[Discount]]=0%,"No Discount",Sales[[#This Row],[Discount]]&lt;=20%,"Light",Sales[[#This Row],[Discount]]&lt;=50%,"Moderate",Sales[[#This Row],[Discount]]&lt;=80%,"High",
TRUE,"Very High")</f>
        <v>Light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A85FC2-4BDC-4E5C-8535-2566365205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Tables &amp; Dashboards</vt:lpstr>
      <vt:lpstr>Product Lookup &amp; Search</vt:lpstr>
      <vt:lpstr>Pricing &amp; Discount Analysis</vt:lpstr>
      <vt:lpstr>Brand</vt:lpstr>
      <vt:lpstr>Real Sale</vt:lpstr>
      <vt:lpstr>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Ziku khan</cp:lastModifiedBy>
  <cp:revision>0</cp:revision>
  <dcterms:created xsi:type="dcterms:W3CDTF">2026-07-03T08:11:44Z</dcterms:created>
  <dcterms:modified xsi:type="dcterms:W3CDTF">2026-07-03T14:46:34Z</dcterms:modified>
  <dc:language>en-US</dc:language>
</cp:coreProperties>
</file>